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LOBAL\Downloads\"/>
    </mc:Choice>
  </mc:AlternateContent>
  <xr:revisionPtr revIDLastSave="0" documentId="13_ncr:1_{4ABF5BA1-C05A-485E-98A2-8EB706443FC5}" xr6:coauthVersionLast="47" xr6:coauthVersionMax="47" xr10:uidLastSave="{00000000-0000-0000-0000-000000000000}"/>
  <bookViews>
    <workbookView xWindow="-120" yWindow="-120" windowWidth="20730" windowHeight="11160" tabRatio="831" activeTab="2" xr2:uid="{00000000-000D-0000-FFFF-FFFF00000000}"/>
  </bookViews>
  <sheets>
    <sheet name="Dashboard" sheetId="9" r:id="rId1"/>
    <sheet name="Extract Data_sheet" sheetId="6" r:id="rId2"/>
    <sheet name="Pivot" sheetId="7" r:id="rId3"/>
    <sheet name="Forecast sheet" sheetId="8" r:id="rId4"/>
    <sheet name="Dataset_A" sheetId="5" r:id="rId5"/>
    <sheet name="Merge_1&amp;2" sheetId="15" r:id="rId6"/>
    <sheet name="dataset_2 Table" sheetId="3" r:id="rId7"/>
    <sheet name="dataset_1 Table" sheetId="2" r:id="rId8"/>
    <sheet name="Raw_dataset_1" sheetId="1" r:id="rId9"/>
    <sheet name="Raw_dataset_2" sheetId="12" r:id="rId10"/>
    <sheet name="Raw_dataset_3" sheetId="13" r:id="rId11"/>
  </sheets>
  <definedNames>
    <definedName name="_xlnm._FilterDatabase" localSheetId="2" hidden="1">Pivot!$A$143:$B$189</definedName>
    <definedName name="_xlnm._FilterDatabase" localSheetId="8" hidden="1">Raw_dataset_1!$A$1:$J$1</definedName>
    <definedName name="_xlnm._FilterDatabase" localSheetId="9" hidden="1">Raw_dataset_2!$A$1:$G$1</definedName>
    <definedName name="_xlnm._FilterDatabase" localSheetId="10" hidden="1">Raw_dataset_3!$A$1:$P$1</definedName>
    <definedName name="ExternalData_1" localSheetId="7" hidden="1">'dataset_1 Table'!$A$1:$J$611</definedName>
    <definedName name="ExternalData_2" localSheetId="6" hidden="1">'dataset_2 Table'!$A$1:$G$1000</definedName>
    <definedName name="ExternalData_3" localSheetId="5" hidden="1">'Merge_1&amp;2'!$A$1:$P$611</definedName>
    <definedName name="ExternalData_4" localSheetId="4" hidden="1">Dataset_A!$A$1:$P$1001</definedName>
    <definedName name="NativeTimeline_Date">#N/A</definedName>
    <definedName name="Slicer_Weather_sit">#N/A</definedName>
    <definedName name="Slicer_Weekda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1" i="13" l="1"/>
  <c r="G391" i="13" s="1"/>
  <c r="E391" i="13"/>
  <c r="D391" i="13"/>
  <c r="H390" i="13"/>
  <c r="G390" i="13" s="1"/>
  <c r="E390" i="13"/>
  <c r="D390" i="13"/>
  <c r="H389" i="13"/>
  <c r="G389" i="13"/>
  <c r="E389" i="13"/>
  <c r="D389" i="13"/>
  <c r="H388" i="13"/>
  <c r="G388" i="13"/>
  <c r="E388" i="13"/>
  <c r="D388" i="13"/>
  <c r="H387" i="13"/>
  <c r="G387" i="13"/>
  <c r="E387" i="13"/>
  <c r="D387" i="13"/>
  <c r="H386" i="13"/>
  <c r="G386" i="13"/>
  <c r="E386" i="13"/>
  <c r="D386" i="13"/>
  <c r="H385" i="13"/>
  <c r="G385" i="13"/>
  <c r="E385" i="13"/>
  <c r="D385" i="13"/>
  <c r="H384" i="13"/>
  <c r="G384" i="13"/>
  <c r="E384" i="13"/>
  <c r="D384" i="13"/>
  <c r="H383" i="13"/>
  <c r="G383" i="13"/>
  <c r="E383" i="13"/>
  <c r="D383" i="13"/>
  <c r="H382" i="13"/>
  <c r="G382" i="13"/>
  <c r="E382" i="13"/>
  <c r="D382" i="13"/>
  <c r="H381" i="13"/>
  <c r="G381" i="13"/>
  <c r="E381" i="13"/>
  <c r="D381" i="13"/>
  <c r="H380" i="13"/>
  <c r="G380" i="13"/>
  <c r="E380" i="13"/>
  <c r="D380" i="13"/>
  <c r="H379" i="13"/>
  <c r="G379" i="13"/>
  <c r="E379" i="13"/>
  <c r="D379" i="13"/>
  <c r="H378" i="13"/>
  <c r="G378" i="13"/>
  <c r="E378" i="13"/>
  <c r="D378" i="13"/>
  <c r="H377" i="13"/>
  <c r="G377" i="13"/>
  <c r="E377" i="13"/>
  <c r="D377" i="13"/>
  <c r="H376" i="13"/>
  <c r="G376" i="13"/>
  <c r="E376" i="13"/>
  <c r="D376" i="13"/>
  <c r="H375" i="13"/>
  <c r="G375" i="13"/>
  <c r="E375" i="13"/>
  <c r="D375" i="13"/>
  <c r="H374" i="13"/>
  <c r="G374" i="13" s="1"/>
  <c r="E374" i="13"/>
  <c r="D374" i="13"/>
  <c r="H373" i="13"/>
  <c r="G373" i="13" s="1"/>
  <c r="E373" i="13"/>
  <c r="D373" i="13"/>
  <c r="H372" i="13"/>
  <c r="G372" i="13" s="1"/>
  <c r="E372" i="13"/>
  <c r="D372" i="13"/>
  <c r="H371" i="13"/>
  <c r="G371" i="13" s="1"/>
  <c r="E371" i="13"/>
  <c r="D371" i="13"/>
  <c r="H370" i="13"/>
  <c r="G370" i="13" s="1"/>
  <c r="E370" i="13"/>
  <c r="D370" i="13"/>
  <c r="H369" i="13"/>
  <c r="G369" i="13" s="1"/>
  <c r="E369" i="13"/>
  <c r="D369" i="13"/>
  <c r="H368" i="13"/>
  <c r="G368" i="13"/>
  <c r="E368" i="13"/>
  <c r="D368" i="13"/>
  <c r="H367" i="13"/>
  <c r="G367" i="13"/>
  <c r="E367" i="13"/>
  <c r="D367" i="13"/>
  <c r="H366" i="13"/>
  <c r="G366" i="13" s="1"/>
  <c r="E366" i="13"/>
  <c r="D366" i="13"/>
  <c r="H365" i="13"/>
  <c r="G365" i="13" s="1"/>
  <c r="E365" i="13"/>
  <c r="D365" i="13"/>
  <c r="H364" i="13"/>
  <c r="G364" i="13" s="1"/>
  <c r="E364" i="13"/>
  <c r="D364" i="13"/>
  <c r="H363" i="13"/>
  <c r="G363" i="13" s="1"/>
  <c r="E363" i="13"/>
  <c r="D363" i="13"/>
  <c r="H362" i="13"/>
  <c r="G362" i="13" s="1"/>
  <c r="E362" i="13"/>
  <c r="D362" i="13"/>
  <c r="H361" i="13"/>
  <c r="G361" i="13" s="1"/>
  <c r="E361" i="13"/>
  <c r="D361" i="13"/>
  <c r="H360" i="13"/>
  <c r="G360" i="13" s="1"/>
  <c r="E360" i="13"/>
  <c r="D360" i="13"/>
  <c r="H359" i="13"/>
  <c r="G359" i="13" s="1"/>
  <c r="E359" i="13"/>
  <c r="D359" i="13"/>
  <c r="H358" i="13"/>
  <c r="G358" i="13" s="1"/>
  <c r="E358" i="13"/>
  <c r="D358" i="13"/>
  <c r="H357" i="13"/>
  <c r="G357" i="13" s="1"/>
  <c r="E357" i="13"/>
  <c r="D357" i="13"/>
  <c r="H356" i="13"/>
  <c r="G356" i="13" s="1"/>
  <c r="E356" i="13"/>
  <c r="D356" i="13"/>
  <c r="H355" i="13"/>
  <c r="G355" i="13" s="1"/>
  <c r="E355" i="13"/>
  <c r="D355" i="13"/>
  <c r="H354" i="13"/>
  <c r="G354" i="13" s="1"/>
  <c r="E354" i="13"/>
  <c r="D354" i="13"/>
  <c r="H353" i="13"/>
  <c r="G353" i="13" s="1"/>
  <c r="E353" i="13"/>
  <c r="D353" i="13"/>
  <c r="H352" i="13"/>
  <c r="G352" i="13" s="1"/>
  <c r="E352" i="13"/>
  <c r="D352" i="13"/>
  <c r="H351" i="13"/>
  <c r="G351" i="13" s="1"/>
  <c r="E351" i="13"/>
  <c r="D351" i="13"/>
  <c r="H350" i="13"/>
  <c r="G350" i="13" s="1"/>
  <c r="E350" i="13"/>
  <c r="D350" i="13"/>
  <c r="H349" i="13"/>
  <c r="G349" i="13" s="1"/>
  <c r="E349" i="13"/>
  <c r="D349" i="13"/>
  <c r="H348" i="13"/>
  <c r="G348" i="13" s="1"/>
  <c r="E348" i="13"/>
  <c r="D348" i="13"/>
  <c r="H347" i="13"/>
  <c r="G347" i="13" s="1"/>
  <c r="E347" i="13"/>
  <c r="D347" i="13"/>
  <c r="H346" i="13"/>
  <c r="G346" i="13" s="1"/>
  <c r="E346" i="13"/>
  <c r="D346" i="13"/>
  <c r="H345" i="13"/>
  <c r="G345" i="13" s="1"/>
  <c r="E345" i="13"/>
  <c r="D345" i="13"/>
  <c r="H344" i="13"/>
  <c r="G344" i="13" s="1"/>
  <c r="E344" i="13"/>
  <c r="D344" i="13"/>
  <c r="H343" i="13"/>
  <c r="G343" i="13" s="1"/>
  <c r="E343" i="13"/>
  <c r="D343" i="13"/>
  <c r="H342" i="13"/>
  <c r="G342" i="13" s="1"/>
  <c r="E342" i="13"/>
  <c r="D342" i="13"/>
  <c r="H341" i="13"/>
  <c r="G341" i="13" s="1"/>
  <c r="E341" i="13"/>
  <c r="D341" i="13"/>
  <c r="H340" i="13"/>
  <c r="G340" i="13" s="1"/>
  <c r="E340" i="13"/>
  <c r="D340" i="13"/>
  <c r="H339" i="13"/>
  <c r="G339" i="13" s="1"/>
  <c r="E339" i="13"/>
  <c r="D339" i="13"/>
  <c r="H338" i="13"/>
  <c r="G338" i="13" s="1"/>
  <c r="E338" i="13"/>
  <c r="D338" i="13"/>
  <c r="H337" i="13"/>
  <c r="G337" i="13" s="1"/>
  <c r="E337" i="13"/>
  <c r="D337" i="13"/>
  <c r="H336" i="13"/>
  <c r="G336" i="13" s="1"/>
  <c r="E336" i="13"/>
  <c r="D336" i="13"/>
  <c r="H335" i="13"/>
  <c r="G335" i="13" s="1"/>
  <c r="E335" i="13"/>
  <c r="D335" i="13"/>
  <c r="H334" i="13"/>
  <c r="G334" i="13" s="1"/>
  <c r="E334" i="13"/>
  <c r="D334" i="13"/>
  <c r="H333" i="13"/>
  <c r="G333" i="13" s="1"/>
  <c r="E333" i="13"/>
  <c r="D333" i="13"/>
  <c r="H332" i="13"/>
  <c r="G332" i="13" s="1"/>
  <c r="E332" i="13"/>
  <c r="D332" i="13"/>
  <c r="H331" i="13"/>
  <c r="G331" i="13" s="1"/>
  <c r="E331" i="13"/>
  <c r="D331" i="13"/>
  <c r="H330" i="13"/>
  <c r="G330" i="13" s="1"/>
  <c r="E330" i="13"/>
  <c r="D330" i="13"/>
  <c r="H329" i="13"/>
  <c r="G329" i="13" s="1"/>
  <c r="E329" i="13"/>
  <c r="D329" i="13"/>
  <c r="H328" i="13"/>
  <c r="G328" i="13" s="1"/>
  <c r="E328" i="13"/>
  <c r="D328" i="13"/>
  <c r="H327" i="13"/>
  <c r="G327" i="13" s="1"/>
  <c r="E327" i="13"/>
  <c r="D327" i="13"/>
  <c r="H326" i="13"/>
  <c r="G326" i="13" s="1"/>
  <c r="E326" i="13"/>
  <c r="D326" i="13"/>
  <c r="H325" i="13"/>
  <c r="G325" i="13" s="1"/>
  <c r="E325" i="13"/>
  <c r="D325" i="13"/>
  <c r="H324" i="13"/>
  <c r="G324" i="13" s="1"/>
  <c r="E324" i="13"/>
  <c r="D324" i="13"/>
  <c r="H323" i="13"/>
  <c r="G323" i="13" s="1"/>
  <c r="E323" i="13"/>
  <c r="D323" i="13"/>
  <c r="H322" i="13"/>
  <c r="G322" i="13" s="1"/>
  <c r="E322" i="13"/>
  <c r="D322" i="13"/>
  <c r="H321" i="13"/>
  <c r="G321" i="13" s="1"/>
  <c r="E321" i="13"/>
  <c r="D321" i="13"/>
  <c r="H320" i="13"/>
  <c r="G320" i="13" s="1"/>
  <c r="E320" i="13"/>
  <c r="D320" i="13"/>
  <c r="H319" i="13"/>
  <c r="G319" i="13" s="1"/>
  <c r="E319" i="13"/>
  <c r="D319" i="13"/>
  <c r="H318" i="13"/>
  <c r="G318" i="13" s="1"/>
  <c r="E318" i="13"/>
  <c r="D318" i="13"/>
  <c r="H317" i="13"/>
  <c r="G317" i="13" s="1"/>
  <c r="E317" i="13"/>
  <c r="D317" i="13"/>
  <c r="H316" i="13"/>
  <c r="G316" i="13" s="1"/>
  <c r="E316" i="13"/>
  <c r="D316" i="13"/>
  <c r="H315" i="13"/>
  <c r="G315" i="13" s="1"/>
  <c r="E315" i="13"/>
  <c r="D315" i="13"/>
  <c r="H314" i="13"/>
  <c r="G314" i="13" s="1"/>
  <c r="E314" i="13"/>
  <c r="D314" i="13"/>
  <c r="H313" i="13"/>
  <c r="G313" i="13" s="1"/>
  <c r="E313" i="13"/>
  <c r="D313" i="13"/>
  <c r="H312" i="13"/>
  <c r="G312" i="13" s="1"/>
  <c r="E312" i="13"/>
  <c r="D312" i="13"/>
  <c r="H311" i="13"/>
  <c r="G311" i="13" s="1"/>
  <c r="E311" i="13"/>
  <c r="D311" i="13"/>
  <c r="H310" i="13"/>
  <c r="G310" i="13" s="1"/>
  <c r="E310" i="13"/>
  <c r="D310" i="13"/>
  <c r="H309" i="13"/>
  <c r="G309" i="13" s="1"/>
  <c r="E309" i="13"/>
  <c r="D309" i="13"/>
  <c r="H308" i="13"/>
  <c r="G308" i="13" s="1"/>
  <c r="E308" i="13"/>
  <c r="D308" i="13"/>
  <c r="H307" i="13"/>
  <c r="G307" i="13" s="1"/>
  <c r="E307" i="13"/>
  <c r="D307" i="13"/>
  <c r="H306" i="13"/>
  <c r="G306" i="13" s="1"/>
  <c r="E306" i="13"/>
  <c r="D306" i="13"/>
  <c r="H305" i="13"/>
  <c r="G305" i="13"/>
  <c r="E305" i="13"/>
  <c r="D305" i="13"/>
  <c r="H304" i="13"/>
  <c r="G304" i="13"/>
  <c r="E304" i="13"/>
  <c r="D304" i="13"/>
  <c r="H303" i="13"/>
  <c r="G303" i="13"/>
  <c r="E303" i="13"/>
  <c r="D303" i="13"/>
  <c r="H302" i="13"/>
  <c r="G302" i="13"/>
  <c r="E302" i="13"/>
  <c r="D302" i="13"/>
  <c r="H301" i="13"/>
  <c r="G301" i="13"/>
  <c r="E301" i="13"/>
  <c r="D301" i="13"/>
  <c r="H300" i="13"/>
  <c r="G300" i="13" s="1"/>
  <c r="E300" i="13"/>
  <c r="D300" i="13"/>
  <c r="H299" i="13"/>
  <c r="G299" i="13" s="1"/>
  <c r="E299" i="13"/>
  <c r="D299" i="13"/>
  <c r="H298" i="13"/>
  <c r="G298" i="13" s="1"/>
  <c r="E298" i="13"/>
  <c r="D298" i="13"/>
  <c r="H297" i="13"/>
  <c r="G297" i="13" s="1"/>
  <c r="E297" i="13"/>
  <c r="D297" i="13"/>
  <c r="H296" i="13"/>
  <c r="G296" i="13" s="1"/>
  <c r="E296" i="13"/>
  <c r="D296" i="13"/>
  <c r="H295" i="13"/>
  <c r="G295" i="13" s="1"/>
  <c r="E295" i="13"/>
  <c r="D295" i="13"/>
  <c r="H294" i="13"/>
  <c r="G294" i="13" s="1"/>
  <c r="E294" i="13"/>
  <c r="D294" i="13"/>
  <c r="H293" i="13"/>
  <c r="G293" i="13" s="1"/>
  <c r="E293" i="13"/>
  <c r="D293" i="13"/>
  <c r="H292" i="13"/>
  <c r="G292" i="13" s="1"/>
  <c r="E292" i="13"/>
  <c r="D292" i="13"/>
  <c r="H291" i="13"/>
  <c r="G291" i="13" s="1"/>
  <c r="E291" i="13"/>
  <c r="D291" i="13"/>
  <c r="H290" i="13"/>
  <c r="G290" i="13" s="1"/>
  <c r="E290" i="13"/>
  <c r="D290" i="13"/>
  <c r="H289" i="13"/>
  <c r="G289" i="13" s="1"/>
  <c r="E289" i="13"/>
  <c r="D289" i="13"/>
  <c r="H288" i="13"/>
  <c r="G288" i="13" s="1"/>
  <c r="E288" i="13"/>
  <c r="D288" i="13"/>
  <c r="H287" i="13"/>
  <c r="G287" i="13" s="1"/>
  <c r="E287" i="13"/>
  <c r="D287" i="13"/>
  <c r="H286" i="13"/>
  <c r="G286" i="13" s="1"/>
  <c r="E286" i="13"/>
  <c r="D286" i="13"/>
  <c r="H285" i="13"/>
  <c r="G285" i="13" s="1"/>
  <c r="E285" i="13"/>
  <c r="D285" i="13"/>
  <c r="H284" i="13"/>
  <c r="G284" i="13" s="1"/>
  <c r="E284" i="13"/>
  <c r="D284" i="13"/>
  <c r="H283" i="13"/>
  <c r="G283" i="13" s="1"/>
  <c r="E283" i="13"/>
  <c r="D283" i="13"/>
  <c r="H282" i="13"/>
  <c r="G282" i="13" s="1"/>
  <c r="E282" i="13"/>
  <c r="D282" i="13"/>
  <c r="H281" i="13"/>
  <c r="G281" i="13" s="1"/>
  <c r="E281" i="13"/>
  <c r="D281" i="13"/>
  <c r="H280" i="13"/>
  <c r="G280" i="13" s="1"/>
  <c r="E280" i="13"/>
  <c r="D280" i="13"/>
  <c r="H279" i="13"/>
  <c r="G279" i="13" s="1"/>
  <c r="E279" i="13"/>
  <c r="D279" i="13"/>
  <c r="H278" i="13"/>
  <c r="G278" i="13" s="1"/>
  <c r="E278" i="13"/>
  <c r="D278" i="13"/>
  <c r="H277" i="13"/>
  <c r="G277" i="13" s="1"/>
  <c r="E277" i="13"/>
  <c r="D277" i="13"/>
  <c r="H276" i="13"/>
  <c r="G276" i="13" s="1"/>
  <c r="E276" i="13"/>
  <c r="D276" i="13"/>
  <c r="H275" i="13"/>
  <c r="G275" i="13" s="1"/>
  <c r="E275" i="13"/>
  <c r="D275" i="13"/>
  <c r="H274" i="13"/>
  <c r="G274" i="13" s="1"/>
  <c r="E274" i="13"/>
  <c r="D274" i="13"/>
  <c r="H273" i="13"/>
  <c r="G273" i="13" s="1"/>
  <c r="E273" i="13"/>
  <c r="D273" i="13"/>
  <c r="H272" i="13"/>
  <c r="G272" i="13" s="1"/>
  <c r="E272" i="13"/>
  <c r="D272" i="13"/>
  <c r="H271" i="13"/>
  <c r="G271" i="13" s="1"/>
  <c r="E271" i="13"/>
  <c r="D271" i="13"/>
  <c r="H270" i="13"/>
  <c r="G270" i="13" s="1"/>
  <c r="E270" i="13"/>
  <c r="D270" i="13"/>
  <c r="H269" i="13"/>
  <c r="G269" i="13" s="1"/>
  <c r="E269" i="13"/>
  <c r="D269" i="13"/>
  <c r="H268" i="13"/>
  <c r="G268" i="13" s="1"/>
  <c r="E268" i="13"/>
  <c r="D268" i="13"/>
  <c r="H267" i="13"/>
  <c r="G267" i="13" s="1"/>
  <c r="E267" i="13"/>
  <c r="D267" i="13"/>
  <c r="H266" i="13"/>
  <c r="G266" i="13" s="1"/>
  <c r="E266" i="13"/>
  <c r="D266" i="13"/>
  <c r="H265" i="13"/>
  <c r="G265" i="13" s="1"/>
  <c r="E265" i="13"/>
  <c r="D265" i="13"/>
  <c r="H264" i="13"/>
  <c r="G264" i="13" s="1"/>
  <c r="E264" i="13"/>
  <c r="D264" i="13"/>
  <c r="H263" i="13"/>
  <c r="G263" i="13" s="1"/>
  <c r="E263" i="13"/>
  <c r="D263" i="13"/>
  <c r="H262" i="13"/>
  <c r="G262" i="13" s="1"/>
  <c r="E262" i="13"/>
  <c r="D262" i="13"/>
  <c r="H261" i="13"/>
  <c r="G261" i="13" s="1"/>
  <c r="E261" i="13"/>
  <c r="D261" i="13"/>
  <c r="H260" i="13"/>
  <c r="G260" i="13" s="1"/>
  <c r="E260" i="13"/>
  <c r="D260" i="13"/>
  <c r="H259" i="13"/>
  <c r="G259" i="13" s="1"/>
  <c r="E259" i="13"/>
  <c r="D259" i="13"/>
  <c r="H258" i="13"/>
  <c r="G258" i="13" s="1"/>
  <c r="E258" i="13"/>
  <c r="D258" i="13"/>
  <c r="H257" i="13"/>
  <c r="G257" i="13" s="1"/>
  <c r="E257" i="13"/>
  <c r="D257" i="13"/>
  <c r="H256" i="13"/>
  <c r="G256" i="13" s="1"/>
  <c r="E256" i="13"/>
  <c r="D256" i="13"/>
  <c r="H255" i="13"/>
  <c r="G255" i="13" s="1"/>
  <c r="E255" i="13"/>
  <c r="D255" i="13"/>
  <c r="H254" i="13"/>
  <c r="G254" i="13" s="1"/>
  <c r="E254" i="13"/>
  <c r="D254" i="13"/>
  <c r="H253" i="13"/>
  <c r="G253" i="13"/>
  <c r="E253" i="13"/>
  <c r="D253" i="13"/>
  <c r="H252" i="13"/>
  <c r="G252" i="13"/>
  <c r="E252" i="13"/>
  <c r="D252" i="13"/>
  <c r="H251" i="13"/>
  <c r="G251" i="13" s="1"/>
  <c r="E251" i="13"/>
  <c r="D251" i="13"/>
  <c r="H250" i="13"/>
  <c r="G250" i="13" s="1"/>
  <c r="E250" i="13"/>
  <c r="D250" i="13"/>
  <c r="H249" i="13"/>
  <c r="G249" i="13" s="1"/>
  <c r="E249" i="13"/>
  <c r="D249" i="13"/>
  <c r="H248" i="13"/>
  <c r="G248" i="13" s="1"/>
  <c r="E248" i="13"/>
  <c r="D248" i="13"/>
  <c r="H247" i="13"/>
  <c r="G247" i="13" s="1"/>
  <c r="E247" i="13"/>
  <c r="D247" i="13"/>
  <c r="H246" i="13"/>
  <c r="G246" i="13" s="1"/>
  <c r="E246" i="13"/>
  <c r="D246" i="13"/>
  <c r="H245" i="13"/>
  <c r="G245" i="13" s="1"/>
  <c r="E245" i="13"/>
  <c r="D245" i="13"/>
  <c r="H244" i="13"/>
  <c r="G244" i="13" s="1"/>
  <c r="E244" i="13"/>
  <c r="D244" i="13"/>
  <c r="H243" i="13"/>
  <c r="G243" i="13" s="1"/>
  <c r="E243" i="13"/>
  <c r="D243" i="13"/>
  <c r="H242" i="13"/>
  <c r="G242" i="13" s="1"/>
  <c r="E242" i="13"/>
  <c r="D242" i="13"/>
  <c r="H241" i="13"/>
  <c r="G241" i="13" s="1"/>
  <c r="E241" i="13"/>
  <c r="D241" i="13"/>
  <c r="H240" i="13"/>
  <c r="G240" i="13"/>
  <c r="E240" i="13"/>
  <c r="D240" i="13"/>
  <c r="H239" i="13"/>
  <c r="G239" i="13"/>
  <c r="E239" i="13"/>
  <c r="D239" i="13"/>
  <c r="H238" i="13"/>
  <c r="G238" i="13"/>
  <c r="E238" i="13"/>
  <c r="D238" i="13"/>
  <c r="H237" i="13"/>
  <c r="G237" i="13"/>
  <c r="E237" i="13"/>
  <c r="D237" i="13"/>
  <c r="H236" i="13"/>
  <c r="G236" i="13"/>
  <c r="E236" i="13"/>
  <c r="D236" i="13"/>
  <c r="H235" i="13"/>
  <c r="G235" i="13"/>
  <c r="E235" i="13"/>
  <c r="D235" i="13"/>
  <c r="H234" i="13"/>
  <c r="G234" i="13"/>
  <c r="E234" i="13"/>
  <c r="D234" i="13"/>
  <c r="H233" i="13"/>
  <c r="G233" i="13" s="1"/>
  <c r="E233" i="13"/>
  <c r="D233" i="13"/>
  <c r="H232" i="13"/>
  <c r="G232" i="13"/>
  <c r="E232" i="13"/>
  <c r="D232" i="13"/>
  <c r="H231" i="13"/>
  <c r="G231" i="13" s="1"/>
  <c r="E231" i="13"/>
  <c r="D231" i="13"/>
  <c r="H230" i="13"/>
  <c r="G230" i="13" s="1"/>
  <c r="E230" i="13"/>
  <c r="D230" i="13"/>
  <c r="H229" i="13"/>
  <c r="G229" i="13" s="1"/>
  <c r="E229" i="13"/>
  <c r="D229" i="13"/>
  <c r="H228" i="13"/>
  <c r="G228" i="13" s="1"/>
  <c r="E228" i="13"/>
  <c r="D228" i="13"/>
  <c r="H227" i="13"/>
  <c r="G227" i="13" s="1"/>
  <c r="E227" i="13"/>
  <c r="D227" i="13"/>
  <c r="H226" i="13"/>
  <c r="G226" i="13" s="1"/>
  <c r="E226" i="13"/>
  <c r="D226" i="13"/>
  <c r="H225" i="13"/>
  <c r="G225" i="13" s="1"/>
  <c r="E225" i="13"/>
  <c r="D225" i="13"/>
  <c r="H224" i="13"/>
  <c r="G224" i="13" s="1"/>
  <c r="E224" i="13"/>
  <c r="D224" i="13"/>
  <c r="H223" i="13"/>
  <c r="G223" i="13" s="1"/>
  <c r="E223" i="13"/>
  <c r="D223" i="13"/>
  <c r="H222" i="13"/>
  <c r="G222" i="13" s="1"/>
  <c r="E222" i="13"/>
  <c r="D222" i="13"/>
  <c r="H221" i="13"/>
  <c r="G221" i="13" s="1"/>
  <c r="E221" i="13"/>
  <c r="D221" i="13"/>
  <c r="H220" i="13"/>
  <c r="G220" i="13" s="1"/>
  <c r="E220" i="13"/>
  <c r="D220" i="13"/>
  <c r="H219" i="13"/>
  <c r="G219" i="13" s="1"/>
  <c r="E219" i="13"/>
  <c r="D219" i="13"/>
  <c r="H218" i="13"/>
  <c r="G218" i="13" s="1"/>
  <c r="E218" i="13"/>
  <c r="D218" i="13"/>
  <c r="H217" i="13"/>
  <c r="G217" i="13" s="1"/>
  <c r="E217" i="13"/>
  <c r="D217" i="13"/>
  <c r="H216" i="13"/>
  <c r="G216" i="13" s="1"/>
  <c r="E216" i="13"/>
  <c r="D216" i="13"/>
  <c r="H215" i="13"/>
  <c r="G215" i="13" s="1"/>
  <c r="E215" i="13"/>
  <c r="D215" i="13"/>
  <c r="H214" i="13"/>
  <c r="G214" i="13" s="1"/>
  <c r="E214" i="13"/>
  <c r="D214" i="13"/>
  <c r="H213" i="13"/>
  <c r="G213" i="13" s="1"/>
  <c r="E213" i="13"/>
  <c r="D213" i="13"/>
  <c r="H212" i="13"/>
  <c r="G212" i="13" s="1"/>
  <c r="E212" i="13"/>
  <c r="D212" i="13"/>
  <c r="H211" i="13"/>
  <c r="G211" i="13" s="1"/>
  <c r="E211" i="13"/>
  <c r="D211" i="13"/>
  <c r="H210" i="13"/>
  <c r="G210" i="13" s="1"/>
  <c r="E210" i="13"/>
  <c r="D210" i="13"/>
  <c r="H209" i="13"/>
  <c r="G209" i="13" s="1"/>
  <c r="E209" i="13"/>
  <c r="D209" i="13"/>
  <c r="H208" i="13"/>
  <c r="G208" i="13" s="1"/>
  <c r="E208" i="13"/>
  <c r="D208" i="13"/>
  <c r="H207" i="13"/>
  <c r="G207" i="13" s="1"/>
  <c r="E207" i="13"/>
  <c r="D207" i="13"/>
  <c r="H206" i="13"/>
  <c r="G206" i="13" s="1"/>
  <c r="E206" i="13"/>
  <c r="D206" i="13"/>
  <c r="H205" i="13"/>
  <c r="G205" i="13" s="1"/>
  <c r="E205" i="13"/>
  <c r="D205" i="13"/>
  <c r="H204" i="13"/>
  <c r="G204" i="13" s="1"/>
  <c r="E204" i="13"/>
  <c r="D204" i="13"/>
  <c r="H203" i="13"/>
  <c r="G203" i="13" s="1"/>
  <c r="E203" i="13"/>
  <c r="D203" i="13"/>
  <c r="H202" i="13"/>
  <c r="G202" i="13" s="1"/>
  <c r="E202" i="13"/>
  <c r="D202" i="13"/>
  <c r="H201" i="13"/>
  <c r="G201" i="13" s="1"/>
  <c r="E201" i="13"/>
  <c r="D201" i="13"/>
  <c r="H200" i="13"/>
  <c r="G200" i="13" s="1"/>
  <c r="E200" i="13"/>
  <c r="D200" i="13"/>
  <c r="H199" i="13"/>
  <c r="G199" i="13" s="1"/>
  <c r="E199" i="13"/>
  <c r="D199" i="13"/>
  <c r="H198" i="13"/>
  <c r="G198" i="13" s="1"/>
  <c r="E198" i="13"/>
  <c r="D198" i="13"/>
  <c r="H197" i="13"/>
  <c r="G197" i="13" s="1"/>
  <c r="E197" i="13"/>
  <c r="D197" i="13"/>
  <c r="H196" i="13"/>
  <c r="G196" i="13" s="1"/>
  <c r="E196" i="13"/>
  <c r="D196" i="13"/>
  <c r="H195" i="13"/>
  <c r="G195" i="13" s="1"/>
  <c r="E195" i="13"/>
  <c r="D195" i="13"/>
  <c r="H194" i="13"/>
  <c r="G194" i="13" s="1"/>
  <c r="E194" i="13"/>
  <c r="D194" i="13"/>
  <c r="H193" i="13"/>
  <c r="G193" i="13" s="1"/>
  <c r="E193" i="13"/>
  <c r="D193" i="13"/>
  <c r="H192" i="13"/>
  <c r="G192" i="13" s="1"/>
  <c r="E192" i="13"/>
  <c r="D192" i="13"/>
  <c r="H191" i="13"/>
  <c r="G191" i="13" s="1"/>
  <c r="E191" i="13"/>
  <c r="D191" i="13"/>
  <c r="H190" i="13"/>
  <c r="G190" i="13" s="1"/>
  <c r="E190" i="13"/>
  <c r="D190" i="13"/>
  <c r="H189" i="13"/>
  <c r="G189" i="13" s="1"/>
  <c r="E189" i="13"/>
  <c r="D189" i="13"/>
  <c r="H188" i="13"/>
  <c r="G188" i="13" s="1"/>
  <c r="E188" i="13"/>
  <c r="D188" i="13"/>
  <c r="H187" i="13"/>
  <c r="G187" i="13" s="1"/>
  <c r="E187" i="13"/>
  <c r="D187" i="13"/>
  <c r="H186" i="13"/>
  <c r="G186" i="13" s="1"/>
  <c r="E186" i="13"/>
  <c r="D186" i="13"/>
  <c r="H185" i="13"/>
  <c r="G185" i="13" s="1"/>
  <c r="E185" i="13"/>
  <c r="D185" i="13"/>
  <c r="H184" i="13"/>
  <c r="G184" i="13" s="1"/>
  <c r="E184" i="13"/>
  <c r="D184" i="13"/>
  <c r="H183" i="13"/>
  <c r="G183" i="13" s="1"/>
  <c r="E183" i="13"/>
  <c r="D183" i="13"/>
  <c r="H182" i="13"/>
  <c r="G182" i="13" s="1"/>
  <c r="E182" i="13"/>
  <c r="D182" i="13"/>
  <c r="H181" i="13"/>
  <c r="G181" i="13" s="1"/>
  <c r="E181" i="13"/>
  <c r="D181" i="13"/>
  <c r="H180" i="13"/>
  <c r="G180" i="13" s="1"/>
  <c r="E180" i="13"/>
  <c r="D180" i="13"/>
  <c r="H179" i="13"/>
  <c r="G179" i="13" s="1"/>
  <c r="E179" i="13"/>
  <c r="D179" i="13"/>
  <c r="H178" i="13"/>
  <c r="G178" i="13" s="1"/>
  <c r="E178" i="13"/>
  <c r="D178" i="13"/>
  <c r="H177" i="13"/>
  <c r="G177" i="13" s="1"/>
  <c r="E177" i="13"/>
  <c r="D177" i="13"/>
  <c r="H176" i="13"/>
  <c r="G176" i="13"/>
  <c r="E176" i="13"/>
  <c r="D176" i="13"/>
  <c r="H175" i="13"/>
  <c r="G175" i="13" s="1"/>
  <c r="E175" i="13"/>
  <c r="D175" i="13"/>
  <c r="H174" i="13"/>
  <c r="G174" i="13" s="1"/>
  <c r="E174" i="13"/>
  <c r="D174" i="13"/>
  <c r="H173" i="13"/>
  <c r="G173" i="13" s="1"/>
  <c r="E173" i="13"/>
  <c r="D173" i="13"/>
  <c r="H172" i="13"/>
  <c r="G172" i="13" s="1"/>
  <c r="E172" i="13"/>
  <c r="D172" i="13"/>
  <c r="H171" i="13"/>
  <c r="G171" i="13" s="1"/>
  <c r="E171" i="13"/>
  <c r="D171" i="13"/>
  <c r="H170" i="13"/>
  <c r="G170" i="13" s="1"/>
  <c r="E170" i="13"/>
  <c r="D170" i="13"/>
  <c r="H169" i="13"/>
  <c r="G169" i="13" s="1"/>
  <c r="E169" i="13"/>
  <c r="D169" i="13"/>
  <c r="H168" i="13"/>
  <c r="G168" i="13" s="1"/>
  <c r="E168" i="13"/>
  <c r="D168" i="13"/>
  <c r="H167" i="13"/>
  <c r="G167" i="13" s="1"/>
  <c r="E167" i="13"/>
  <c r="D167" i="13"/>
  <c r="H166" i="13"/>
  <c r="G166" i="13" s="1"/>
  <c r="E166" i="13"/>
  <c r="D166" i="13"/>
  <c r="H165" i="13"/>
  <c r="G165" i="13" s="1"/>
  <c r="E165" i="13"/>
  <c r="D165" i="13"/>
  <c r="H164" i="13"/>
  <c r="G164" i="13" s="1"/>
  <c r="E164" i="13"/>
  <c r="D164" i="13"/>
  <c r="H163" i="13"/>
  <c r="G163" i="13" s="1"/>
  <c r="E163" i="13"/>
  <c r="D163" i="13"/>
  <c r="H162" i="13"/>
  <c r="G162" i="13" s="1"/>
  <c r="E162" i="13"/>
  <c r="D162" i="13"/>
  <c r="H161" i="13"/>
  <c r="G161" i="13" s="1"/>
  <c r="E161" i="13"/>
  <c r="D161" i="13"/>
  <c r="H160" i="13"/>
  <c r="G160" i="13" s="1"/>
  <c r="E160" i="13"/>
  <c r="D160" i="13"/>
  <c r="H159" i="13"/>
  <c r="G159" i="13" s="1"/>
  <c r="E159" i="13"/>
  <c r="D159" i="13"/>
  <c r="H158" i="13"/>
  <c r="G158" i="13" s="1"/>
  <c r="E158" i="13"/>
  <c r="D158" i="13"/>
  <c r="H157" i="13"/>
  <c r="G157" i="13" s="1"/>
  <c r="E157" i="13"/>
  <c r="D157" i="13"/>
  <c r="H156" i="13"/>
  <c r="G156" i="13" s="1"/>
  <c r="E156" i="13"/>
  <c r="D156" i="13"/>
  <c r="H155" i="13"/>
  <c r="G155" i="13" s="1"/>
  <c r="E155" i="13"/>
  <c r="D155" i="13"/>
  <c r="H154" i="13"/>
  <c r="G154" i="13" s="1"/>
  <c r="E154" i="13"/>
  <c r="D154" i="13"/>
  <c r="H153" i="13"/>
  <c r="G153" i="13" s="1"/>
  <c r="E153" i="13"/>
  <c r="D153" i="13"/>
  <c r="H152" i="13"/>
  <c r="G152" i="13" s="1"/>
  <c r="E152" i="13"/>
  <c r="D152" i="13"/>
  <c r="H151" i="13"/>
  <c r="G151" i="13" s="1"/>
  <c r="E151" i="13"/>
  <c r="D151" i="13"/>
  <c r="H150" i="13"/>
  <c r="G150" i="13" s="1"/>
  <c r="E150" i="13"/>
  <c r="D150" i="13"/>
  <c r="H149" i="13"/>
  <c r="G149" i="13" s="1"/>
  <c r="E149" i="13"/>
  <c r="D149" i="13"/>
  <c r="H148" i="13"/>
  <c r="G148" i="13" s="1"/>
  <c r="E148" i="13"/>
  <c r="D148" i="13"/>
  <c r="H147" i="13"/>
  <c r="G147" i="13" s="1"/>
  <c r="E147" i="13"/>
  <c r="D147" i="13"/>
  <c r="H146" i="13"/>
  <c r="G146" i="13" s="1"/>
  <c r="E146" i="13"/>
  <c r="D146" i="13"/>
  <c r="H145" i="13"/>
  <c r="G145" i="13" s="1"/>
  <c r="E145" i="13"/>
  <c r="D145" i="13"/>
  <c r="H144" i="13"/>
  <c r="G144" i="13" s="1"/>
  <c r="E144" i="13"/>
  <c r="D144" i="13"/>
  <c r="H143" i="13"/>
  <c r="G143" i="13" s="1"/>
  <c r="E143" i="13"/>
  <c r="D143" i="13"/>
  <c r="H142" i="13"/>
  <c r="G142" i="13" s="1"/>
  <c r="E142" i="13"/>
  <c r="D142" i="13"/>
  <c r="H141" i="13"/>
  <c r="G141" i="13" s="1"/>
  <c r="E141" i="13"/>
  <c r="D141" i="13"/>
  <c r="H140" i="13"/>
  <c r="G140" i="13" s="1"/>
  <c r="E140" i="13"/>
  <c r="D140" i="13"/>
  <c r="H139" i="13"/>
  <c r="G139" i="13" s="1"/>
  <c r="E139" i="13"/>
  <c r="D139" i="13"/>
  <c r="H138" i="13"/>
  <c r="G138" i="13" s="1"/>
  <c r="E138" i="13"/>
  <c r="D138" i="13"/>
  <c r="H137" i="13"/>
  <c r="G137" i="13" s="1"/>
  <c r="E137" i="13"/>
  <c r="D137" i="13"/>
  <c r="H136" i="13"/>
  <c r="G136" i="13" s="1"/>
  <c r="E136" i="13"/>
  <c r="D136" i="13"/>
  <c r="H135" i="13"/>
  <c r="G135" i="13" s="1"/>
  <c r="E135" i="13"/>
  <c r="D135" i="13"/>
  <c r="H134" i="13"/>
  <c r="G134" i="13" s="1"/>
  <c r="E134" i="13"/>
  <c r="D134" i="13"/>
  <c r="H133" i="13"/>
  <c r="G133" i="13" s="1"/>
  <c r="E133" i="13"/>
  <c r="D133" i="13"/>
  <c r="H132" i="13"/>
  <c r="G132" i="13"/>
  <c r="E132" i="13"/>
  <c r="D132" i="13"/>
  <c r="H131" i="13"/>
  <c r="G131" i="13"/>
  <c r="E131" i="13"/>
  <c r="D131" i="13"/>
  <c r="H130" i="13"/>
  <c r="G130" i="13"/>
  <c r="E130" i="13"/>
  <c r="D130" i="13"/>
  <c r="H129" i="13"/>
  <c r="G129" i="13"/>
  <c r="E129" i="13"/>
  <c r="D129" i="13"/>
  <c r="H128" i="13"/>
  <c r="G128" i="13"/>
  <c r="E128" i="13"/>
  <c r="D128" i="13"/>
  <c r="H127" i="13"/>
  <c r="G127" i="13"/>
  <c r="E127" i="13"/>
  <c r="D127" i="13"/>
  <c r="H126" i="13"/>
  <c r="G126" i="13"/>
  <c r="E126" i="13"/>
  <c r="D126" i="13"/>
  <c r="H125" i="13"/>
  <c r="G125" i="13"/>
  <c r="E125" i="13"/>
  <c r="D125" i="13"/>
  <c r="H124" i="13"/>
  <c r="G124" i="13"/>
  <c r="E124" i="13"/>
  <c r="D124" i="13"/>
  <c r="H123" i="13"/>
  <c r="G123" i="13"/>
  <c r="E123" i="13"/>
  <c r="D123" i="13"/>
  <c r="H122" i="13"/>
  <c r="G122" i="13"/>
  <c r="E122" i="13"/>
  <c r="D122" i="13"/>
  <c r="H121" i="13"/>
  <c r="G121" i="13"/>
  <c r="E121" i="13"/>
  <c r="D121" i="13"/>
  <c r="H120" i="13"/>
  <c r="G120" i="13"/>
  <c r="E120" i="13"/>
  <c r="D120" i="13"/>
  <c r="H119" i="13"/>
  <c r="G119" i="13"/>
  <c r="E119" i="13"/>
  <c r="D119" i="13"/>
  <c r="H118" i="13"/>
  <c r="G118" i="13"/>
  <c r="E118" i="13"/>
  <c r="D118" i="13"/>
  <c r="H117" i="13"/>
  <c r="G117" i="13"/>
  <c r="E117" i="13"/>
  <c r="D117" i="13"/>
  <c r="H116" i="13"/>
  <c r="G116" i="13"/>
  <c r="E116" i="13"/>
  <c r="D116" i="13"/>
  <c r="H115" i="13"/>
  <c r="G115" i="13"/>
  <c r="E115" i="13"/>
  <c r="D115" i="13"/>
  <c r="H114" i="13"/>
  <c r="G114" i="13"/>
  <c r="E114" i="13"/>
  <c r="D114" i="13"/>
  <c r="H113" i="13"/>
  <c r="G113" i="13"/>
  <c r="E113" i="13"/>
  <c r="D113" i="13"/>
  <c r="H112" i="13"/>
  <c r="G112" i="13"/>
  <c r="E112" i="13"/>
  <c r="D112" i="13"/>
  <c r="H111" i="13"/>
  <c r="G111" i="13"/>
  <c r="E111" i="13"/>
  <c r="D111" i="13"/>
  <c r="H110" i="13"/>
  <c r="G110" i="13"/>
  <c r="E110" i="13"/>
  <c r="D110" i="13"/>
  <c r="H109" i="13"/>
  <c r="G109" i="13"/>
  <c r="E109" i="13"/>
  <c r="D109" i="13"/>
  <c r="H108" i="13"/>
  <c r="G108" i="13"/>
  <c r="E108" i="13"/>
  <c r="D108" i="13"/>
  <c r="H107" i="13"/>
  <c r="G107" i="13"/>
  <c r="E107" i="13"/>
  <c r="D107" i="13"/>
  <c r="H106" i="13"/>
  <c r="G106" i="13"/>
  <c r="E106" i="13"/>
  <c r="D106" i="13"/>
  <c r="H105" i="13"/>
  <c r="G105" i="13"/>
  <c r="E105" i="13"/>
  <c r="D105" i="13"/>
  <c r="H104" i="13"/>
  <c r="G104" i="13"/>
  <c r="E104" i="13"/>
  <c r="D104" i="13"/>
  <c r="H103" i="13"/>
  <c r="G103" i="13"/>
  <c r="E103" i="13"/>
  <c r="D103" i="13"/>
  <c r="H102" i="13"/>
  <c r="G102" i="13"/>
  <c r="E102" i="13"/>
  <c r="D102" i="13"/>
  <c r="H101" i="13"/>
  <c r="G101" i="13"/>
  <c r="E101" i="13"/>
  <c r="D101" i="13"/>
  <c r="H100" i="13"/>
  <c r="G100" i="13"/>
  <c r="E100" i="13"/>
  <c r="D100" i="13"/>
  <c r="H99" i="13"/>
  <c r="G99" i="13"/>
  <c r="E99" i="13"/>
  <c r="D99" i="13"/>
  <c r="H98" i="13"/>
  <c r="G98" i="13"/>
  <c r="E98" i="13"/>
  <c r="D98" i="13"/>
  <c r="H97" i="13"/>
  <c r="G97" i="13"/>
  <c r="E97" i="13"/>
  <c r="D97" i="13"/>
  <c r="H96" i="13"/>
  <c r="G96" i="13"/>
  <c r="E96" i="13"/>
  <c r="D96" i="13"/>
  <c r="H95" i="13"/>
  <c r="G95" i="13"/>
  <c r="E95" i="13"/>
  <c r="D95" i="13"/>
  <c r="H94" i="13"/>
  <c r="G94" i="13"/>
  <c r="E94" i="13"/>
  <c r="D94" i="13"/>
  <c r="H93" i="13"/>
  <c r="G93" i="13"/>
  <c r="E93" i="13"/>
  <c r="D93" i="13"/>
  <c r="H92" i="13"/>
  <c r="G92" i="13"/>
  <c r="E92" i="13"/>
  <c r="D92" i="13"/>
  <c r="H91" i="13"/>
  <c r="G91" i="13"/>
  <c r="E91" i="13"/>
  <c r="D91" i="13"/>
  <c r="H90" i="13"/>
  <c r="G90" i="13"/>
  <c r="E90" i="13"/>
  <c r="D90" i="13"/>
  <c r="H89" i="13"/>
  <c r="G89" i="13"/>
  <c r="E89" i="13"/>
  <c r="D89" i="13"/>
  <c r="H88" i="13"/>
  <c r="G88" i="13"/>
  <c r="E88" i="13"/>
  <c r="D88" i="13"/>
  <c r="H87" i="13"/>
  <c r="G87" i="13"/>
  <c r="E87" i="13"/>
  <c r="D87" i="13"/>
  <c r="H86" i="13"/>
  <c r="G86" i="13"/>
  <c r="E86" i="13"/>
  <c r="D86" i="13"/>
  <c r="H85" i="13"/>
  <c r="G85" i="13"/>
  <c r="E85" i="13"/>
  <c r="D85" i="13"/>
  <c r="H84" i="13"/>
  <c r="G84" i="13"/>
  <c r="E84" i="13"/>
  <c r="D84" i="13"/>
  <c r="H83" i="13"/>
  <c r="G83" i="13"/>
  <c r="E83" i="13"/>
  <c r="D83" i="13"/>
  <c r="H82" i="13"/>
  <c r="G82" i="13"/>
  <c r="E82" i="13"/>
  <c r="D82" i="13"/>
  <c r="H81" i="13"/>
  <c r="G81" i="13"/>
  <c r="E81" i="13"/>
  <c r="D81" i="13"/>
  <c r="H80" i="13"/>
  <c r="G80" i="13"/>
  <c r="E80" i="13"/>
  <c r="D80" i="13"/>
  <c r="H79" i="13"/>
  <c r="G79" i="13"/>
  <c r="E79" i="13"/>
  <c r="D79" i="13"/>
  <c r="H78" i="13"/>
  <c r="G78" i="13"/>
  <c r="E78" i="13"/>
  <c r="D78" i="13"/>
  <c r="H77" i="13"/>
  <c r="G77" i="13"/>
  <c r="E77" i="13"/>
  <c r="D77" i="13"/>
  <c r="H76" i="13"/>
  <c r="G76" i="13"/>
  <c r="E76" i="13"/>
  <c r="D76" i="13"/>
  <c r="H75" i="13"/>
  <c r="G75" i="13"/>
  <c r="E75" i="13"/>
  <c r="D75" i="13"/>
  <c r="H74" i="13"/>
  <c r="G74" i="13"/>
  <c r="E74" i="13"/>
  <c r="D74" i="13"/>
  <c r="H73" i="13"/>
  <c r="G73" i="13"/>
  <c r="E73" i="13"/>
  <c r="D73" i="13"/>
  <c r="H72" i="13"/>
  <c r="G72" i="13"/>
  <c r="E72" i="13"/>
  <c r="D72" i="13"/>
  <c r="H71" i="13"/>
  <c r="G71" i="13"/>
  <c r="E71" i="13"/>
  <c r="D71" i="13"/>
  <c r="H70" i="13"/>
  <c r="G70" i="13"/>
  <c r="E70" i="13"/>
  <c r="D70" i="13"/>
  <c r="H69" i="13"/>
  <c r="G69" i="13"/>
  <c r="E69" i="13"/>
  <c r="D69" i="13"/>
  <c r="H68" i="13"/>
  <c r="G68" i="13"/>
  <c r="E68" i="13"/>
  <c r="D68" i="13"/>
  <c r="H67" i="13"/>
  <c r="G67" i="13"/>
  <c r="E67" i="13"/>
  <c r="D67" i="13"/>
  <c r="H66" i="13"/>
  <c r="G66" i="13"/>
  <c r="E66" i="13"/>
  <c r="D66" i="13"/>
  <c r="H65" i="13"/>
  <c r="G65" i="13"/>
  <c r="E65" i="13"/>
  <c r="D65" i="13"/>
  <c r="H64" i="13"/>
  <c r="G64" i="13"/>
  <c r="E64" i="13"/>
  <c r="D64" i="13"/>
  <c r="H63" i="13"/>
  <c r="G63" i="13"/>
  <c r="E63" i="13"/>
  <c r="D63" i="13"/>
  <c r="H62" i="13"/>
  <c r="G62" i="13"/>
  <c r="E62" i="13"/>
  <c r="D62" i="13"/>
  <c r="H61" i="13"/>
  <c r="G61" i="13"/>
  <c r="E61" i="13"/>
  <c r="D61" i="13"/>
  <c r="H60" i="13"/>
  <c r="G60" i="13"/>
  <c r="E60" i="13"/>
  <c r="D60" i="13"/>
  <c r="H59" i="13"/>
  <c r="G59" i="13"/>
  <c r="E59" i="13"/>
  <c r="D59" i="13"/>
  <c r="H58" i="13"/>
  <c r="G58" i="13"/>
  <c r="E58" i="13"/>
  <c r="D58" i="13"/>
  <c r="H57" i="13"/>
  <c r="G57" i="13"/>
  <c r="E57" i="13"/>
  <c r="D57" i="13"/>
  <c r="H56" i="13"/>
  <c r="G56" i="13"/>
  <c r="E56" i="13"/>
  <c r="D56" i="13"/>
  <c r="H55" i="13"/>
  <c r="G55" i="13"/>
  <c r="E55" i="13"/>
  <c r="D55" i="13"/>
  <c r="H54" i="13"/>
  <c r="G54" i="13"/>
  <c r="E54" i="13"/>
  <c r="D54" i="13"/>
  <c r="H53" i="13"/>
  <c r="G53" i="13"/>
  <c r="E53" i="13"/>
  <c r="D53" i="13"/>
  <c r="H52" i="13"/>
  <c r="G52" i="13"/>
  <c r="E52" i="13"/>
  <c r="D52" i="13"/>
  <c r="H51" i="13"/>
  <c r="G51" i="13"/>
  <c r="E51" i="13"/>
  <c r="D51" i="13"/>
  <c r="H50" i="13"/>
  <c r="G50" i="13"/>
  <c r="E50" i="13"/>
  <c r="D50" i="13"/>
  <c r="H49" i="13"/>
  <c r="G49" i="13"/>
  <c r="E49" i="13"/>
  <c r="D49" i="13"/>
  <c r="H48" i="13"/>
  <c r="G48" i="13"/>
  <c r="E48" i="13"/>
  <c r="D48" i="13"/>
  <c r="H47" i="13"/>
  <c r="G47" i="13"/>
  <c r="E47" i="13"/>
  <c r="D47" i="13"/>
  <c r="H46" i="13"/>
  <c r="G46" i="13"/>
  <c r="E46" i="13"/>
  <c r="D46" i="13"/>
  <c r="H45" i="13"/>
  <c r="G45" i="13"/>
  <c r="E45" i="13"/>
  <c r="D45" i="13"/>
  <c r="H44" i="13"/>
  <c r="G44" i="13"/>
  <c r="E44" i="13"/>
  <c r="D44" i="13"/>
  <c r="H43" i="13"/>
  <c r="G43" i="13"/>
  <c r="E43" i="13"/>
  <c r="D43" i="13"/>
  <c r="H42" i="13"/>
  <c r="G42" i="13"/>
  <c r="E42" i="13"/>
  <c r="D42" i="13"/>
  <c r="H41" i="13"/>
  <c r="G41" i="13"/>
  <c r="E41" i="13"/>
  <c r="D41" i="13"/>
  <c r="H40" i="13"/>
  <c r="G40" i="13"/>
  <c r="E40" i="13"/>
  <c r="D40" i="13"/>
  <c r="H39" i="13"/>
  <c r="G39" i="13"/>
  <c r="E39" i="13"/>
  <c r="D39" i="13"/>
  <c r="H38" i="13"/>
  <c r="G38" i="13"/>
  <c r="E38" i="13"/>
  <c r="D38" i="13"/>
  <c r="H37" i="13"/>
  <c r="G37" i="13"/>
  <c r="E37" i="13"/>
  <c r="D37" i="13"/>
  <c r="H36" i="13"/>
  <c r="G36" i="13"/>
  <c r="E36" i="13"/>
  <c r="D36" i="13"/>
  <c r="H35" i="13"/>
  <c r="G35" i="13"/>
  <c r="E35" i="13"/>
  <c r="D35" i="13"/>
  <c r="H34" i="13"/>
  <c r="G34" i="13"/>
  <c r="E34" i="13"/>
  <c r="D34" i="13"/>
  <c r="H33" i="13"/>
  <c r="G33" i="13"/>
  <c r="E33" i="13"/>
  <c r="D33" i="13"/>
  <c r="H32" i="13"/>
  <c r="G32" i="13"/>
  <c r="E32" i="13"/>
  <c r="D32" i="13"/>
  <c r="H31" i="13"/>
  <c r="G31" i="13"/>
  <c r="E31" i="13"/>
  <c r="D31" i="13"/>
  <c r="H30" i="13"/>
  <c r="G30" i="13"/>
  <c r="E30" i="13"/>
  <c r="D30" i="13"/>
  <c r="H29" i="13"/>
  <c r="G29" i="13"/>
  <c r="E29" i="13"/>
  <c r="D29" i="13"/>
  <c r="H28" i="13"/>
  <c r="G28" i="13"/>
  <c r="E28" i="13"/>
  <c r="D28" i="13"/>
  <c r="H27" i="13"/>
  <c r="G27" i="13"/>
  <c r="E27" i="13"/>
  <c r="D27" i="13"/>
  <c r="H26" i="13"/>
  <c r="G26" i="13"/>
  <c r="E26" i="13"/>
  <c r="D26" i="13"/>
  <c r="H25" i="13"/>
  <c r="G25" i="13"/>
  <c r="E25" i="13"/>
  <c r="D25" i="13"/>
  <c r="H24" i="13"/>
  <c r="G24" i="13"/>
  <c r="E24" i="13"/>
  <c r="D24" i="13"/>
  <c r="H23" i="13"/>
  <c r="G23" i="13"/>
  <c r="E23" i="13"/>
  <c r="D23" i="13"/>
  <c r="H22" i="13"/>
  <c r="G22" i="13"/>
  <c r="E22" i="13"/>
  <c r="D22" i="13"/>
  <c r="H21" i="13"/>
  <c r="G21" i="13"/>
  <c r="E21" i="13"/>
  <c r="D21" i="13"/>
  <c r="H20" i="13"/>
  <c r="G20" i="13"/>
  <c r="E20" i="13"/>
  <c r="D20" i="13"/>
  <c r="H19" i="13"/>
  <c r="G19" i="13"/>
  <c r="E19" i="13"/>
  <c r="D19" i="13"/>
  <c r="H18" i="13"/>
  <c r="G18" i="13"/>
  <c r="E18" i="13"/>
  <c r="D18" i="13"/>
  <c r="H17" i="13"/>
  <c r="G17" i="13"/>
  <c r="E17" i="13"/>
  <c r="D17" i="13"/>
  <c r="H16" i="13"/>
  <c r="G16" i="13"/>
  <c r="E16" i="13"/>
  <c r="D16" i="13"/>
  <c r="H15" i="13"/>
  <c r="G15" i="13"/>
  <c r="E15" i="13"/>
  <c r="D15" i="13"/>
  <c r="H14" i="13"/>
  <c r="G14" i="13"/>
  <c r="E14" i="13"/>
  <c r="D14" i="13"/>
  <c r="H13" i="13"/>
  <c r="G13" i="13"/>
  <c r="E13" i="13"/>
  <c r="D13" i="13"/>
  <c r="H12" i="13"/>
  <c r="G12" i="13"/>
  <c r="E12" i="13"/>
  <c r="D12" i="13"/>
  <c r="H11" i="13"/>
  <c r="G11" i="13"/>
  <c r="E11" i="13"/>
  <c r="D11" i="13"/>
  <c r="H10" i="13"/>
  <c r="G10" i="13"/>
  <c r="E10" i="13"/>
  <c r="D10" i="13"/>
  <c r="H9" i="13"/>
  <c r="G9" i="13"/>
  <c r="E9" i="13"/>
  <c r="D9" i="13"/>
  <c r="H8" i="13"/>
  <c r="G8" i="13"/>
  <c r="E8" i="13"/>
  <c r="D8" i="13"/>
  <c r="H7" i="13"/>
  <c r="G7" i="13"/>
  <c r="E7" i="13"/>
  <c r="D7" i="13"/>
  <c r="H6" i="13"/>
  <c r="G6" i="13"/>
  <c r="E6" i="13"/>
  <c r="D6" i="13"/>
  <c r="H5" i="13"/>
  <c r="G5" i="13"/>
  <c r="E5" i="13"/>
  <c r="D5" i="13"/>
  <c r="H4" i="13"/>
  <c r="G4" i="13"/>
  <c r="E4" i="13"/>
  <c r="D4" i="13"/>
  <c r="H3" i="13"/>
  <c r="G3" i="13"/>
  <c r="E3" i="13"/>
  <c r="D3" i="13"/>
  <c r="H2" i="13"/>
  <c r="G2" i="13"/>
  <c r="E2" i="13"/>
  <c r="D2" i="13"/>
  <c r="S1001" i="5"/>
  <c r="S1000" i="5"/>
  <c r="S999" i="5"/>
  <c r="S998" i="5"/>
  <c r="S997" i="5"/>
  <c r="S996" i="5"/>
  <c r="S995" i="5"/>
  <c r="S994" i="5"/>
  <c r="S993" i="5"/>
  <c r="S992" i="5"/>
  <c r="S991" i="5"/>
  <c r="S990" i="5"/>
  <c r="S989" i="5"/>
  <c r="S988" i="5"/>
  <c r="S987" i="5"/>
  <c r="S986" i="5"/>
  <c r="S985" i="5"/>
  <c r="S984" i="5"/>
  <c r="S983" i="5"/>
  <c r="S982" i="5"/>
  <c r="S981" i="5"/>
  <c r="S980" i="5"/>
  <c r="S979" i="5"/>
  <c r="S978" i="5"/>
  <c r="S977" i="5"/>
  <c r="S976" i="5"/>
  <c r="S975" i="5"/>
  <c r="S974" i="5"/>
  <c r="S973" i="5"/>
  <c r="S972" i="5"/>
  <c r="S971" i="5"/>
  <c r="S970" i="5"/>
  <c r="S969" i="5"/>
  <c r="S968" i="5"/>
  <c r="S967" i="5"/>
  <c r="S966" i="5"/>
  <c r="S965" i="5"/>
  <c r="S964" i="5"/>
  <c r="S963" i="5"/>
  <c r="S962" i="5"/>
  <c r="S961" i="5"/>
  <c r="S960" i="5"/>
  <c r="S959" i="5"/>
  <c r="S958" i="5"/>
  <c r="S957" i="5"/>
  <c r="S956" i="5"/>
  <c r="S955" i="5"/>
  <c r="S954" i="5"/>
  <c r="S953" i="5"/>
  <c r="S952" i="5"/>
  <c r="S951" i="5"/>
  <c r="S950" i="5"/>
  <c r="S949" i="5"/>
  <c r="S948" i="5"/>
  <c r="S947" i="5"/>
  <c r="S946" i="5"/>
  <c r="S945" i="5"/>
  <c r="S944" i="5"/>
  <c r="S943" i="5"/>
  <c r="S942" i="5"/>
  <c r="S941" i="5"/>
  <c r="S940" i="5"/>
  <c r="S939" i="5"/>
  <c r="S938" i="5"/>
  <c r="S937" i="5"/>
  <c r="S936" i="5"/>
  <c r="S935" i="5"/>
  <c r="S934" i="5"/>
  <c r="S933" i="5"/>
  <c r="S932" i="5"/>
  <c r="S931" i="5"/>
  <c r="S930" i="5"/>
  <c r="S929" i="5"/>
  <c r="S928" i="5"/>
  <c r="S927" i="5"/>
  <c r="S926" i="5"/>
  <c r="S925" i="5"/>
  <c r="S924" i="5"/>
  <c r="S923" i="5"/>
  <c r="S922" i="5"/>
  <c r="S921" i="5"/>
  <c r="S920" i="5"/>
  <c r="S919" i="5"/>
  <c r="S918" i="5"/>
  <c r="S917" i="5"/>
  <c r="S916" i="5"/>
  <c r="S915" i="5"/>
  <c r="S914" i="5"/>
  <c r="S913" i="5"/>
  <c r="S912" i="5"/>
  <c r="S911" i="5"/>
  <c r="S910" i="5"/>
  <c r="S909" i="5"/>
  <c r="S908" i="5"/>
  <c r="S907" i="5"/>
  <c r="S906" i="5"/>
  <c r="S905" i="5"/>
  <c r="S904" i="5"/>
  <c r="S903" i="5"/>
  <c r="S902" i="5"/>
  <c r="S901" i="5"/>
  <c r="S900" i="5"/>
  <c r="S899" i="5"/>
  <c r="S898" i="5"/>
  <c r="S897" i="5"/>
  <c r="S896" i="5"/>
  <c r="S895" i="5"/>
  <c r="S894" i="5"/>
  <c r="S893" i="5"/>
  <c r="S892" i="5"/>
  <c r="S891" i="5"/>
  <c r="S890" i="5"/>
  <c r="S889" i="5"/>
  <c r="S888" i="5"/>
  <c r="S887" i="5"/>
  <c r="S886" i="5"/>
  <c r="S885" i="5"/>
  <c r="S884" i="5"/>
  <c r="S883" i="5"/>
  <c r="S882" i="5"/>
  <c r="S881" i="5"/>
  <c r="S880" i="5"/>
  <c r="S879" i="5"/>
  <c r="S878" i="5"/>
  <c r="S877" i="5"/>
  <c r="S876" i="5"/>
  <c r="S875" i="5"/>
  <c r="S874" i="5"/>
  <c r="S873" i="5"/>
  <c r="S872" i="5"/>
  <c r="S871" i="5"/>
  <c r="S870" i="5"/>
  <c r="S869" i="5"/>
  <c r="S868" i="5"/>
  <c r="S867" i="5"/>
  <c r="S866" i="5"/>
  <c r="S865" i="5"/>
  <c r="S864" i="5"/>
  <c r="S863" i="5"/>
  <c r="S862" i="5"/>
  <c r="S861" i="5"/>
  <c r="S860" i="5"/>
  <c r="S859" i="5"/>
  <c r="S858" i="5"/>
  <c r="S857" i="5"/>
  <c r="S856" i="5"/>
  <c r="S855" i="5"/>
  <c r="S854" i="5"/>
  <c r="S853" i="5"/>
  <c r="S852" i="5"/>
  <c r="S851" i="5"/>
  <c r="S850" i="5"/>
  <c r="S849" i="5"/>
  <c r="S848" i="5"/>
  <c r="S847" i="5"/>
  <c r="S846" i="5"/>
  <c r="S845" i="5"/>
  <c r="S844" i="5"/>
  <c r="S843" i="5"/>
  <c r="S842" i="5"/>
  <c r="S841" i="5"/>
  <c r="S840" i="5"/>
  <c r="S839" i="5"/>
  <c r="S838" i="5"/>
  <c r="S837" i="5"/>
  <c r="S836" i="5"/>
  <c r="S835" i="5"/>
  <c r="S834" i="5"/>
  <c r="S833" i="5"/>
  <c r="S832" i="5"/>
  <c r="S831" i="5"/>
  <c r="S830" i="5"/>
  <c r="S829" i="5"/>
  <c r="S828" i="5"/>
  <c r="S827" i="5"/>
  <c r="S826" i="5"/>
  <c r="S825" i="5"/>
  <c r="S824" i="5"/>
  <c r="S823" i="5"/>
  <c r="S822" i="5"/>
  <c r="S821" i="5"/>
  <c r="S820" i="5"/>
  <c r="S819" i="5"/>
  <c r="S818" i="5"/>
  <c r="S817" i="5"/>
  <c r="S816" i="5"/>
  <c r="S815" i="5"/>
  <c r="S814" i="5"/>
  <c r="S813" i="5"/>
  <c r="S812" i="5"/>
  <c r="S811" i="5"/>
  <c r="S810" i="5"/>
  <c r="S809" i="5"/>
  <c r="S808" i="5"/>
  <c r="S807" i="5"/>
  <c r="S806" i="5"/>
  <c r="S805" i="5"/>
  <c r="S804" i="5"/>
  <c r="S803" i="5"/>
  <c r="S802" i="5"/>
  <c r="S801" i="5"/>
  <c r="S800" i="5"/>
  <c r="S799" i="5"/>
  <c r="S798" i="5"/>
  <c r="S797" i="5"/>
  <c r="S796" i="5"/>
  <c r="S795" i="5"/>
  <c r="S794" i="5"/>
  <c r="S793" i="5"/>
  <c r="S792" i="5"/>
  <c r="S791" i="5"/>
  <c r="S790" i="5"/>
  <c r="S789" i="5"/>
  <c r="S788" i="5"/>
  <c r="S787" i="5"/>
  <c r="S786" i="5"/>
  <c r="S785" i="5"/>
  <c r="S784" i="5"/>
  <c r="S783" i="5"/>
  <c r="S782" i="5"/>
  <c r="S781" i="5"/>
  <c r="S780" i="5"/>
  <c r="S779" i="5"/>
  <c r="S778" i="5"/>
  <c r="S777" i="5"/>
  <c r="S776" i="5"/>
  <c r="S775" i="5"/>
  <c r="S774" i="5"/>
  <c r="S773" i="5"/>
  <c r="S772" i="5"/>
  <c r="S771" i="5"/>
  <c r="S770" i="5"/>
  <c r="S769" i="5"/>
  <c r="S768" i="5"/>
  <c r="S767" i="5"/>
  <c r="S766" i="5"/>
  <c r="S765" i="5"/>
  <c r="S764" i="5"/>
  <c r="S763" i="5"/>
  <c r="S762" i="5"/>
  <c r="S761" i="5"/>
  <c r="S760" i="5"/>
  <c r="S759" i="5"/>
  <c r="S758" i="5"/>
  <c r="S757" i="5"/>
  <c r="S756" i="5"/>
  <c r="S755" i="5"/>
  <c r="S754" i="5"/>
  <c r="S753" i="5"/>
  <c r="S752" i="5"/>
  <c r="S751" i="5"/>
  <c r="S750" i="5"/>
  <c r="S749" i="5"/>
  <c r="S748" i="5"/>
  <c r="S747" i="5"/>
  <c r="S746" i="5"/>
  <c r="S745" i="5"/>
  <c r="S744" i="5"/>
  <c r="S743" i="5"/>
  <c r="S742" i="5"/>
  <c r="S741" i="5"/>
  <c r="S740" i="5"/>
  <c r="S739" i="5"/>
  <c r="S738" i="5"/>
  <c r="S737" i="5"/>
  <c r="S736" i="5"/>
  <c r="S735" i="5"/>
  <c r="S734" i="5"/>
  <c r="S733" i="5"/>
  <c r="S732" i="5"/>
  <c r="S731" i="5"/>
  <c r="S730" i="5"/>
  <c r="S729" i="5"/>
  <c r="S728" i="5"/>
  <c r="S727" i="5"/>
  <c r="S726" i="5"/>
  <c r="S725" i="5"/>
  <c r="S724" i="5"/>
  <c r="S723" i="5"/>
  <c r="S722" i="5"/>
  <c r="S721" i="5"/>
  <c r="S720" i="5"/>
  <c r="S719" i="5"/>
  <c r="S718" i="5"/>
  <c r="S717" i="5"/>
  <c r="S716" i="5"/>
  <c r="S715" i="5"/>
  <c r="S714" i="5"/>
  <c r="S713" i="5"/>
  <c r="S712" i="5"/>
  <c r="S711" i="5"/>
  <c r="S710" i="5"/>
  <c r="S709" i="5"/>
  <c r="S708" i="5"/>
  <c r="S707" i="5"/>
  <c r="S706" i="5"/>
  <c r="S705" i="5"/>
  <c r="S704" i="5"/>
  <c r="S703" i="5"/>
  <c r="S702" i="5"/>
  <c r="S701" i="5"/>
  <c r="S700" i="5"/>
  <c r="S699" i="5"/>
  <c r="S698" i="5"/>
  <c r="S697" i="5"/>
  <c r="S696" i="5"/>
  <c r="S695" i="5"/>
  <c r="S694" i="5"/>
  <c r="S693" i="5"/>
  <c r="S692" i="5"/>
  <c r="S691" i="5"/>
  <c r="S690" i="5"/>
  <c r="S689" i="5"/>
  <c r="S688" i="5"/>
  <c r="S687" i="5"/>
  <c r="S686" i="5"/>
  <c r="S685" i="5"/>
  <c r="S684" i="5"/>
  <c r="S683" i="5"/>
  <c r="S682" i="5"/>
  <c r="S681" i="5"/>
  <c r="S680" i="5"/>
  <c r="S679" i="5"/>
  <c r="S678" i="5"/>
  <c r="S677" i="5"/>
  <c r="S676" i="5"/>
  <c r="S675" i="5"/>
  <c r="S674" i="5"/>
  <c r="S673" i="5"/>
  <c r="S672" i="5"/>
  <c r="S671" i="5"/>
  <c r="S670" i="5"/>
  <c r="S669" i="5"/>
  <c r="S668" i="5"/>
  <c r="S667" i="5"/>
  <c r="S666" i="5"/>
  <c r="S665" i="5"/>
  <c r="S664" i="5"/>
  <c r="S663" i="5"/>
  <c r="S662" i="5"/>
  <c r="S661" i="5"/>
  <c r="S660" i="5"/>
  <c r="S659" i="5"/>
  <c r="S658" i="5"/>
  <c r="S657" i="5"/>
  <c r="S656" i="5"/>
  <c r="S655" i="5"/>
  <c r="S654" i="5"/>
  <c r="S653" i="5"/>
  <c r="S652" i="5"/>
  <c r="S651" i="5"/>
  <c r="S650" i="5"/>
  <c r="S649" i="5"/>
  <c r="S648" i="5"/>
  <c r="S647" i="5"/>
  <c r="S646" i="5"/>
  <c r="S645" i="5"/>
  <c r="S644" i="5"/>
  <c r="S643" i="5"/>
  <c r="S642" i="5"/>
  <c r="S641" i="5"/>
  <c r="S640" i="5"/>
  <c r="S639" i="5"/>
  <c r="S638" i="5"/>
  <c r="S637" i="5"/>
  <c r="S636" i="5"/>
  <c r="S635" i="5"/>
  <c r="S634" i="5"/>
  <c r="S633" i="5"/>
  <c r="S632" i="5"/>
  <c r="S631" i="5"/>
  <c r="S630" i="5"/>
  <c r="S629" i="5"/>
  <c r="S628" i="5"/>
  <c r="S627" i="5"/>
  <c r="S626" i="5"/>
  <c r="S625" i="5"/>
  <c r="S624" i="5"/>
  <c r="S623" i="5"/>
  <c r="S622" i="5"/>
  <c r="S621" i="5"/>
  <c r="S620" i="5"/>
  <c r="S619" i="5"/>
  <c r="S618" i="5"/>
  <c r="S617" i="5"/>
  <c r="S616" i="5"/>
  <c r="S615" i="5"/>
  <c r="S614" i="5"/>
  <c r="S613" i="5"/>
  <c r="S612" i="5"/>
  <c r="S611" i="5"/>
  <c r="S610" i="5"/>
  <c r="S609" i="5"/>
  <c r="S608" i="5"/>
  <c r="S607" i="5"/>
  <c r="S606" i="5"/>
  <c r="S605" i="5"/>
  <c r="S604" i="5"/>
  <c r="S603" i="5"/>
  <c r="S602" i="5"/>
  <c r="S601" i="5"/>
  <c r="S600" i="5"/>
  <c r="S599" i="5"/>
  <c r="S598" i="5"/>
  <c r="S597" i="5"/>
  <c r="S596" i="5"/>
  <c r="S595" i="5"/>
  <c r="S594" i="5"/>
  <c r="S593" i="5"/>
  <c r="S592" i="5"/>
  <c r="S591" i="5"/>
  <c r="S590" i="5"/>
  <c r="S589" i="5"/>
  <c r="S588" i="5"/>
  <c r="S587" i="5"/>
  <c r="S586" i="5"/>
  <c r="S585" i="5"/>
  <c r="S584" i="5"/>
  <c r="S583" i="5"/>
  <c r="S582" i="5"/>
  <c r="S581" i="5"/>
  <c r="S580" i="5"/>
  <c r="S579" i="5"/>
  <c r="S578" i="5"/>
  <c r="S577" i="5"/>
  <c r="S576" i="5"/>
  <c r="S575" i="5"/>
  <c r="S574" i="5"/>
  <c r="S573" i="5"/>
  <c r="S572" i="5"/>
  <c r="S571" i="5"/>
  <c r="S570" i="5"/>
  <c r="S569" i="5"/>
  <c r="S568" i="5"/>
  <c r="S567" i="5"/>
  <c r="S566" i="5"/>
  <c r="S565" i="5"/>
  <c r="S564" i="5"/>
  <c r="S563" i="5"/>
  <c r="S562" i="5"/>
  <c r="S561" i="5"/>
  <c r="S560" i="5"/>
  <c r="S559" i="5"/>
  <c r="S558" i="5"/>
  <c r="S557" i="5"/>
  <c r="S556" i="5"/>
  <c r="S555" i="5"/>
  <c r="S554" i="5"/>
  <c r="S553" i="5"/>
  <c r="S552" i="5"/>
  <c r="S551" i="5"/>
  <c r="S550" i="5"/>
  <c r="S549" i="5"/>
  <c r="S548" i="5"/>
  <c r="S547" i="5"/>
  <c r="S546" i="5"/>
  <c r="S545" i="5"/>
  <c r="S544" i="5"/>
  <c r="S543" i="5"/>
  <c r="S542" i="5"/>
  <c r="S541" i="5"/>
  <c r="S540" i="5"/>
  <c r="S539" i="5"/>
  <c r="S538" i="5"/>
  <c r="S537" i="5"/>
  <c r="S536" i="5"/>
  <c r="S535" i="5"/>
  <c r="S534" i="5"/>
  <c r="S533" i="5"/>
  <c r="S532" i="5"/>
  <c r="S531" i="5"/>
  <c r="S530" i="5"/>
  <c r="S529" i="5"/>
  <c r="S528" i="5"/>
  <c r="S527" i="5"/>
  <c r="S526" i="5"/>
  <c r="S525" i="5"/>
  <c r="S524" i="5"/>
  <c r="S523" i="5"/>
  <c r="S522" i="5"/>
  <c r="S521" i="5"/>
  <c r="S520" i="5"/>
  <c r="S519" i="5"/>
  <c r="S518" i="5"/>
  <c r="S517" i="5"/>
  <c r="S516" i="5"/>
  <c r="S515" i="5"/>
  <c r="S514" i="5"/>
  <c r="S513" i="5"/>
  <c r="S512" i="5"/>
  <c r="S511" i="5"/>
  <c r="S510" i="5"/>
  <c r="S509" i="5"/>
  <c r="S508" i="5"/>
  <c r="S507" i="5"/>
  <c r="S506" i="5"/>
  <c r="S505" i="5"/>
  <c r="S504" i="5"/>
  <c r="S503" i="5"/>
  <c r="S502" i="5"/>
  <c r="S501" i="5"/>
  <c r="S500" i="5"/>
  <c r="S499" i="5"/>
  <c r="S498" i="5"/>
  <c r="S497" i="5"/>
  <c r="S496" i="5"/>
  <c r="S495" i="5"/>
  <c r="S494" i="5"/>
  <c r="S493" i="5"/>
  <c r="S492" i="5"/>
  <c r="S491" i="5"/>
  <c r="S490" i="5"/>
  <c r="S489" i="5"/>
  <c r="S488" i="5"/>
  <c r="S487" i="5"/>
  <c r="S486" i="5"/>
  <c r="S485" i="5"/>
  <c r="S484" i="5"/>
  <c r="S483" i="5"/>
  <c r="S482" i="5"/>
  <c r="S481" i="5"/>
  <c r="S480" i="5"/>
  <c r="S479" i="5"/>
  <c r="S478" i="5"/>
  <c r="S477" i="5"/>
  <c r="S476" i="5"/>
  <c r="S475" i="5"/>
  <c r="S474" i="5"/>
  <c r="S473" i="5"/>
  <c r="S472" i="5"/>
  <c r="S471" i="5"/>
  <c r="S470" i="5"/>
  <c r="S469" i="5"/>
  <c r="S468" i="5"/>
  <c r="S467" i="5"/>
  <c r="S466" i="5"/>
  <c r="S465" i="5"/>
  <c r="S464" i="5"/>
  <c r="S463" i="5"/>
  <c r="S462" i="5"/>
  <c r="S461" i="5"/>
  <c r="S460" i="5"/>
  <c r="S459" i="5"/>
  <c r="S458" i="5"/>
  <c r="S457" i="5"/>
  <c r="S456" i="5"/>
  <c r="S455" i="5"/>
  <c r="S454" i="5"/>
  <c r="S453" i="5"/>
  <c r="S452" i="5"/>
  <c r="S451" i="5"/>
  <c r="S450" i="5"/>
  <c r="S449" i="5"/>
  <c r="S448" i="5"/>
  <c r="S447" i="5"/>
  <c r="S446" i="5"/>
  <c r="S445" i="5"/>
  <c r="S444" i="5"/>
  <c r="S443" i="5"/>
  <c r="S442" i="5"/>
  <c r="S441" i="5"/>
  <c r="S440" i="5"/>
  <c r="S439" i="5"/>
  <c r="S438" i="5"/>
  <c r="S437" i="5"/>
  <c r="S436" i="5"/>
  <c r="S435" i="5"/>
  <c r="S434" i="5"/>
  <c r="S433" i="5"/>
  <c r="S432" i="5"/>
  <c r="S431" i="5"/>
  <c r="S430" i="5"/>
  <c r="S429" i="5"/>
  <c r="S428" i="5"/>
  <c r="S427" i="5"/>
  <c r="S426" i="5"/>
  <c r="S425" i="5"/>
  <c r="S424" i="5"/>
  <c r="S423" i="5"/>
  <c r="S422" i="5"/>
  <c r="S421" i="5"/>
  <c r="S420" i="5"/>
  <c r="S419" i="5"/>
  <c r="S418" i="5"/>
  <c r="S417" i="5"/>
  <c r="S416" i="5"/>
  <c r="S415" i="5"/>
  <c r="S414" i="5"/>
  <c r="S413" i="5"/>
  <c r="S412" i="5"/>
  <c r="S411" i="5"/>
  <c r="S410" i="5"/>
  <c r="S409" i="5"/>
  <c r="S408" i="5"/>
  <c r="S407" i="5"/>
  <c r="S406" i="5"/>
  <c r="S405" i="5"/>
  <c r="S404" i="5"/>
  <c r="S403" i="5"/>
  <c r="S402" i="5"/>
  <c r="S401" i="5"/>
  <c r="S400" i="5"/>
  <c r="S399" i="5"/>
  <c r="S398" i="5"/>
  <c r="S397" i="5"/>
  <c r="S396" i="5"/>
  <c r="S395" i="5"/>
  <c r="S394" i="5"/>
  <c r="S393" i="5"/>
  <c r="S392" i="5"/>
  <c r="S391" i="5"/>
  <c r="S390" i="5"/>
  <c r="S389" i="5"/>
  <c r="S388" i="5"/>
  <c r="S387" i="5"/>
  <c r="S386" i="5"/>
  <c r="S385" i="5"/>
  <c r="S384" i="5"/>
  <c r="S383" i="5"/>
  <c r="S382" i="5"/>
  <c r="S381" i="5"/>
  <c r="S380" i="5"/>
  <c r="S379" i="5"/>
  <c r="S378" i="5"/>
  <c r="S377" i="5"/>
  <c r="S376" i="5"/>
  <c r="S375" i="5"/>
  <c r="S374" i="5"/>
  <c r="S373" i="5"/>
  <c r="S372" i="5"/>
  <c r="S371" i="5"/>
  <c r="S370" i="5"/>
  <c r="S369" i="5"/>
  <c r="S368" i="5"/>
  <c r="S367" i="5"/>
  <c r="S366" i="5"/>
  <c r="S365" i="5"/>
  <c r="S364" i="5"/>
  <c r="S363" i="5"/>
  <c r="S362" i="5"/>
  <c r="S361" i="5"/>
  <c r="S360" i="5"/>
  <c r="S359" i="5"/>
  <c r="S358" i="5"/>
  <c r="S357" i="5"/>
  <c r="S356" i="5"/>
  <c r="S355" i="5"/>
  <c r="S354" i="5"/>
  <c r="S353" i="5"/>
  <c r="S352" i="5"/>
  <c r="S351" i="5"/>
  <c r="S350" i="5"/>
  <c r="S349" i="5"/>
  <c r="S348" i="5"/>
  <c r="S347" i="5"/>
  <c r="S346" i="5"/>
  <c r="S345" i="5"/>
  <c r="S344" i="5"/>
  <c r="S343" i="5"/>
  <c r="S342" i="5"/>
  <c r="S341" i="5"/>
  <c r="S340" i="5"/>
  <c r="S339" i="5"/>
  <c r="S338" i="5"/>
  <c r="S337" i="5"/>
  <c r="S336" i="5"/>
  <c r="S335" i="5"/>
  <c r="S334" i="5"/>
  <c r="S333" i="5"/>
  <c r="S332" i="5"/>
  <c r="S331" i="5"/>
  <c r="S330" i="5"/>
  <c r="S329" i="5"/>
  <c r="S328" i="5"/>
  <c r="S327" i="5"/>
  <c r="S326" i="5"/>
  <c r="S325" i="5"/>
  <c r="S324" i="5"/>
  <c r="S323" i="5"/>
  <c r="S322" i="5"/>
  <c r="S321" i="5"/>
  <c r="S320" i="5"/>
  <c r="S319" i="5"/>
  <c r="S318" i="5"/>
  <c r="S317" i="5"/>
  <c r="S316" i="5"/>
  <c r="S315" i="5"/>
  <c r="S314" i="5"/>
  <c r="S313" i="5"/>
  <c r="S312" i="5"/>
  <c r="S311" i="5"/>
  <c r="S310" i="5"/>
  <c r="S309" i="5"/>
  <c r="S308" i="5"/>
  <c r="S307" i="5"/>
  <c r="S306" i="5"/>
  <c r="S305" i="5"/>
  <c r="S304" i="5"/>
  <c r="S303" i="5"/>
  <c r="S302" i="5"/>
  <c r="S301" i="5"/>
  <c r="S300" i="5"/>
  <c r="S299" i="5"/>
  <c r="S298" i="5"/>
  <c r="S297" i="5"/>
  <c r="S296" i="5"/>
  <c r="S295" i="5"/>
  <c r="S294" i="5"/>
  <c r="S293" i="5"/>
  <c r="S292" i="5"/>
  <c r="S291" i="5"/>
  <c r="S290" i="5"/>
  <c r="S289" i="5"/>
  <c r="S288" i="5"/>
  <c r="S287" i="5"/>
  <c r="S286" i="5"/>
  <c r="S285" i="5"/>
  <c r="S284" i="5"/>
  <c r="S283" i="5"/>
  <c r="S282" i="5"/>
  <c r="S281" i="5"/>
  <c r="S280" i="5"/>
  <c r="S279" i="5"/>
  <c r="S278" i="5"/>
  <c r="S277" i="5"/>
  <c r="S276" i="5"/>
  <c r="S275" i="5"/>
  <c r="S274" i="5"/>
  <c r="S273" i="5"/>
  <c r="S272" i="5"/>
  <c r="S271" i="5"/>
  <c r="S270" i="5"/>
  <c r="S269" i="5"/>
  <c r="S268" i="5"/>
  <c r="S267" i="5"/>
  <c r="S266" i="5"/>
  <c r="S265" i="5"/>
  <c r="S264" i="5"/>
  <c r="S263" i="5"/>
  <c r="S262" i="5"/>
  <c r="S261" i="5"/>
  <c r="S260" i="5"/>
  <c r="S259" i="5"/>
  <c r="S258" i="5"/>
  <c r="S257" i="5"/>
  <c r="S256" i="5"/>
  <c r="S255" i="5"/>
  <c r="S254" i="5"/>
  <c r="S253" i="5"/>
  <c r="S252" i="5"/>
  <c r="S251" i="5"/>
  <c r="S250" i="5"/>
  <c r="S249" i="5"/>
  <c r="S248" i="5"/>
  <c r="S247" i="5"/>
  <c r="S246" i="5"/>
  <c r="S245" i="5"/>
  <c r="S244" i="5"/>
  <c r="S243" i="5"/>
  <c r="S242" i="5"/>
  <c r="S241" i="5"/>
  <c r="S240" i="5"/>
  <c r="S239" i="5"/>
  <c r="S238" i="5"/>
  <c r="S237" i="5"/>
  <c r="S236" i="5"/>
  <c r="S235" i="5"/>
  <c r="S234" i="5"/>
  <c r="S233" i="5"/>
  <c r="S232" i="5"/>
  <c r="S231" i="5"/>
  <c r="S230" i="5"/>
  <c r="S229" i="5"/>
  <c r="S228" i="5"/>
  <c r="S227" i="5"/>
  <c r="S226" i="5"/>
  <c r="S225" i="5"/>
  <c r="S224" i="5"/>
  <c r="S223" i="5"/>
  <c r="S222" i="5"/>
  <c r="S221" i="5"/>
  <c r="S220" i="5"/>
  <c r="S219" i="5"/>
  <c r="S218" i="5"/>
  <c r="S217" i="5"/>
  <c r="S216" i="5"/>
  <c r="S215" i="5"/>
  <c r="S214" i="5"/>
  <c r="S213" i="5"/>
  <c r="S212" i="5"/>
  <c r="S211" i="5"/>
  <c r="S210" i="5"/>
  <c r="S209" i="5"/>
  <c r="S208" i="5"/>
  <c r="S207" i="5"/>
  <c r="S206" i="5"/>
  <c r="S205" i="5"/>
  <c r="S204" i="5"/>
  <c r="S203" i="5"/>
  <c r="S202" i="5"/>
  <c r="S201" i="5"/>
  <c r="S200" i="5"/>
  <c r="S199" i="5"/>
  <c r="S198" i="5"/>
  <c r="S197" i="5"/>
  <c r="S196" i="5"/>
  <c r="S195" i="5"/>
  <c r="S194" i="5"/>
  <c r="S193" i="5"/>
  <c r="S192" i="5"/>
  <c r="S191" i="5"/>
  <c r="S190" i="5"/>
  <c r="S189" i="5"/>
  <c r="S188" i="5"/>
  <c r="S187" i="5"/>
  <c r="S186" i="5"/>
  <c r="S185" i="5"/>
  <c r="S184" i="5"/>
  <c r="S183" i="5"/>
  <c r="S182" i="5"/>
  <c r="S181" i="5"/>
  <c r="S180" i="5"/>
  <c r="S179" i="5"/>
  <c r="S178" i="5"/>
  <c r="S177" i="5"/>
  <c r="S176" i="5"/>
  <c r="S175" i="5"/>
  <c r="S174" i="5"/>
  <c r="S173" i="5"/>
  <c r="S172" i="5"/>
  <c r="S171" i="5"/>
  <c r="S170" i="5"/>
  <c r="S169" i="5"/>
  <c r="S168" i="5"/>
  <c r="S167" i="5"/>
  <c r="S166" i="5"/>
  <c r="S165" i="5"/>
  <c r="S164" i="5"/>
  <c r="S163" i="5"/>
  <c r="S162" i="5"/>
  <c r="S161" i="5"/>
  <c r="S160" i="5"/>
  <c r="S159" i="5"/>
  <c r="S158" i="5"/>
  <c r="S157" i="5"/>
  <c r="S156" i="5"/>
  <c r="S155" i="5"/>
  <c r="S154" i="5"/>
  <c r="S153" i="5"/>
  <c r="S152" i="5"/>
  <c r="S151" i="5"/>
  <c r="S150" i="5"/>
  <c r="S149" i="5"/>
  <c r="S148" i="5"/>
  <c r="S147" i="5"/>
  <c r="S146" i="5"/>
  <c r="S145" i="5"/>
  <c r="S144" i="5"/>
  <c r="S143" i="5"/>
  <c r="S142" i="5"/>
  <c r="S141" i="5"/>
  <c r="S140" i="5"/>
  <c r="S139" i="5"/>
  <c r="S138" i="5"/>
  <c r="S137" i="5"/>
  <c r="S136" i="5"/>
  <c r="S135" i="5"/>
  <c r="S134" i="5"/>
  <c r="S133" i="5"/>
  <c r="S132" i="5"/>
  <c r="S131" i="5"/>
  <c r="S130" i="5"/>
  <c r="S129" i="5"/>
  <c r="S128" i="5"/>
  <c r="S127" i="5"/>
  <c r="S126" i="5"/>
  <c r="S125" i="5"/>
  <c r="S124" i="5"/>
  <c r="S123" i="5"/>
  <c r="S122" i="5"/>
  <c r="S121" i="5"/>
  <c r="S120" i="5"/>
  <c r="S119" i="5"/>
  <c r="S118" i="5"/>
  <c r="S117" i="5"/>
  <c r="S116" i="5"/>
  <c r="S115" i="5"/>
  <c r="S114" i="5"/>
  <c r="S113" i="5"/>
  <c r="S112" i="5"/>
  <c r="S111" i="5"/>
  <c r="S110" i="5"/>
  <c r="S109" i="5"/>
  <c r="S108" i="5"/>
  <c r="S107" i="5"/>
  <c r="S106" i="5"/>
  <c r="S105" i="5"/>
  <c r="S104" i="5"/>
  <c r="S103" i="5"/>
  <c r="S102" i="5"/>
  <c r="S101" i="5"/>
  <c r="S100" i="5"/>
  <c r="S99" i="5"/>
  <c r="S98" i="5"/>
  <c r="S97" i="5"/>
  <c r="S96" i="5"/>
  <c r="S95" i="5"/>
  <c r="S94" i="5"/>
  <c r="S93" i="5"/>
  <c r="S92" i="5"/>
  <c r="S91" i="5"/>
  <c r="S90" i="5"/>
  <c r="S89" i="5"/>
  <c r="S88" i="5"/>
  <c r="S87" i="5"/>
  <c r="S86" i="5"/>
  <c r="S85" i="5"/>
  <c r="S84" i="5"/>
  <c r="S83" i="5"/>
  <c r="S82" i="5"/>
  <c r="S81" i="5"/>
  <c r="S80" i="5"/>
  <c r="S79" i="5"/>
  <c r="S78" i="5"/>
  <c r="S77" i="5"/>
  <c r="S76" i="5"/>
  <c r="S75" i="5"/>
  <c r="S74" i="5"/>
  <c r="S73" i="5"/>
  <c r="S72" i="5"/>
  <c r="S71" i="5"/>
  <c r="S70" i="5"/>
  <c r="S69" i="5"/>
  <c r="S68" i="5"/>
  <c r="S67" i="5"/>
  <c r="S66" i="5"/>
  <c r="S65" i="5"/>
  <c r="S64" i="5"/>
  <c r="S63" i="5"/>
  <c r="S62" i="5"/>
  <c r="S61" i="5"/>
  <c r="S60" i="5"/>
  <c r="S59" i="5"/>
  <c r="S58" i="5"/>
  <c r="S57" i="5"/>
  <c r="S56" i="5"/>
  <c r="S55" i="5"/>
  <c r="S54" i="5"/>
  <c r="S53" i="5"/>
  <c r="S52" i="5"/>
  <c r="S51" i="5"/>
  <c r="S50" i="5"/>
  <c r="S49" i="5"/>
  <c r="S48" i="5"/>
  <c r="S47" i="5"/>
  <c r="S46" i="5"/>
  <c r="S45" i="5"/>
  <c r="S44" i="5"/>
  <c r="S43" i="5"/>
  <c r="S42" i="5"/>
  <c r="S41" i="5"/>
  <c r="S40" i="5"/>
  <c r="S39" i="5"/>
  <c r="S38" i="5"/>
  <c r="S37" i="5"/>
  <c r="S36" i="5"/>
  <c r="S35" i="5"/>
  <c r="S34" i="5"/>
  <c r="S33" i="5"/>
  <c r="S32" i="5"/>
  <c r="S31" i="5"/>
  <c r="S30" i="5"/>
  <c r="S29" i="5"/>
  <c r="S28" i="5"/>
  <c r="S27" i="5"/>
  <c r="S26" i="5"/>
  <c r="S25" i="5"/>
  <c r="S24" i="5"/>
  <c r="S23" i="5"/>
  <c r="S22" i="5"/>
  <c r="S21" i="5"/>
  <c r="S20" i="5"/>
  <c r="S19" i="5"/>
  <c r="S18" i="5"/>
  <c r="S17" i="5"/>
  <c r="S16" i="5"/>
  <c r="S15" i="5"/>
  <c r="S14" i="5"/>
  <c r="S13" i="5"/>
  <c r="S12" i="5"/>
  <c r="S11" i="5"/>
  <c r="S10" i="5"/>
  <c r="S9" i="5"/>
  <c r="S8" i="5"/>
  <c r="S7" i="5"/>
  <c r="S6" i="5"/>
  <c r="S5" i="5"/>
  <c r="S4" i="5"/>
  <c r="S3" i="5"/>
  <c r="S2" i="5"/>
  <c r="O5" i="6" s="1"/>
  <c r="C48" i="8"/>
  <c r="C52" i="8"/>
  <c r="C56" i="8"/>
  <c r="C49" i="8"/>
  <c r="C53" i="8"/>
  <c r="C57" i="8"/>
  <c r="C51" i="8"/>
  <c r="C55" i="8"/>
  <c r="C50" i="8"/>
  <c r="C54" i="8"/>
  <c r="C58" i="8"/>
  <c r="C47" i="8"/>
  <c r="O4" i="6" l="1"/>
  <c r="O6" i="6"/>
  <c r="O29" i="6"/>
  <c r="G6" i="6"/>
  <c r="H6" i="6"/>
  <c r="I6" i="6"/>
  <c r="G7" i="6"/>
  <c r="H7" i="6"/>
  <c r="I7" i="6"/>
  <c r="G8" i="6"/>
  <c r="H8" i="6"/>
  <c r="I8" i="6"/>
  <c r="G9" i="6"/>
  <c r="H9" i="6"/>
  <c r="I9" i="6"/>
  <c r="G10" i="6"/>
  <c r="H10" i="6"/>
  <c r="I10" i="6"/>
  <c r="G11" i="6"/>
  <c r="H11" i="6"/>
  <c r="I11" i="6"/>
  <c r="G12" i="6"/>
  <c r="H12" i="6"/>
  <c r="I12" i="6"/>
  <c r="G13" i="6"/>
  <c r="H13" i="6"/>
  <c r="I13" i="6"/>
  <c r="G14" i="6"/>
  <c r="H14" i="6"/>
  <c r="I14" i="6"/>
  <c r="G15" i="6"/>
  <c r="H15" i="6"/>
  <c r="I15" i="6"/>
  <c r="G16" i="6"/>
  <c r="H16" i="6"/>
  <c r="I16" i="6"/>
  <c r="G17" i="6"/>
  <c r="H17" i="6"/>
  <c r="I17" i="6"/>
  <c r="G18" i="6"/>
  <c r="H18" i="6"/>
  <c r="I18" i="6"/>
  <c r="G19" i="6"/>
  <c r="H19" i="6"/>
  <c r="I19" i="6"/>
  <c r="G20" i="6"/>
  <c r="H20" i="6"/>
  <c r="I20" i="6"/>
  <c r="G21" i="6"/>
  <c r="H21" i="6"/>
  <c r="I21" i="6"/>
  <c r="G22" i="6"/>
  <c r="H22" i="6"/>
  <c r="I22" i="6"/>
  <c r="G23" i="6"/>
  <c r="H23" i="6"/>
  <c r="I23" i="6"/>
  <c r="G24" i="6"/>
  <c r="H24" i="6"/>
  <c r="I24" i="6"/>
  <c r="G25" i="6"/>
  <c r="H25" i="6"/>
  <c r="I25" i="6"/>
  <c r="G26" i="6"/>
  <c r="H26" i="6"/>
  <c r="I26" i="6"/>
  <c r="G27" i="6"/>
  <c r="H27" i="6"/>
  <c r="I27" i="6"/>
  <c r="G28" i="6"/>
  <c r="H28" i="6"/>
  <c r="I28" i="6"/>
  <c r="G29" i="6"/>
  <c r="H29" i="6"/>
  <c r="I29" i="6"/>
  <c r="G30" i="6"/>
  <c r="H30" i="6"/>
  <c r="I30" i="6"/>
  <c r="G31" i="6"/>
  <c r="H31" i="6"/>
  <c r="I31" i="6"/>
  <c r="G32" i="6"/>
  <c r="H32" i="6"/>
  <c r="I32" i="6"/>
  <c r="G33" i="6"/>
  <c r="H33" i="6"/>
  <c r="I33" i="6"/>
  <c r="G34" i="6"/>
  <c r="H34" i="6"/>
  <c r="I34" i="6"/>
  <c r="G35" i="6"/>
  <c r="H35" i="6"/>
  <c r="I35" i="6"/>
  <c r="G36" i="6"/>
  <c r="H36" i="6"/>
  <c r="I36" i="6"/>
  <c r="G37" i="6"/>
  <c r="H37" i="6"/>
  <c r="I37" i="6"/>
  <c r="G38" i="6"/>
  <c r="H38" i="6"/>
  <c r="I38" i="6"/>
  <c r="G39" i="6"/>
  <c r="H39" i="6"/>
  <c r="I39" i="6"/>
  <c r="G40" i="6"/>
  <c r="H40" i="6"/>
  <c r="I40" i="6"/>
  <c r="G41" i="6"/>
  <c r="H41" i="6"/>
  <c r="I41" i="6"/>
  <c r="G42" i="6"/>
  <c r="H42" i="6"/>
  <c r="I42" i="6"/>
  <c r="G43" i="6"/>
  <c r="H43" i="6"/>
  <c r="I43" i="6"/>
  <c r="G44" i="6"/>
  <c r="H44" i="6"/>
  <c r="I44" i="6"/>
  <c r="G45" i="6"/>
  <c r="H45" i="6"/>
  <c r="I45" i="6"/>
  <c r="G46" i="6"/>
  <c r="H46" i="6"/>
  <c r="I46" i="6"/>
  <c r="G47" i="6"/>
  <c r="H47" i="6"/>
  <c r="I47" i="6"/>
  <c r="G48" i="6"/>
  <c r="H48" i="6"/>
  <c r="I48" i="6"/>
  <c r="G49" i="6"/>
  <c r="H49" i="6"/>
  <c r="I49" i="6"/>
  <c r="H5" i="6"/>
  <c r="I5"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6" i="6"/>
  <c r="K7" i="6"/>
  <c r="K8" i="6"/>
  <c r="K9" i="6"/>
  <c r="K10" i="6"/>
  <c r="K11" i="6"/>
  <c r="B35" i="6"/>
  <c r="C35" i="6"/>
  <c r="D35" i="6"/>
  <c r="E35" i="6"/>
  <c r="L35" i="6" s="1"/>
  <c r="F35" i="6"/>
  <c r="B36" i="6"/>
  <c r="C36" i="6"/>
  <c r="D36" i="6"/>
  <c r="E36" i="6"/>
  <c r="L36" i="6" s="1"/>
  <c r="F36" i="6"/>
  <c r="B37" i="6"/>
  <c r="C37" i="6"/>
  <c r="D37" i="6"/>
  <c r="E37" i="6"/>
  <c r="L37" i="6" s="1"/>
  <c r="F37" i="6"/>
  <c r="B38" i="6"/>
  <c r="C38" i="6"/>
  <c r="D38" i="6"/>
  <c r="E38" i="6"/>
  <c r="L38" i="6" s="1"/>
  <c r="F38" i="6"/>
  <c r="B39" i="6"/>
  <c r="C39" i="6"/>
  <c r="D39" i="6"/>
  <c r="E39" i="6"/>
  <c r="L39" i="6" s="1"/>
  <c r="F39" i="6"/>
  <c r="B40" i="6"/>
  <c r="C40" i="6"/>
  <c r="D40" i="6"/>
  <c r="E40" i="6"/>
  <c r="L40" i="6" s="1"/>
  <c r="F40" i="6"/>
  <c r="B41" i="6"/>
  <c r="C41" i="6"/>
  <c r="D41" i="6"/>
  <c r="E41" i="6"/>
  <c r="L41" i="6" s="1"/>
  <c r="F41" i="6"/>
  <c r="B42" i="6"/>
  <c r="C42" i="6"/>
  <c r="D42" i="6"/>
  <c r="E42" i="6"/>
  <c r="L42" i="6" s="1"/>
  <c r="F42" i="6"/>
  <c r="B43" i="6"/>
  <c r="C43" i="6"/>
  <c r="D43" i="6"/>
  <c r="E43" i="6"/>
  <c r="L43" i="6" s="1"/>
  <c r="F43" i="6"/>
  <c r="B44" i="6"/>
  <c r="C44" i="6"/>
  <c r="D44" i="6"/>
  <c r="E44" i="6"/>
  <c r="L44" i="6" s="1"/>
  <c r="F44" i="6"/>
  <c r="B45" i="6"/>
  <c r="C45" i="6"/>
  <c r="D45" i="6"/>
  <c r="E45" i="6"/>
  <c r="L45" i="6" s="1"/>
  <c r="F45" i="6"/>
  <c r="B46" i="6"/>
  <c r="C46" i="6"/>
  <c r="D46" i="6"/>
  <c r="E46" i="6"/>
  <c r="L46" i="6" s="1"/>
  <c r="F46" i="6"/>
  <c r="B47" i="6"/>
  <c r="C47" i="6"/>
  <c r="D47" i="6"/>
  <c r="E47" i="6"/>
  <c r="L47" i="6" s="1"/>
  <c r="F47" i="6"/>
  <c r="B48" i="6"/>
  <c r="C48" i="6"/>
  <c r="D48" i="6"/>
  <c r="E48" i="6"/>
  <c r="L48" i="6" s="1"/>
  <c r="F48" i="6"/>
  <c r="B49" i="6"/>
  <c r="C49" i="6"/>
  <c r="D49" i="6"/>
  <c r="E49" i="6"/>
  <c r="L49" i="6" s="1"/>
  <c r="F49" i="6"/>
  <c r="C34" i="6"/>
  <c r="D34" i="6"/>
  <c r="E34" i="6"/>
  <c r="L34" i="6" s="1"/>
  <c r="F34" i="6"/>
  <c r="B34" i="6"/>
  <c r="D47" i="8"/>
  <c r="D54" i="8"/>
  <c r="D55" i="8"/>
  <c r="D57" i="8"/>
  <c r="D49" i="8"/>
  <c r="D52" i="8"/>
  <c r="E47" i="8"/>
  <c r="E54" i="8"/>
  <c r="E55" i="8"/>
  <c r="E57" i="8"/>
  <c r="E49" i="8"/>
  <c r="E52" i="8"/>
  <c r="D58" i="8"/>
  <c r="D50" i="8"/>
  <c r="E51" i="8"/>
  <c r="D53" i="8"/>
  <c r="D56" i="8"/>
  <c r="D48" i="8"/>
  <c r="E58" i="8"/>
  <c r="E50" i="8"/>
  <c r="D51" i="8"/>
  <c r="E53" i="8"/>
  <c r="E56" i="8"/>
  <c r="E48" i="8"/>
  <c r="O34" i="6" l="1"/>
  <c r="Q12" i="6"/>
  <c r="S23" i="6"/>
  <c r="O35" i="6"/>
  <c r="Q15" i="6"/>
  <c r="K5" i="6"/>
  <c r="G5" i="6"/>
  <c r="B6" i="6"/>
  <c r="C6" i="6"/>
  <c r="D6" i="6"/>
  <c r="E6" i="6"/>
  <c r="L6" i="6" s="1"/>
  <c r="F6" i="6"/>
  <c r="B7" i="6"/>
  <c r="C7" i="6"/>
  <c r="D7" i="6"/>
  <c r="E7" i="6"/>
  <c r="L7" i="6" s="1"/>
  <c r="F7" i="6"/>
  <c r="B8" i="6"/>
  <c r="C8" i="6"/>
  <c r="D8" i="6"/>
  <c r="E8" i="6"/>
  <c r="L8" i="6" s="1"/>
  <c r="F8" i="6"/>
  <c r="B9" i="6"/>
  <c r="C9" i="6"/>
  <c r="D9" i="6"/>
  <c r="E9" i="6"/>
  <c r="L9" i="6" s="1"/>
  <c r="F9" i="6"/>
  <c r="B10" i="6"/>
  <c r="C10" i="6"/>
  <c r="D10" i="6"/>
  <c r="E10" i="6"/>
  <c r="L10" i="6" s="1"/>
  <c r="F10" i="6"/>
  <c r="B11" i="6"/>
  <c r="C11" i="6"/>
  <c r="D11" i="6"/>
  <c r="E11" i="6"/>
  <c r="L11" i="6" s="1"/>
  <c r="F11" i="6"/>
  <c r="B12" i="6"/>
  <c r="C12" i="6"/>
  <c r="D12" i="6"/>
  <c r="E12" i="6"/>
  <c r="L12" i="6" s="1"/>
  <c r="F12" i="6"/>
  <c r="B13" i="6"/>
  <c r="C13" i="6"/>
  <c r="D13" i="6"/>
  <c r="E13" i="6"/>
  <c r="L13" i="6" s="1"/>
  <c r="F13" i="6"/>
  <c r="B14" i="6"/>
  <c r="C14" i="6"/>
  <c r="D14" i="6"/>
  <c r="E14" i="6"/>
  <c r="L14" i="6" s="1"/>
  <c r="F14" i="6"/>
  <c r="B15" i="6"/>
  <c r="C15" i="6"/>
  <c r="D15" i="6"/>
  <c r="E15" i="6"/>
  <c r="L15" i="6" s="1"/>
  <c r="F15" i="6"/>
  <c r="B16" i="6"/>
  <c r="C16" i="6"/>
  <c r="D16" i="6"/>
  <c r="E16" i="6"/>
  <c r="L16" i="6" s="1"/>
  <c r="F16" i="6"/>
  <c r="B17" i="6"/>
  <c r="C17" i="6"/>
  <c r="D17" i="6"/>
  <c r="E17" i="6"/>
  <c r="L17" i="6" s="1"/>
  <c r="F17" i="6"/>
  <c r="B18" i="6"/>
  <c r="C18" i="6"/>
  <c r="D18" i="6"/>
  <c r="E18" i="6"/>
  <c r="L18" i="6" s="1"/>
  <c r="F18" i="6"/>
  <c r="B19" i="6"/>
  <c r="C19" i="6"/>
  <c r="D19" i="6"/>
  <c r="E19" i="6"/>
  <c r="L19" i="6" s="1"/>
  <c r="F19" i="6"/>
  <c r="B20" i="6"/>
  <c r="C20" i="6"/>
  <c r="D20" i="6"/>
  <c r="E20" i="6"/>
  <c r="L20" i="6" s="1"/>
  <c r="F20" i="6"/>
  <c r="B21" i="6"/>
  <c r="C21" i="6"/>
  <c r="D21" i="6"/>
  <c r="E21" i="6"/>
  <c r="L21" i="6" s="1"/>
  <c r="F21" i="6"/>
  <c r="B22" i="6"/>
  <c r="C22" i="6"/>
  <c r="D22" i="6"/>
  <c r="E22" i="6"/>
  <c r="L22" i="6" s="1"/>
  <c r="F22" i="6"/>
  <c r="B23" i="6"/>
  <c r="C23" i="6"/>
  <c r="D23" i="6"/>
  <c r="E23" i="6"/>
  <c r="L23" i="6" s="1"/>
  <c r="F23" i="6"/>
  <c r="B24" i="6"/>
  <c r="C24" i="6"/>
  <c r="D24" i="6"/>
  <c r="E24" i="6"/>
  <c r="L24" i="6" s="1"/>
  <c r="F24" i="6"/>
  <c r="B25" i="6"/>
  <c r="C25" i="6"/>
  <c r="D25" i="6"/>
  <c r="E25" i="6"/>
  <c r="L25" i="6" s="1"/>
  <c r="F25" i="6"/>
  <c r="B26" i="6"/>
  <c r="C26" i="6"/>
  <c r="D26" i="6"/>
  <c r="E26" i="6"/>
  <c r="L26" i="6" s="1"/>
  <c r="F26" i="6"/>
  <c r="B27" i="6"/>
  <c r="C27" i="6"/>
  <c r="D27" i="6"/>
  <c r="E27" i="6"/>
  <c r="L27" i="6" s="1"/>
  <c r="F27" i="6"/>
  <c r="B28" i="6"/>
  <c r="C28" i="6"/>
  <c r="D28" i="6"/>
  <c r="E28" i="6"/>
  <c r="L28" i="6" s="1"/>
  <c r="F28" i="6"/>
  <c r="B29" i="6"/>
  <c r="C29" i="6"/>
  <c r="D29" i="6"/>
  <c r="E29" i="6"/>
  <c r="L29" i="6" s="1"/>
  <c r="F29" i="6"/>
  <c r="B30" i="6"/>
  <c r="C30" i="6"/>
  <c r="D30" i="6"/>
  <c r="E30" i="6"/>
  <c r="L30" i="6" s="1"/>
  <c r="F30" i="6"/>
  <c r="B31" i="6"/>
  <c r="C31" i="6"/>
  <c r="D31" i="6"/>
  <c r="E31" i="6"/>
  <c r="L31" i="6" s="1"/>
  <c r="F31" i="6"/>
  <c r="B32" i="6"/>
  <c r="C32" i="6"/>
  <c r="D32" i="6"/>
  <c r="E32" i="6"/>
  <c r="L32" i="6" s="1"/>
  <c r="F32" i="6"/>
  <c r="B33" i="6"/>
  <c r="C33" i="6"/>
  <c r="D33" i="6"/>
  <c r="E33" i="6"/>
  <c r="L33" i="6" s="1"/>
  <c r="F33" i="6"/>
  <c r="C5" i="6"/>
  <c r="O30" i="6" s="1"/>
  <c r="D5" i="6"/>
  <c r="E5" i="6"/>
  <c r="F5" i="6"/>
  <c r="B5" i="6"/>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2" i="1"/>
  <c r="O33" i="6" l="1"/>
  <c r="S24" i="6"/>
  <c r="L5" i="6"/>
  <c r="O22" i="6" s="1"/>
  <c r="O31" i="6"/>
  <c r="O12" i="6"/>
  <c r="O16" i="6"/>
  <c r="O13" i="6"/>
  <c r="O17" i="6"/>
  <c r="O14" i="6"/>
  <c r="O11" i="6"/>
  <c r="O15" i="6"/>
  <c r="O7" i="6" l="1"/>
  <c r="O32" i="6"/>
  <c r="O23" i="6"/>
  <c r="O21" i="6"/>
  <c r="O18" i="6"/>
  <c r="S22" i="6" s="1"/>
  <c r="O2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3B66F3-1AB4-46F4-8A1B-C3D461FB991A}"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3BF0857C-4365-4E1F-ACFF-5333BFB36B60}"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3" xr16:uid="{AC5035E8-D6E1-4DD2-945F-B3D5EE184A8B}"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4" xr16:uid="{36DDC86F-9AD7-4304-89BB-9FA02B7F4ACD}" keepAlive="1" name="Query - Dataset_A" description="Connection to the 'Dataset_A' query in the workbook." type="5" refreshedVersion="8" background="1" saveData="1">
    <dbPr connection="Provider=Microsoft.Mashup.OleDb.1;Data Source=$Workbook$;Location=Dataset_A;Extended Properties=&quot;&quot;" command="SELECT * FROM [Dataset_A]"/>
  </connection>
  <connection id="5" xr16:uid="{A24D2F72-48F7-4444-9804-DF3C75EFE892}" keepAlive="1" name="Query - Merge_1&amp;2" description="Connection to the 'Merge_1&amp;2' query in the workbook." type="5" refreshedVersion="8" background="1" saveData="1">
    <dbPr connection="Provider=Microsoft.Mashup.OleDb.1;Data Source=$Workbook$;Location=Merge_1&amp;2;Extended Properties=&quot;&quot;" command="SELECT * FROM [Merge_1&amp;2]"/>
  </connection>
</connections>
</file>

<file path=xl/sharedStrings.xml><?xml version="1.0" encoding="utf-8"?>
<sst xmlns="http://schemas.openxmlformats.org/spreadsheetml/2006/main" count="4686" uniqueCount="102">
  <si>
    <t>Season</t>
  </si>
  <si>
    <t>Year</t>
  </si>
  <si>
    <t>Month</t>
  </si>
  <si>
    <t>Hr</t>
  </si>
  <si>
    <t>Holiday</t>
  </si>
  <si>
    <t>Weekday</t>
  </si>
  <si>
    <t>Weather_sit</t>
  </si>
  <si>
    <t>Temp</t>
  </si>
  <si>
    <t>Instant</t>
  </si>
  <si>
    <t>Date</t>
  </si>
  <si>
    <t>January</t>
  </si>
  <si>
    <t>Saturday</t>
  </si>
  <si>
    <t>Sunday</t>
  </si>
  <si>
    <t>Monday</t>
  </si>
  <si>
    <t>Tuesday</t>
  </si>
  <si>
    <t>Wednesday</t>
  </si>
  <si>
    <t>Thursday</t>
  </si>
  <si>
    <t>Friday</t>
  </si>
  <si>
    <t>A_Temp</t>
  </si>
  <si>
    <t>Humidity</t>
  </si>
  <si>
    <t>Wind_speed</t>
  </si>
  <si>
    <t>Casual</t>
  </si>
  <si>
    <t>Registered</t>
  </si>
  <si>
    <t>Total_Client</t>
  </si>
  <si>
    <t xml:space="preserve"> </t>
  </si>
  <si>
    <t>February</t>
  </si>
  <si>
    <t>Extract Data From Dataset_A</t>
  </si>
  <si>
    <t>date</t>
  </si>
  <si>
    <t>Day</t>
  </si>
  <si>
    <t>Hum Wise</t>
  </si>
  <si>
    <t>Hr Wise</t>
  </si>
  <si>
    <t>Night Time</t>
  </si>
  <si>
    <t>Day Time</t>
  </si>
  <si>
    <t>Evening Time</t>
  </si>
  <si>
    <t>Total Client</t>
  </si>
  <si>
    <t>Total</t>
  </si>
  <si>
    <t>High Humidity</t>
  </si>
  <si>
    <t>Mid Humidity</t>
  </si>
  <si>
    <t>Low Humidity</t>
  </si>
  <si>
    <t>19--24</t>
  </si>
  <si>
    <t>0--8</t>
  </si>
  <si>
    <t>9--18</t>
  </si>
  <si>
    <t>Time Based Analisis</t>
  </si>
  <si>
    <t>Please Enter Date</t>
  </si>
  <si>
    <t>Row Labels</t>
  </si>
  <si>
    <t>Grand Total</t>
  </si>
  <si>
    <t>Column Labels</t>
  </si>
  <si>
    <t>Sum of Total_Client</t>
  </si>
  <si>
    <t>01-Jan</t>
  </si>
  <si>
    <t>02-Jan</t>
  </si>
  <si>
    <t>03-Jan</t>
  </si>
  <si>
    <t>04-Jan</t>
  </si>
  <si>
    <t>05-Jan</t>
  </si>
  <si>
    <t>06-Jan</t>
  </si>
  <si>
    <t>07-Jan</t>
  </si>
  <si>
    <t>08-Jan</t>
  </si>
  <si>
    <t>09-Jan</t>
  </si>
  <si>
    <t>10-Jan</t>
  </si>
  <si>
    <t>11-Jan</t>
  </si>
  <si>
    <t>12-Jan</t>
  </si>
  <si>
    <t>13-Jan</t>
  </si>
  <si>
    <t>14-Jan</t>
  </si>
  <si>
    <t>15-Jan</t>
  </si>
  <si>
    <t>16-Jan</t>
  </si>
  <si>
    <t>17-Jan</t>
  </si>
  <si>
    <t>19-Jan</t>
  </si>
  <si>
    <t>20-Jan</t>
  </si>
  <si>
    <t>21-Jan</t>
  </si>
  <si>
    <t>22-Jan</t>
  </si>
  <si>
    <t>23-Jan</t>
  </si>
  <si>
    <t>24-Jan</t>
  </si>
  <si>
    <t>25-Jan</t>
  </si>
  <si>
    <t>27-Jan</t>
  </si>
  <si>
    <t>28-Jan</t>
  </si>
  <si>
    <t>29-Jan</t>
  </si>
  <si>
    <t>30-Jan</t>
  </si>
  <si>
    <t>31-Jan</t>
  </si>
  <si>
    <t xml:space="preserve">Standard Deviation (Client) </t>
  </si>
  <si>
    <t>Correl (Total Client &amp; Registerd</t>
  </si>
  <si>
    <t>Forecast(Total_Client)</t>
  </si>
  <si>
    <t>Lower Confidence Bound(Total_Client)</t>
  </si>
  <si>
    <t>Upper Confidence Bound(Total_Client)</t>
  </si>
  <si>
    <t>KPI</t>
  </si>
  <si>
    <t>Average Registered</t>
  </si>
  <si>
    <t>Average Casual</t>
  </si>
  <si>
    <t>02-Feb</t>
  </si>
  <si>
    <t>03-Feb</t>
  </si>
  <si>
    <t>04-Feb</t>
  </si>
  <si>
    <t>05-Feb</t>
  </si>
  <si>
    <t>06-Feb</t>
  </si>
  <si>
    <t>07-Feb</t>
  </si>
  <si>
    <t>08-Feb</t>
  </si>
  <si>
    <t>09-Feb</t>
  </si>
  <si>
    <t>10-Feb</t>
  </si>
  <si>
    <t>11-Feb</t>
  </si>
  <si>
    <t>12-Feb</t>
  </si>
  <si>
    <t>13-Feb</t>
  </si>
  <si>
    <t>14-Feb</t>
  </si>
  <si>
    <t>Sum of Casual</t>
  </si>
  <si>
    <t>18-Jan</t>
  </si>
  <si>
    <t>26-Jan</t>
  </si>
  <si>
    <t>01-Feb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</si>
</sst>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0"/>
      <color rgb="FF000000"/>
      <name val="Arial"/>
      <scheme val="minor"/>
    </font>
    <font>
      <sz val="11"/>
      <color theme="1"/>
      <name val="Arial"/>
      <family val="2"/>
      <scheme val="minor"/>
    </font>
    <font>
      <sz val="10"/>
      <color theme="1"/>
      <name val="Arial"/>
      <family val="2"/>
      <scheme val="minor"/>
    </font>
    <font>
      <sz val="10"/>
      <color theme="5"/>
      <name val="Arial"/>
      <family val="2"/>
      <scheme val="minor"/>
    </font>
    <font>
      <sz val="10"/>
      <color rgb="FF000000"/>
      <name val="Arial"/>
      <family val="2"/>
      <scheme val="minor"/>
    </font>
    <font>
      <sz val="10"/>
      <color rgb="FF000000"/>
      <name val="Arial"/>
      <scheme val="minor"/>
    </font>
    <font>
      <sz val="8"/>
      <name val="Arial"/>
      <scheme val="minor"/>
    </font>
    <font>
      <b/>
      <sz val="10"/>
      <color rgb="FF000000"/>
      <name val="Arial"/>
      <scheme val="minor"/>
    </font>
    <font>
      <sz val="10"/>
      <name val="Arial"/>
      <family val="2"/>
      <scheme val="minor"/>
    </font>
    <font>
      <sz val="10"/>
      <color theme="4" tint="-0.249977111117893"/>
      <name val="Arial"/>
      <family val="2"/>
      <scheme val="minor"/>
    </font>
    <font>
      <sz val="11"/>
      <color theme="1"/>
      <name val="Arial"/>
      <scheme val="minor"/>
    </font>
  </fonts>
  <fills count="11">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3">
    <xf numFmtId="0" fontId="0" fillId="0" borderId="0"/>
    <xf numFmtId="9" fontId="5" fillId="0" borderId="0" applyFont="0" applyFill="0" applyBorder="0" applyAlignment="0" applyProtection="0"/>
    <xf numFmtId="0" fontId="10" fillId="0" borderId="0"/>
  </cellStyleXfs>
  <cellXfs count="36">
    <xf numFmtId="0" fontId="0" fillId="0" borderId="0" xfId="0"/>
    <xf numFmtId="0" fontId="2" fillId="0" borderId="0" xfId="0" applyFont="1"/>
    <xf numFmtId="164" fontId="2" fillId="0" borderId="0" xfId="0" applyNumberFormat="1" applyFont="1"/>
    <xf numFmtId="14" fontId="0" fillId="0" borderId="0" xfId="0" applyNumberFormat="1"/>
    <xf numFmtId="0" fontId="7" fillId="0" borderId="0" xfId="0" applyFont="1"/>
    <xf numFmtId="0" fontId="0" fillId="5" borderId="1" xfId="0" applyFill="1" applyBorder="1"/>
    <xf numFmtId="2" fontId="0" fillId="0" borderId="1" xfId="0" applyNumberFormat="1" applyBorder="1"/>
    <xf numFmtId="9" fontId="0" fillId="0" borderId="1" xfId="1" applyFont="1" applyBorder="1"/>
    <xf numFmtId="0" fontId="0" fillId="0" borderId="1" xfId="0" applyBorder="1"/>
    <xf numFmtId="0" fontId="0" fillId="3" borderId="1" xfId="0" applyFill="1" applyBorder="1"/>
    <xf numFmtId="0" fontId="0" fillId="4" borderId="1" xfId="0" applyFill="1" applyBorder="1"/>
    <xf numFmtId="0" fontId="0" fillId="6" borderId="1" xfId="0" applyFill="1" applyBorder="1"/>
    <xf numFmtId="0" fontId="7" fillId="6" borderId="1" xfId="0" applyFont="1" applyFill="1" applyBorder="1"/>
    <xf numFmtId="0" fontId="0" fillId="7" borderId="1" xfId="0" applyFill="1" applyBorder="1"/>
    <xf numFmtId="0" fontId="4" fillId="0" borderId="1" xfId="0" applyFont="1" applyBorder="1"/>
    <xf numFmtId="14" fontId="0" fillId="0" borderId="1" xfId="0" applyNumberFormat="1" applyBorder="1"/>
    <xf numFmtId="0" fontId="4" fillId="5" borderId="1" xfId="0" applyFont="1" applyFill="1" applyBorder="1"/>
    <xf numFmtId="0" fontId="0" fillId="8" borderId="1" xfId="0" applyFill="1" applyBorder="1"/>
    <xf numFmtId="17" fontId="0" fillId="8" borderId="1" xfId="0" applyNumberFormat="1" applyFill="1" applyBorder="1"/>
    <xf numFmtId="0" fontId="0" fillId="10"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1" fontId="0" fillId="0" borderId="1" xfId="0" applyNumberFormat="1" applyBorder="1"/>
    <xf numFmtId="0" fontId="1" fillId="0" borderId="0" xfId="2" applyFont="1"/>
    <xf numFmtId="0" fontId="10" fillId="0" borderId="0" xfId="2"/>
    <xf numFmtId="0" fontId="10" fillId="0" borderId="0" xfId="2" applyAlignment="1">
      <alignment wrapText="1"/>
    </xf>
    <xf numFmtId="0" fontId="3" fillId="2" borderId="0" xfId="0" applyFont="1" applyFill="1" applyAlignment="1">
      <alignment horizontal="center" vertical="center"/>
    </xf>
    <xf numFmtId="0" fontId="8" fillId="9" borderId="2" xfId="0" applyFont="1" applyFill="1" applyBorder="1" applyAlignment="1">
      <alignment horizontal="center"/>
    </xf>
    <xf numFmtId="0" fontId="4" fillId="10" borderId="3" xfId="0" applyFont="1" applyFill="1" applyBorder="1" applyAlignment="1">
      <alignment horizontal="right"/>
    </xf>
    <xf numFmtId="0" fontId="0" fillId="10" borderId="0" xfId="0" applyFill="1" applyAlignment="1">
      <alignment horizontal="right"/>
    </xf>
    <xf numFmtId="0" fontId="0" fillId="9" borderId="1" xfId="0" applyFill="1" applyBorder="1" applyAlignment="1">
      <alignment horizontal="center"/>
    </xf>
    <xf numFmtId="2" fontId="9" fillId="0" borderId="1" xfId="0" applyNumberFormat="1" applyFont="1" applyBorder="1" applyAlignment="1">
      <alignment horizontal="center"/>
    </xf>
    <xf numFmtId="0" fontId="4" fillId="0" borderId="1" xfId="0" applyFont="1" applyBorder="1" applyAlignment="1">
      <alignment horizontal="center"/>
    </xf>
    <xf numFmtId="0" fontId="4" fillId="9" borderId="1" xfId="0" applyFont="1" applyFill="1" applyBorder="1" applyAlignment="1">
      <alignment horizontal="center"/>
    </xf>
  </cellXfs>
  <cellStyles count="3">
    <cellStyle name="Normal" xfId="0" builtinId="0"/>
    <cellStyle name="Normal 2" xfId="2" xr:uid="{0834D82A-7770-4FF5-A89B-C011275CD41A}"/>
    <cellStyle name="Percent" xfId="1" builtinId="5"/>
  </cellStyles>
  <dxfs count="13">
    <dxf>
      <fill>
        <patternFill>
          <bgColor theme="9" tint="0.79998168889431442"/>
        </patternFill>
      </fill>
    </dxf>
    <dxf>
      <numFmt numFmtId="0" formatCode="General"/>
    </dxf>
    <dxf>
      <numFmt numFmtId="0" formatCode="General"/>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19" formatCode="dd/mm/yy"/>
    </dxf>
    <dxf>
      <numFmt numFmtId="2" formatCode="0.00"/>
    </dxf>
    <dxf>
      <numFmt numFmtId="2" formatCode="0.00"/>
    </dxf>
    <dxf>
      <numFmt numFmtId="19" formatCode="dd/mm/yy"/>
    </dxf>
  </dxfs>
  <tableStyles count="0" defaultTableStyle="TableStyleMedium2" defaultPivotStyle="PivotStyleLight16"/>
  <colors>
    <mruColors>
      <color rgb="FFDFD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(2).xlsx]Pivot!PivotTable1</c:name>
    <c:fmtId val="16"/>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5977814093993"/>
          <c:y val="0.10129449233865528"/>
          <c:w val="0.82078770810582979"/>
          <c:h val="0.64759828098410777"/>
        </c:manualLayout>
      </c:layout>
      <c:barChart>
        <c:barDir val="col"/>
        <c:grouping val="stacked"/>
        <c:varyColors val="0"/>
        <c:ser>
          <c:idx val="0"/>
          <c:order val="0"/>
          <c:tx>
            <c:strRef>
              <c:f>Pivot!$B$4:$B$5</c:f>
              <c:strCache>
                <c:ptCount val="1"/>
                <c:pt idx="0">
                  <c:v>Monday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Pivot!$B$6:$B$51</c:f>
              <c:numCache>
                <c:formatCode>General</c:formatCode>
                <c:ptCount val="45"/>
                <c:pt idx="2">
                  <c:v>1349</c:v>
                </c:pt>
                <c:pt idx="9">
                  <c:v>1321</c:v>
                </c:pt>
                <c:pt idx="16">
                  <c:v>1000</c:v>
                </c:pt>
                <c:pt idx="23">
                  <c:v>1416</c:v>
                </c:pt>
                <c:pt idx="30">
                  <c:v>1501</c:v>
                </c:pt>
                <c:pt idx="37">
                  <c:v>1712</c:v>
                </c:pt>
                <c:pt idx="44">
                  <c:v>151</c:v>
                </c:pt>
              </c:numCache>
            </c:numRef>
          </c:val>
          <c:extLst>
            <c:ext xmlns:c16="http://schemas.microsoft.com/office/drawing/2014/chart" uri="{C3380CC4-5D6E-409C-BE32-E72D297353CC}">
              <c16:uniqueId val="{00000000-CDCE-4FAF-B6AB-64B82B05EF7B}"/>
            </c:ext>
          </c:extLst>
        </c:ser>
        <c:ser>
          <c:idx val="1"/>
          <c:order val="1"/>
          <c:tx>
            <c:strRef>
              <c:f>Pivot!$C$4:$C$5</c:f>
              <c:strCache>
                <c:ptCount val="1"/>
                <c:pt idx="0">
                  <c:v>Tuesday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Pivot!$C$6:$C$51</c:f>
              <c:numCache>
                <c:formatCode>General</c:formatCode>
                <c:ptCount val="45"/>
                <c:pt idx="3">
                  <c:v>1562</c:v>
                </c:pt>
                <c:pt idx="10">
                  <c:v>1263</c:v>
                </c:pt>
                <c:pt idx="17">
                  <c:v>683</c:v>
                </c:pt>
                <c:pt idx="24">
                  <c:v>1985</c:v>
                </c:pt>
                <c:pt idx="31">
                  <c:v>1360</c:v>
                </c:pt>
                <c:pt idx="38">
                  <c:v>1530</c:v>
                </c:pt>
              </c:numCache>
            </c:numRef>
          </c:val>
          <c:extLst>
            <c:ext xmlns:c16="http://schemas.microsoft.com/office/drawing/2014/chart" uri="{C3380CC4-5D6E-409C-BE32-E72D297353CC}">
              <c16:uniqueId val="{00000007-E364-4F0C-B99D-583E865B6A2D}"/>
            </c:ext>
          </c:extLst>
        </c:ser>
        <c:ser>
          <c:idx val="2"/>
          <c:order val="2"/>
          <c:tx>
            <c:strRef>
              <c:f>Pivot!$D$4:$D$5</c:f>
              <c:strCache>
                <c:ptCount val="1"/>
                <c:pt idx="0">
                  <c:v>Wednesday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Pivot!$D$6:$D$51</c:f>
              <c:numCache>
                <c:formatCode>General</c:formatCode>
                <c:ptCount val="45"/>
                <c:pt idx="4">
                  <c:v>1600</c:v>
                </c:pt>
                <c:pt idx="11">
                  <c:v>1162</c:v>
                </c:pt>
                <c:pt idx="18">
                  <c:v>1650</c:v>
                </c:pt>
                <c:pt idx="25">
                  <c:v>506</c:v>
                </c:pt>
                <c:pt idx="32">
                  <c:v>1526</c:v>
                </c:pt>
                <c:pt idx="39">
                  <c:v>1605</c:v>
                </c:pt>
              </c:numCache>
            </c:numRef>
          </c:val>
          <c:extLst>
            <c:ext xmlns:c16="http://schemas.microsoft.com/office/drawing/2014/chart" uri="{C3380CC4-5D6E-409C-BE32-E72D297353CC}">
              <c16:uniqueId val="{00000008-E364-4F0C-B99D-583E865B6A2D}"/>
            </c:ext>
          </c:extLst>
        </c:ser>
        <c:ser>
          <c:idx val="3"/>
          <c:order val="3"/>
          <c:tx>
            <c:strRef>
              <c:f>Pivot!$E$4:$E$5</c:f>
              <c:strCache>
                <c:ptCount val="1"/>
                <c:pt idx="0">
                  <c:v>Thursday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Pivot!$E$6:$E$51</c:f>
              <c:numCache>
                <c:formatCode>General</c:formatCode>
                <c:ptCount val="45"/>
                <c:pt idx="5">
                  <c:v>1606</c:v>
                </c:pt>
                <c:pt idx="12">
                  <c:v>1406</c:v>
                </c:pt>
                <c:pt idx="19">
                  <c:v>1927</c:v>
                </c:pt>
                <c:pt idx="26">
                  <c:v>431</c:v>
                </c:pt>
                <c:pt idx="33">
                  <c:v>1550</c:v>
                </c:pt>
                <c:pt idx="40">
                  <c:v>1538</c:v>
                </c:pt>
              </c:numCache>
            </c:numRef>
          </c:val>
          <c:extLst>
            <c:ext xmlns:c16="http://schemas.microsoft.com/office/drawing/2014/chart" uri="{C3380CC4-5D6E-409C-BE32-E72D297353CC}">
              <c16:uniqueId val="{00000009-E364-4F0C-B99D-583E865B6A2D}"/>
            </c:ext>
          </c:extLst>
        </c:ser>
        <c:ser>
          <c:idx val="4"/>
          <c:order val="4"/>
          <c:tx>
            <c:strRef>
              <c:f>Pivot!$F$4:$F$5</c:f>
              <c:strCache>
                <c:ptCount val="1"/>
                <c:pt idx="0">
                  <c:v>Friday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Pivot!$F$6:$F$51</c:f>
              <c:numCache>
                <c:formatCode>General</c:formatCode>
                <c:ptCount val="45"/>
                <c:pt idx="6">
                  <c:v>1510</c:v>
                </c:pt>
                <c:pt idx="13">
                  <c:v>1421</c:v>
                </c:pt>
                <c:pt idx="20">
                  <c:v>1543</c:v>
                </c:pt>
                <c:pt idx="27">
                  <c:v>1167</c:v>
                </c:pt>
                <c:pt idx="34">
                  <c:v>1708</c:v>
                </c:pt>
                <c:pt idx="41">
                  <c:v>1746</c:v>
                </c:pt>
              </c:numCache>
            </c:numRef>
          </c:val>
          <c:extLst>
            <c:ext xmlns:c16="http://schemas.microsoft.com/office/drawing/2014/chart" uri="{C3380CC4-5D6E-409C-BE32-E72D297353CC}">
              <c16:uniqueId val="{0000000A-E364-4F0C-B99D-583E865B6A2D}"/>
            </c:ext>
          </c:extLst>
        </c:ser>
        <c:ser>
          <c:idx val="5"/>
          <c:order val="5"/>
          <c:tx>
            <c:strRef>
              <c:f>Pivot!$G$4:$G$5</c:f>
              <c:strCache>
                <c:ptCount val="1"/>
                <c:pt idx="0">
                  <c:v>Saturday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Pivot!$G$6:$G$51</c:f>
              <c:numCache>
                <c:formatCode>General</c:formatCode>
                <c:ptCount val="45"/>
                <c:pt idx="0">
                  <c:v>985</c:v>
                </c:pt>
                <c:pt idx="7">
                  <c:v>959</c:v>
                </c:pt>
                <c:pt idx="14">
                  <c:v>1248</c:v>
                </c:pt>
                <c:pt idx="21">
                  <c:v>981</c:v>
                </c:pt>
                <c:pt idx="28">
                  <c:v>1098</c:v>
                </c:pt>
                <c:pt idx="35">
                  <c:v>1005</c:v>
                </c:pt>
                <c:pt idx="42">
                  <c:v>1472</c:v>
                </c:pt>
              </c:numCache>
            </c:numRef>
          </c:val>
          <c:extLst>
            <c:ext xmlns:c16="http://schemas.microsoft.com/office/drawing/2014/chart" uri="{C3380CC4-5D6E-409C-BE32-E72D297353CC}">
              <c16:uniqueId val="{0000000B-E364-4F0C-B99D-583E865B6A2D}"/>
            </c:ext>
          </c:extLst>
        </c:ser>
        <c:ser>
          <c:idx val="6"/>
          <c:order val="6"/>
          <c:tx>
            <c:strRef>
              <c:f>Pivot!$H$4:$H$5</c:f>
              <c:strCache>
                <c:ptCount val="1"/>
                <c:pt idx="0">
                  <c:v>Sunday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Pivot!$H$6:$H$51</c:f>
              <c:numCache>
                <c:formatCode>General</c:formatCode>
                <c:ptCount val="45"/>
                <c:pt idx="1">
                  <c:v>801</c:v>
                </c:pt>
                <c:pt idx="8">
                  <c:v>822</c:v>
                </c:pt>
                <c:pt idx="15">
                  <c:v>1204</c:v>
                </c:pt>
                <c:pt idx="22">
                  <c:v>986</c:v>
                </c:pt>
                <c:pt idx="29">
                  <c:v>1096</c:v>
                </c:pt>
                <c:pt idx="36">
                  <c:v>1623</c:v>
                </c:pt>
                <c:pt idx="43">
                  <c:v>1589</c:v>
                </c:pt>
              </c:numCache>
            </c:numRef>
          </c:val>
          <c:extLst>
            <c:ext xmlns:c16="http://schemas.microsoft.com/office/drawing/2014/chart" uri="{C3380CC4-5D6E-409C-BE32-E72D297353CC}">
              <c16:uniqueId val="{0000000C-E364-4F0C-B99D-583E865B6A2D}"/>
            </c:ext>
          </c:extLst>
        </c:ser>
        <c:dLbls>
          <c:showLegendKey val="0"/>
          <c:showVal val="1"/>
          <c:showCatName val="0"/>
          <c:showSerName val="0"/>
          <c:showPercent val="0"/>
          <c:showBubbleSize val="0"/>
        </c:dLbls>
        <c:gapWidth val="150"/>
        <c:overlap val="100"/>
        <c:axId val="849998064"/>
        <c:axId val="773767232"/>
      </c:barChart>
      <c:catAx>
        <c:axId val="8499980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767232"/>
        <c:crosses val="autoZero"/>
        <c:auto val="1"/>
        <c:lblAlgn val="ctr"/>
        <c:lblOffset val="100"/>
        <c:noMultiLvlLbl val="0"/>
      </c:catAx>
      <c:valAx>
        <c:axId val="773767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999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7282296374739"/>
          <c:y val="0.21239652735715728"/>
          <c:w val="0.64012791705478089"/>
          <c:h val="0.34326964374208468"/>
        </c:manualLayout>
      </c:layout>
      <c:barChart>
        <c:barDir val="col"/>
        <c:grouping val="clustered"/>
        <c:varyColors val="0"/>
        <c:ser>
          <c:idx val="0"/>
          <c:order val="0"/>
          <c:tx>
            <c:strRef>
              <c:f>Pivot!$B$60:$B$61</c:f>
              <c:strCache>
                <c:ptCount val="1"/>
                <c:pt idx="0">
                  <c:v>1</c:v>
                </c:pt>
              </c:strCache>
            </c:strRef>
          </c:tx>
          <c:spPr>
            <a:solidFill>
              <a:schemeClr val="accent1"/>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Pivot!$B$62:$B$69</c:f>
              <c:numCache>
                <c:formatCode>General</c:formatCode>
                <c:ptCount val="7"/>
                <c:pt idx="0">
                  <c:v>4204</c:v>
                </c:pt>
                <c:pt idx="1">
                  <c:v>3593</c:v>
                </c:pt>
                <c:pt idx="2">
                  <c:v>5456</c:v>
                </c:pt>
                <c:pt idx="3">
                  <c:v>6638</c:v>
                </c:pt>
                <c:pt idx="4">
                  <c:v>6173</c:v>
                </c:pt>
                <c:pt idx="5">
                  <c:v>4648</c:v>
                </c:pt>
                <c:pt idx="6">
                  <c:v>6661</c:v>
                </c:pt>
              </c:numCache>
            </c:numRef>
          </c:val>
          <c:extLst>
            <c:ext xmlns:c16="http://schemas.microsoft.com/office/drawing/2014/chart" uri="{C3380CC4-5D6E-409C-BE32-E72D297353CC}">
              <c16:uniqueId val="{00000000-C9BA-49B6-A485-95E4A914BB22}"/>
            </c:ext>
          </c:extLst>
        </c:ser>
        <c:ser>
          <c:idx val="1"/>
          <c:order val="1"/>
          <c:tx>
            <c:strRef>
              <c:f>Pivot!$C$60:$C$61</c:f>
              <c:strCache>
                <c:ptCount val="1"/>
                <c:pt idx="0">
                  <c:v>2</c:v>
                </c:pt>
              </c:strCache>
            </c:strRef>
          </c:tx>
          <c:spPr>
            <a:solidFill>
              <a:schemeClr val="accent2"/>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Pivot!$C$62:$C$69</c:f>
              <c:numCache>
                <c:formatCode>General</c:formatCode>
                <c:ptCount val="7"/>
                <c:pt idx="0">
                  <c:v>3975</c:v>
                </c:pt>
                <c:pt idx="1">
                  <c:v>4315</c:v>
                </c:pt>
                <c:pt idx="2">
                  <c:v>1606</c:v>
                </c:pt>
                <c:pt idx="3">
                  <c:v>1794</c:v>
                </c:pt>
                <c:pt idx="4">
                  <c:v>2636</c:v>
                </c:pt>
                <c:pt idx="5">
                  <c:v>2539</c:v>
                </c:pt>
                <c:pt idx="6">
                  <c:v>1241</c:v>
                </c:pt>
              </c:numCache>
            </c:numRef>
          </c:val>
          <c:extLst>
            <c:ext xmlns:c16="http://schemas.microsoft.com/office/drawing/2014/chart" uri="{C3380CC4-5D6E-409C-BE32-E72D297353CC}">
              <c16:uniqueId val="{00000001-1A52-4742-8665-5F403DF1FF9F}"/>
            </c:ext>
          </c:extLst>
        </c:ser>
        <c:ser>
          <c:idx val="2"/>
          <c:order val="2"/>
          <c:tx>
            <c:strRef>
              <c:f>Pivot!$D$60:$D$61</c:f>
              <c:strCache>
                <c:ptCount val="1"/>
                <c:pt idx="0">
                  <c:v>3</c:v>
                </c:pt>
              </c:strCache>
            </c:strRef>
          </c:tx>
          <c:spPr>
            <a:solidFill>
              <a:schemeClr val="accent3"/>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Pivot!$D$62:$D$69</c:f>
              <c:numCache>
                <c:formatCode>General</c:formatCode>
                <c:ptCount val="7"/>
                <c:pt idx="0">
                  <c:v>271</c:v>
                </c:pt>
                <c:pt idx="1">
                  <c:v>475</c:v>
                </c:pt>
                <c:pt idx="2">
                  <c:v>951</c:v>
                </c:pt>
                <c:pt idx="3">
                  <c:v>26</c:v>
                </c:pt>
                <c:pt idx="4">
                  <c:v>286</c:v>
                </c:pt>
                <c:pt idx="5">
                  <c:v>561</c:v>
                </c:pt>
                <c:pt idx="6">
                  <c:v>219</c:v>
                </c:pt>
              </c:numCache>
            </c:numRef>
          </c:val>
          <c:extLst>
            <c:ext xmlns:c16="http://schemas.microsoft.com/office/drawing/2014/chart" uri="{C3380CC4-5D6E-409C-BE32-E72D297353CC}">
              <c16:uniqueId val="{00000002-1A52-4742-8665-5F403DF1FF9F}"/>
            </c:ext>
          </c:extLst>
        </c:ser>
        <c:ser>
          <c:idx val="3"/>
          <c:order val="3"/>
          <c:tx>
            <c:strRef>
              <c:f>Pivot!$E$60:$E$61</c:f>
              <c:strCache>
                <c:ptCount val="1"/>
                <c:pt idx="0">
                  <c:v>4</c:v>
                </c:pt>
              </c:strCache>
            </c:strRef>
          </c:tx>
          <c:spPr>
            <a:solidFill>
              <a:schemeClr val="accent4"/>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Pivot!$E$62:$E$69</c:f>
              <c:numCache>
                <c:formatCode>General</c:formatCode>
                <c:ptCount val="7"/>
                <c:pt idx="2">
                  <c:v>36</c:v>
                </c:pt>
              </c:numCache>
            </c:numRef>
          </c:val>
          <c:extLst>
            <c:ext xmlns:c16="http://schemas.microsoft.com/office/drawing/2014/chart" uri="{C3380CC4-5D6E-409C-BE32-E72D297353CC}">
              <c16:uniqueId val="{00000003-1A52-4742-8665-5F403DF1FF9F}"/>
            </c:ext>
          </c:extLst>
        </c:ser>
        <c:dLbls>
          <c:showLegendKey val="0"/>
          <c:showVal val="0"/>
          <c:showCatName val="0"/>
          <c:showSerName val="0"/>
          <c:showPercent val="0"/>
          <c:showBubbleSize val="0"/>
        </c:dLbls>
        <c:gapWidth val="219"/>
        <c:overlap val="-27"/>
        <c:axId val="849139760"/>
        <c:axId val="773769632"/>
      </c:barChart>
      <c:catAx>
        <c:axId val="8491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69632"/>
        <c:crosses val="autoZero"/>
        <c:auto val="1"/>
        <c:lblAlgn val="ctr"/>
        <c:lblOffset val="100"/>
        <c:noMultiLvlLbl val="0"/>
      </c:catAx>
      <c:valAx>
        <c:axId val="7737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39760"/>
        <c:crosses val="autoZero"/>
        <c:crossBetween val="between"/>
      </c:valAx>
      <c:spPr>
        <a:noFill/>
        <a:ln>
          <a:noFill/>
        </a:ln>
        <a:effectLst/>
      </c:spPr>
    </c:plotArea>
    <c:legend>
      <c:legendPos val="tr"/>
      <c:layout>
        <c:manualLayout>
          <c:xMode val="edge"/>
          <c:yMode val="edge"/>
          <c:x val="0.77581858051358432"/>
          <c:y val="4.248468941382328E-2"/>
          <c:w val="0.20403028065617609"/>
          <c:h val="0.386904601768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chemeClr val="accent4">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dataset_1 (2).xlsx]Pivot!PivotTable3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aseline="0"/>
              <a:t>Time wise client</a:t>
            </a:r>
          </a:p>
        </c:rich>
      </c:tx>
      <c:layout>
        <c:manualLayout>
          <c:xMode val="edge"/>
          <c:yMode val="edge"/>
          <c:x val="0.44436305926875419"/>
          <c:y val="7.8564060359745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3221196187686"/>
          <c:y val="0.21726661894105512"/>
          <c:w val="0.77508078931993962"/>
          <c:h val="0.40904607024683914"/>
        </c:manualLayout>
      </c:layout>
      <c:lineChart>
        <c:grouping val="standard"/>
        <c:varyColors val="0"/>
        <c:ser>
          <c:idx val="0"/>
          <c:order val="0"/>
          <c:tx>
            <c:strRef>
              <c:f>Pivot!$B$78</c:f>
              <c:strCache>
                <c:ptCount val="1"/>
                <c:pt idx="0">
                  <c:v>Total</c:v>
                </c:pt>
              </c:strCache>
            </c:strRef>
          </c:tx>
          <c:spPr>
            <a:ln w="28575" cap="rnd">
              <a:solidFill>
                <a:schemeClr val="accent3"/>
              </a:solidFill>
              <a:round/>
            </a:ln>
            <a:effectLst/>
          </c:spPr>
          <c:marker>
            <c:symbol val="none"/>
          </c:marker>
          <c:cat>
            <c:strRef>
              <c:f>Pivot!$A$79:$A$103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Pivot!$B$79:$B$103</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824C-4A9E-846A-2DD0B635454B}"/>
            </c:ext>
          </c:extLst>
        </c:ser>
        <c:dLbls>
          <c:showLegendKey val="0"/>
          <c:showVal val="0"/>
          <c:showCatName val="0"/>
          <c:showSerName val="0"/>
          <c:showPercent val="0"/>
          <c:showBubbleSize val="0"/>
        </c:dLbls>
        <c:smooth val="0"/>
        <c:axId val="1951932559"/>
        <c:axId val="640967935"/>
      </c:lineChart>
      <c:catAx>
        <c:axId val="195193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7935"/>
        <c:crosses val="autoZero"/>
        <c:auto val="1"/>
        <c:lblAlgn val="ctr"/>
        <c:lblOffset val="100"/>
        <c:noMultiLvlLbl val="0"/>
      </c:catAx>
      <c:valAx>
        <c:axId val="6409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3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Top</a:t>
            </a:r>
            <a:r>
              <a:rPr lang="en-US" sz="900" baseline="0"/>
              <a:t> 5 Client By Dates</a:t>
            </a:r>
          </a:p>
        </c:rich>
      </c:tx>
      <c:layout>
        <c:manualLayout>
          <c:xMode val="edge"/>
          <c:yMode val="edge"/>
          <c:x val="0.44512820512820522"/>
          <c:y val="6.4829396325459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8205128205128E-2"/>
          <c:y val="0.23437123728921433"/>
          <c:w val="0.89743589743589747"/>
          <c:h val="0.41763292806238317"/>
        </c:manualLayout>
      </c:layout>
      <c:barChart>
        <c:barDir val="col"/>
        <c:grouping val="clustered"/>
        <c:varyColors val="0"/>
        <c:ser>
          <c:idx val="0"/>
          <c:order val="0"/>
          <c:tx>
            <c:strRef>
              <c:f>Pivot!$B$143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Pivot!$A$144:$A$149</c:f>
              <c:strCache>
                <c:ptCount val="5"/>
                <c:pt idx="0">
                  <c:v>25-01-11</c:v>
                </c:pt>
                <c:pt idx="1">
                  <c:v>20-01-11</c:v>
                </c:pt>
                <c:pt idx="2">
                  <c:v>11-02-11</c:v>
                </c:pt>
                <c:pt idx="3">
                  <c:v>07-02-11</c:v>
                </c:pt>
                <c:pt idx="4">
                  <c:v>04-02-11</c:v>
                </c:pt>
              </c:strCache>
            </c:strRef>
          </c:cat>
          <c:val>
            <c:numRef>
              <c:f>Pivot!$B$144:$B$149</c:f>
              <c:numCache>
                <c:formatCode>General</c:formatCode>
                <c:ptCount val="5"/>
                <c:pt idx="0">
                  <c:v>1985</c:v>
                </c:pt>
                <c:pt idx="1">
                  <c:v>1927</c:v>
                </c:pt>
                <c:pt idx="2">
                  <c:v>1746</c:v>
                </c:pt>
                <c:pt idx="3">
                  <c:v>1712</c:v>
                </c:pt>
                <c:pt idx="4">
                  <c:v>1708</c:v>
                </c:pt>
              </c:numCache>
            </c:numRef>
          </c:val>
          <c:extLst>
            <c:ext xmlns:c16="http://schemas.microsoft.com/office/drawing/2014/chart" uri="{C3380CC4-5D6E-409C-BE32-E72D297353CC}">
              <c16:uniqueId val="{00000000-5B8F-406B-93C7-9F11716CA159}"/>
            </c:ext>
          </c:extLst>
        </c:ser>
        <c:dLbls>
          <c:showLegendKey val="0"/>
          <c:showVal val="0"/>
          <c:showCatName val="0"/>
          <c:showSerName val="0"/>
          <c:showPercent val="0"/>
          <c:showBubbleSize val="0"/>
        </c:dLbls>
        <c:gapWidth val="219"/>
        <c:overlap val="-27"/>
        <c:axId val="1921831600"/>
        <c:axId val="2077378080"/>
      </c:barChart>
      <c:catAx>
        <c:axId val="19218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378080"/>
        <c:crosses val="autoZero"/>
        <c:auto val="1"/>
        <c:lblAlgn val="ctr"/>
        <c:lblOffset val="100"/>
        <c:noMultiLvlLbl val="0"/>
      </c:catAx>
      <c:valAx>
        <c:axId val="2077378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183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(2).xlsx]Pivot!PivotTable5</c:name>
    <c:fmtId val="1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noFill/>
                  </a:ln>
                  <a:solidFill>
                    <a:schemeClr val="tx2"/>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a:glow>
              <a:schemeClr val="bg1"/>
            </a:glow>
            <a:softEdge rad="0"/>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a:glow>
              <a:schemeClr val="bg1"/>
            </a:glow>
            <a:softEdge rad="0"/>
          </a:effectLst>
        </c:spPr>
      </c:pivotFmt>
      <c:pivotFmt>
        <c:idx val="15"/>
        <c:spPr>
          <a:solidFill>
            <a:schemeClr val="accent2"/>
          </a:solidFill>
          <a:ln w="19050">
            <a:solidFill>
              <a:schemeClr val="lt1"/>
            </a:solidFill>
          </a:ln>
          <a:effectLst>
            <a:glow>
              <a:schemeClr val="bg1"/>
            </a:glow>
            <a:softEdge rad="0"/>
          </a:effectLst>
        </c:spPr>
      </c:pivotFmt>
      <c:pivotFmt>
        <c:idx val="16"/>
        <c:spPr>
          <a:solidFill>
            <a:schemeClr val="accent2"/>
          </a:solidFill>
          <a:ln w="19050">
            <a:solidFill>
              <a:schemeClr val="lt1"/>
            </a:solidFill>
          </a:ln>
          <a:effectLst>
            <a:glow>
              <a:schemeClr val="bg1"/>
            </a:glow>
            <a:softEdge rad="0"/>
          </a:effectLst>
        </c:spPr>
      </c:pivotFmt>
    </c:pivotFmts>
    <c:plotArea>
      <c:layout>
        <c:manualLayout>
          <c:layoutTarget val="inner"/>
          <c:xMode val="edge"/>
          <c:yMode val="edge"/>
          <c:x val="0.30403529346065783"/>
          <c:y val="0"/>
          <c:w val="0.42046637787297864"/>
          <c:h val="1"/>
        </c:manualLayout>
      </c:layout>
      <c:pieChart>
        <c:varyColors val="1"/>
        <c:ser>
          <c:idx val="0"/>
          <c:order val="0"/>
          <c:tx>
            <c:strRef>
              <c:f>Pivot!$B$197</c:f>
              <c:strCache>
                <c:ptCount val="1"/>
                <c:pt idx="0">
                  <c:v>Total</c:v>
                </c:pt>
              </c:strCache>
            </c:strRef>
          </c:tx>
          <c:explosion val="1"/>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02B-4E2C-87FF-A047F683F882}"/>
              </c:ext>
            </c:extLst>
          </c:dPt>
          <c:dPt>
            <c:idx val="1"/>
            <c:bubble3D val="0"/>
            <c:spPr>
              <a:solidFill>
                <a:schemeClr val="accent4"/>
              </a:solidFill>
              <a:ln w="19050">
                <a:solidFill>
                  <a:schemeClr val="lt1"/>
                </a:solidFill>
              </a:ln>
              <a:effectLst>
                <a:glow>
                  <a:schemeClr val="bg1"/>
                </a:glow>
                <a:softEdge rad="0"/>
              </a:effectLst>
            </c:spPr>
            <c:extLst>
              <c:ext xmlns:c16="http://schemas.microsoft.com/office/drawing/2014/chart" uri="{C3380CC4-5D6E-409C-BE32-E72D297353CC}">
                <c16:uniqueId val="{00000003-A02B-4E2C-87FF-A047F683F88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02B-4E2C-87FF-A047F683F88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02B-4E2C-87FF-A047F683F882}"/>
              </c:ext>
            </c:extLst>
          </c:dPt>
          <c:dPt>
            <c:idx val="4"/>
            <c:bubble3D val="0"/>
            <c:spPr>
              <a:solidFill>
                <a:schemeClr val="accent4">
                  <a:lumMod val="60000"/>
                </a:schemeClr>
              </a:solidFill>
              <a:ln w="19050">
                <a:solidFill>
                  <a:schemeClr val="lt1"/>
                </a:solidFill>
              </a:ln>
              <a:effectLst>
                <a:glow>
                  <a:schemeClr val="bg1"/>
                </a:glow>
                <a:softEdge rad="0"/>
              </a:effectLst>
            </c:spPr>
            <c:extLst>
              <c:ext xmlns:c16="http://schemas.microsoft.com/office/drawing/2014/chart" uri="{C3380CC4-5D6E-409C-BE32-E72D297353CC}">
                <c16:uniqueId val="{00000009-A02B-4E2C-87FF-A047F683F882}"/>
              </c:ext>
            </c:extLst>
          </c:dPt>
          <c:dPt>
            <c:idx val="5"/>
            <c:bubble3D val="0"/>
            <c:spPr>
              <a:solidFill>
                <a:schemeClr val="accent6">
                  <a:lumMod val="60000"/>
                </a:schemeClr>
              </a:solidFill>
              <a:ln w="19050">
                <a:solidFill>
                  <a:schemeClr val="lt1"/>
                </a:solidFill>
              </a:ln>
              <a:effectLst>
                <a:glow>
                  <a:schemeClr val="bg1"/>
                </a:glow>
                <a:softEdge rad="0"/>
              </a:effectLst>
            </c:spPr>
            <c:extLst>
              <c:ext xmlns:c16="http://schemas.microsoft.com/office/drawing/2014/chart" uri="{C3380CC4-5D6E-409C-BE32-E72D297353CC}">
                <c16:uniqueId val="{0000000B-A02B-4E2C-87FF-A047F683F882}"/>
              </c:ext>
            </c:extLst>
          </c:dPt>
          <c:dPt>
            <c:idx val="6"/>
            <c:bubble3D val="0"/>
            <c:spPr>
              <a:solidFill>
                <a:schemeClr val="accent2">
                  <a:lumMod val="80000"/>
                  <a:lumOff val="20000"/>
                </a:schemeClr>
              </a:solidFill>
              <a:ln w="19050">
                <a:solidFill>
                  <a:schemeClr val="lt1"/>
                </a:solidFill>
              </a:ln>
              <a:effectLst>
                <a:glow>
                  <a:schemeClr val="bg1"/>
                </a:glow>
                <a:softEdge rad="0"/>
              </a:effectLst>
            </c:spPr>
            <c:extLst>
              <c:ext xmlns:c16="http://schemas.microsoft.com/office/drawing/2014/chart" uri="{C3380CC4-5D6E-409C-BE32-E72D297353CC}">
                <c16:uniqueId val="{0000000D-A02B-4E2C-87FF-A047F683F882}"/>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noFill/>
                    </a:ln>
                    <a:solidFill>
                      <a:schemeClr val="tx2"/>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Pivot!$A$198:$A$205</c:f>
              <c:strCache>
                <c:ptCount val="7"/>
                <c:pt idx="0">
                  <c:v>Monday</c:v>
                </c:pt>
                <c:pt idx="1">
                  <c:v>Tuesday</c:v>
                </c:pt>
                <c:pt idx="2">
                  <c:v>Wednesday</c:v>
                </c:pt>
                <c:pt idx="3">
                  <c:v>Thursday</c:v>
                </c:pt>
                <c:pt idx="4">
                  <c:v>Friday</c:v>
                </c:pt>
                <c:pt idx="5">
                  <c:v>Saturday</c:v>
                </c:pt>
                <c:pt idx="6">
                  <c:v>Sunday</c:v>
                </c:pt>
              </c:strCache>
            </c:strRef>
          </c:cat>
          <c:val>
            <c:numRef>
              <c:f>Pivot!$B$198:$B$205</c:f>
              <c:numCache>
                <c:formatCode>General</c:formatCode>
                <c:ptCount val="7"/>
                <c:pt idx="0">
                  <c:v>534</c:v>
                </c:pt>
                <c:pt idx="1">
                  <c:v>457</c:v>
                </c:pt>
                <c:pt idx="2">
                  <c:v>344</c:v>
                </c:pt>
                <c:pt idx="3">
                  <c:v>332</c:v>
                </c:pt>
                <c:pt idx="4">
                  <c:v>552</c:v>
                </c:pt>
                <c:pt idx="5">
                  <c:v>1225</c:v>
                </c:pt>
                <c:pt idx="6">
                  <c:v>1477</c:v>
                </c:pt>
              </c:numCache>
            </c:numRef>
          </c:val>
          <c:extLst>
            <c:ext xmlns:c16="http://schemas.microsoft.com/office/drawing/2014/chart" uri="{C3380CC4-5D6E-409C-BE32-E72D297353CC}">
              <c16:uniqueId val="{0000000E-A02B-4E2C-87FF-A047F683F8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50429565869484E-2"/>
          <c:y val="6.0606060606060608E-2"/>
          <c:w val="0.90017068518609089"/>
          <c:h val="0.60214030064423762"/>
        </c:manualLayout>
      </c:layout>
      <c:lineChart>
        <c:grouping val="standard"/>
        <c:varyColors val="0"/>
        <c:ser>
          <c:idx val="0"/>
          <c:order val="0"/>
          <c:tx>
            <c:strRef>
              <c:f>'Forecast sheet'!$B$1</c:f>
              <c:strCache>
                <c:ptCount val="1"/>
                <c:pt idx="0">
                  <c:v>Total_Client</c:v>
                </c:pt>
              </c:strCache>
            </c:strRef>
          </c:tx>
          <c:spPr>
            <a:ln w="28575" cap="rnd">
              <a:solidFill>
                <a:schemeClr val="accent1"/>
              </a:solidFill>
              <a:round/>
            </a:ln>
            <a:effectLst/>
          </c:spPr>
          <c:marker>
            <c:symbol val="none"/>
          </c:marker>
          <c:val>
            <c:numRef>
              <c:f>'Forecast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02A0-42D3-9531-4D354B2F64D7}"/>
            </c:ext>
          </c:extLst>
        </c:ser>
        <c:ser>
          <c:idx val="1"/>
          <c:order val="1"/>
          <c:tx>
            <c:strRef>
              <c:f>'Forecast sheet'!$C$1</c:f>
              <c:strCache>
                <c:ptCount val="1"/>
                <c:pt idx="0">
                  <c:v>Forecast(Total_Client)</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02A0-42D3-9531-4D354B2F64D7}"/>
            </c:ext>
          </c:extLst>
        </c:ser>
        <c:ser>
          <c:idx val="2"/>
          <c:order val="2"/>
          <c:tx>
            <c:strRef>
              <c:f>'Forecast sheet'!$D$1</c:f>
              <c:strCache>
                <c:ptCount val="1"/>
                <c:pt idx="0">
                  <c:v>Lower Confidence Bound(Total_Client)</c:v>
                </c:pt>
              </c:strCache>
            </c:strRef>
          </c:tx>
          <c:spPr>
            <a:ln w="12700" cap="rnd">
              <a:solidFill>
                <a:srgbClr val="EA4335"/>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02A0-42D3-9531-4D354B2F64D7}"/>
            </c:ext>
          </c:extLst>
        </c:ser>
        <c:ser>
          <c:idx val="3"/>
          <c:order val="3"/>
          <c:tx>
            <c:strRef>
              <c:f>'Forecast sheet'!$E$1</c:f>
              <c:strCache>
                <c:ptCount val="1"/>
                <c:pt idx="0">
                  <c:v>Upper Confidence Bound(Total_Client)</c:v>
                </c:pt>
              </c:strCache>
            </c:strRef>
          </c:tx>
          <c:spPr>
            <a:ln w="12700" cap="rnd">
              <a:solidFill>
                <a:srgbClr val="EA4335"/>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02A0-42D3-9531-4D354B2F64D7}"/>
            </c:ext>
          </c:extLst>
        </c:ser>
        <c:dLbls>
          <c:showLegendKey val="0"/>
          <c:showVal val="0"/>
          <c:showCatName val="0"/>
          <c:showSerName val="0"/>
          <c:showPercent val="0"/>
          <c:showBubbleSize val="0"/>
        </c:dLbls>
        <c:smooth val="0"/>
        <c:axId val="61205999"/>
        <c:axId val="1369604640"/>
      </c:lineChart>
      <c:catAx>
        <c:axId val="61205999"/>
        <c:scaling>
          <c:orientation val="minMax"/>
        </c:scaling>
        <c:delete val="1"/>
        <c:axPos val="b"/>
        <c:majorTickMark val="none"/>
        <c:minorTickMark val="none"/>
        <c:tickLblPos val="low"/>
        <c:crossAx val="1369604640"/>
        <c:crosses val="autoZero"/>
        <c:auto val="1"/>
        <c:lblAlgn val="ctr"/>
        <c:lblOffset val="100"/>
        <c:noMultiLvlLbl val="0"/>
      </c:catAx>
      <c:valAx>
        <c:axId val="136960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7777184821514E-2"/>
          <c:y val="0.13847798111108689"/>
          <c:w val="0.82078770810582979"/>
          <c:h val="0.64759828098410777"/>
        </c:manualLayout>
      </c:layout>
      <c:barChart>
        <c:barDir val="col"/>
        <c:grouping val="stacked"/>
        <c:varyColors val="0"/>
        <c:ser>
          <c:idx val="0"/>
          <c:order val="0"/>
          <c:tx>
            <c:strRef>
              <c:f>Pivot!$B$4:$B$5</c:f>
              <c:strCache>
                <c:ptCount val="1"/>
                <c:pt idx="0">
                  <c:v>Monday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Pivot!$B$6:$B$51</c:f>
              <c:numCache>
                <c:formatCode>General</c:formatCode>
                <c:ptCount val="45"/>
                <c:pt idx="2">
                  <c:v>1349</c:v>
                </c:pt>
                <c:pt idx="9">
                  <c:v>1321</c:v>
                </c:pt>
                <c:pt idx="16">
                  <c:v>1000</c:v>
                </c:pt>
                <c:pt idx="23">
                  <c:v>1416</c:v>
                </c:pt>
                <c:pt idx="30">
                  <c:v>1501</c:v>
                </c:pt>
                <c:pt idx="37">
                  <c:v>1712</c:v>
                </c:pt>
                <c:pt idx="44">
                  <c:v>151</c:v>
                </c:pt>
              </c:numCache>
            </c:numRef>
          </c:val>
          <c:extLst>
            <c:ext xmlns:c16="http://schemas.microsoft.com/office/drawing/2014/chart" uri="{C3380CC4-5D6E-409C-BE32-E72D297353CC}">
              <c16:uniqueId val="{00000000-70AB-4EC6-9B74-8C8B18474BA1}"/>
            </c:ext>
          </c:extLst>
        </c:ser>
        <c:ser>
          <c:idx val="1"/>
          <c:order val="1"/>
          <c:tx>
            <c:strRef>
              <c:f>Pivot!$C$4:$C$5</c:f>
              <c:strCache>
                <c:ptCount val="1"/>
                <c:pt idx="0">
                  <c:v>Tuesday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Pivot!$C$6:$C$51</c:f>
              <c:numCache>
                <c:formatCode>General</c:formatCode>
                <c:ptCount val="45"/>
                <c:pt idx="3">
                  <c:v>1562</c:v>
                </c:pt>
                <c:pt idx="10">
                  <c:v>1263</c:v>
                </c:pt>
                <c:pt idx="17">
                  <c:v>683</c:v>
                </c:pt>
                <c:pt idx="24">
                  <c:v>1985</c:v>
                </c:pt>
                <c:pt idx="31">
                  <c:v>1360</c:v>
                </c:pt>
                <c:pt idx="38">
                  <c:v>1530</c:v>
                </c:pt>
              </c:numCache>
            </c:numRef>
          </c:val>
          <c:extLst>
            <c:ext xmlns:c16="http://schemas.microsoft.com/office/drawing/2014/chart" uri="{C3380CC4-5D6E-409C-BE32-E72D297353CC}">
              <c16:uniqueId val="{00000006-7863-479B-BBDB-B3FB98693895}"/>
            </c:ext>
          </c:extLst>
        </c:ser>
        <c:ser>
          <c:idx val="2"/>
          <c:order val="2"/>
          <c:tx>
            <c:strRef>
              <c:f>Pivot!$D$4:$D$5</c:f>
              <c:strCache>
                <c:ptCount val="1"/>
                <c:pt idx="0">
                  <c:v>Wednesday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Pivot!$D$6:$D$51</c:f>
              <c:numCache>
                <c:formatCode>General</c:formatCode>
                <c:ptCount val="45"/>
                <c:pt idx="4">
                  <c:v>1600</c:v>
                </c:pt>
                <c:pt idx="11">
                  <c:v>1162</c:v>
                </c:pt>
                <c:pt idx="18">
                  <c:v>1650</c:v>
                </c:pt>
                <c:pt idx="25">
                  <c:v>506</c:v>
                </c:pt>
                <c:pt idx="32">
                  <c:v>1526</c:v>
                </c:pt>
                <c:pt idx="39">
                  <c:v>1605</c:v>
                </c:pt>
              </c:numCache>
            </c:numRef>
          </c:val>
          <c:extLst>
            <c:ext xmlns:c16="http://schemas.microsoft.com/office/drawing/2014/chart" uri="{C3380CC4-5D6E-409C-BE32-E72D297353CC}">
              <c16:uniqueId val="{00000007-7863-479B-BBDB-B3FB98693895}"/>
            </c:ext>
          </c:extLst>
        </c:ser>
        <c:ser>
          <c:idx val="3"/>
          <c:order val="3"/>
          <c:tx>
            <c:strRef>
              <c:f>Pivot!$E$4:$E$5</c:f>
              <c:strCache>
                <c:ptCount val="1"/>
                <c:pt idx="0">
                  <c:v>Thursday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Pivot!$E$6:$E$51</c:f>
              <c:numCache>
                <c:formatCode>General</c:formatCode>
                <c:ptCount val="45"/>
                <c:pt idx="5">
                  <c:v>1606</c:v>
                </c:pt>
                <c:pt idx="12">
                  <c:v>1406</c:v>
                </c:pt>
                <c:pt idx="19">
                  <c:v>1927</c:v>
                </c:pt>
                <c:pt idx="26">
                  <c:v>431</c:v>
                </c:pt>
                <c:pt idx="33">
                  <c:v>1550</c:v>
                </c:pt>
                <c:pt idx="40">
                  <c:v>1538</c:v>
                </c:pt>
              </c:numCache>
            </c:numRef>
          </c:val>
          <c:extLst>
            <c:ext xmlns:c16="http://schemas.microsoft.com/office/drawing/2014/chart" uri="{C3380CC4-5D6E-409C-BE32-E72D297353CC}">
              <c16:uniqueId val="{00000008-7863-479B-BBDB-B3FB98693895}"/>
            </c:ext>
          </c:extLst>
        </c:ser>
        <c:ser>
          <c:idx val="4"/>
          <c:order val="4"/>
          <c:tx>
            <c:strRef>
              <c:f>Pivot!$F$4:$F$5</c:f>
              <c:strCache>
                <c:ptCount val="1"/>
                <c:pt idx="0">
                  <c:v>Friday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Pivot!$F$6:$F$51</c:f>
              <c:numCache>
                <c:formatCode>General</c:formatCode>
                <c:ptCount val="45"/>
                <c:pt idx="6">
                  <c:v>1510</c:v>
                </c:pt>
                <c:pt idx="13">
                  <c:v>1421</c:v>
                </c:pt>
                <c:pt idx="20">
                  <c:v>1543</c:v>
                </c:pt>
                <c:pt idx="27">
                  <c:v>1167</c:v>
                </c:pt>
                <c:pt idx="34">
                  <c:v>1708</c:v>
                </c:pt>
                <c:pt idx="41">
                  <c:v>1746</c:v>
                </c:pt>
              </c:numCache>
            </c:numRef>
          </c:val>
          <c:extLst>
            <c:ext xmlns:c16="http://schemas.microsoft.com/office/drawing/2014/chart" uri="{C3380CC4-5D6E-409C-BE32-E72D297353CC}">
              <c16:uniqueId val="{00000009-7863-479B-BBDB-B3FB98693895}"/>
            </c:ext>
          </c:extLst>
        </c:ser>
        <c:ser>
          <c:idx val="5"/>
          <c:order val="5"/>
          <c:tx>
            <c:strRef>
              <c:f>Pivot!$G$4:$G$5</c:f>
              <c:strCache>
                <c:ptCount val="1"/>
                <c:pt idx="0">
                  <c:v>Saturday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Pivot!$G$6:$G$51</c:f>
              <c:numCache>
                <c:formatCode>General</c:formatCode>
                <c:ptCount val="45"/>
                <c:pt idx="0">
                  <c:v>985</c:v>
                </c:pt>
                <c:pt idx="7">
                  <c:v>959</c:v>
                </c:pt>
                <c:pt idx="14">
                  <c:v>1248</c:v>
                </c:pt>
                <c:pt idx="21">
                  <c:v>981</c:v>
                </c:pt>
                <c:pt idx="28">
                  <c:v>1098</c:v>
                </c:pt>
                <c:pt idx="35">
                  <c:v>1005</c:v>
                </c:pt>
                <c:pt idx="42">
                  <c:v>1472</c:v>
                </c:pt>
              </c:numCache>
            </c:numRef>
          </c:val>
          <c:extLst>
            <c:ext xmlns:c16="http://schemas.microsoft.com/office/drawing/2014/chart" uri="{C3380CC4-5D6E-409C-BE32-E72D297353CC}">
              <c16:uniqueId val="{0000000A-7863-479B-BBDB-B3FB98693895}"/>
            </c:ext>
          </c:extLst>
        </c:ser>
        <c:ser>
          <c:idx val="6"/>
          <c:order val="6"/>
          <c:tx>
            <c:strRef>
              <c:f>Pivot!$H$4:$H$5</c:f>
              <c:strCache>
                <c:ptCount val="1"/>
                <c:pt idx="0">
                  <c:v>Sunday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Pivot!$A$6:$A$51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Pivot!$H$6:$H$51</c:f>
              <c:numCache>
                <c:formatCode>General</c:formatCode>
                <c:ptCount val="45"/>
                <c:pt idx="1">
                  <c:v>801</c:v>
                </c:pt>
                <c:pt idx="8">
                  <c:v>822</c:v>
                </c:pt>
                <c:pt idx="15">
                  <c:v>1204</c:v>
                </c:pt>
                <c:pt idx="22">
                  <c:v>986</c:v>
                </c:pt>
                <c:pt idx="29">
                  <c:v>1096</c:v>
                </c:pt>
                <c:pt idx="36">
                  <c:v>1623</c:v>
                </c:pt>
                <c:pt idx="43">
                  <c:v>1589</c:v>
                </c:pt>
              </c:numCache>
            </c:numRef>
          </c:val>
          <c:extLst>
            <c:ext xmlns:c16="http://schemas.microsoft.com/office/drawing/2014/chart" uri="{C3380CC4-5D6E-409C-BE32-E72D297353CC}">
              <c16:uniqueId val="{0000000B-7863-479B-BBDB-B3FB98693895}"/>
            </c:ext>
          </c:extLst>
        </c:ser>
        <c:dLbls>
          <c:showLegendKey val="0"/>
          <c:showVal val="1"/>
          <c:showCatName val="0"/>
          <c:showSerName val="0"/>
          <c:showPercent val="0"/>
          <c:showBubbleSize val="0"/>
        </c:dLbls>
        <c:gapWidth val="150"/>
        <c:overlap val="100"/>
        <c:axId val="849998064"/>
        <c:axId val="773767232"/>
      </c:barChart>
      <c:catAx>
        <c:axId val="8499980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73767232"/>
        <c:crosses val="autoZero"/>
        <c:auto val="1"/>
        <c:lblAlgn val="ctr"/>
        <c:lblOffset val="100"/>
        <c:noMultiLvlLbl val="0"/>
      </c:catAx>
      <c:valAx>
        <c:axId val="77376723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49998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Pivot!$B$60:$B$61</c:f>
              <c:strCache>
                <c:ptCount val="1"/>
                <c:pt idx="0">
                  <c:v>1</c:v>
                </c:pt>
              </c:strCache>
            </c:strRef>
          </c:tx>
          <c:spPr>
            <a:solidFill>
              <a:schemeClr val="accent1"/>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Pivot!$B$62:$B$69</c:f>
              <c:numCache>
                <c:formatCode>General</c:formatCode>
                <c:ptCount val="7"/>
                <c:pt idx="0">
                  <c:v>4204</c:v>
                </c:pt>
                <c:pt idx="1">
                  <c:v>3593</c:v>
                </c:pt>
                <c:pt idx="2">
                  <c:v>5456</c:v>
                </c:pt>
                <c:pt idx="3">
                  <c:v>6638</c:v>
                </c:pt>
                <c:pt idx="4">
                  <c:v>6173</c:v>
                </c:pt>
                <c:pt idx="5">
                  <c:v>4648</c:v>
                </c:pt>
                <c:pt idx="6">
                  <c:v>6661</c:v>
                </c:pt>
              </c:numCache>
            </c:numRef>
          </c:val>
          <c:extLst>
            <c:ext xmlns:c16="http://schemas.microsoft.com/office/drawing/2014/chart" uri="{C3380CC4-5D6E-409C-BE32-E72D297353CC}">
              <c16:uniqueId val="{00000000-B2FF-49CF-A396-D9B72ACA1E99}"/>
            </c:ext>
          </c:extLst>
        </c:ser>
        <c:ser>
          <c:idx val="1"/>
          <c:order val="1"/>
          <c:tx>
            <c:strRef>
              <c:f>Pivot!$C$60:$C$61</c:f>
              <c:strCache>
                <c:ptCount val="1"/>
                <c:pt idx="0">
                  <c:v>2</c:v>
                </c:pt>
              </c:strCache>
            </c:strRef>
          </c:tx>
          <c:spPr>
            <a:solidFill>
              <a:schemeClr val="accent2"/>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Pivot!$C$62:$C$69</c:f>
              <c:numCache>
                <c:formatCode>General</c:formatCode>
                <c:ptCount val="7"/>
                <c:pt idx="0">
                  <c:v>3975</c:v>
                </c:pt>
                <c:pt idx="1">
                  <c:v>4315</c:v>
                </c:pt>
                <c:pt idx="2">
                  <c:v>1606</c:v>
                </c:pt>
                <c:pt idx="3">
                  <c:v>1794</c:v>
                </c:pt>
                <c:pt idx="4">
                  <c:v>2636</c:v>
                </c:pt>
                <c:pt idx="5">
                  <c:v>2539</c:v>
                </c:pt>
                <c:pt idx="6">
                  <c:v>1241</c:v>
                </c:pt>
              </c:numCache>
            </c:numRef>
          </c:val>
          <c:extLst>
            <c:ext xmlns:c16="http://schemas.microsoft.com/office/drawing/2014/chart" uri="{C3380CC4-5D6E-409C-BE32-E72D297353CC}">
              <c16:uniqueId val="{00000000-DB9A-47DD-8C71-0AC705CFC40D}"/>
            </c:ext>
          </c:extLst>
        </c:ser>
        <c:ser>
          <c:idx val="2"/>
          <c:order val="2"/>
          <c:tx>
            <c:strRef>
              <c:f>Pivot!$D$60:$D$61</c:f>
              <c:strCache>
                <c:ptCount val="1"/>
                <c:pt idx="0">
                  <c:v>3</c:v>
                </c:pt>
              </c:strCache>
            </c:strRef>
          </c:tx>
          <c:spPr>
            <a:solidFill>
              <a:schemeClr val="accent3"/>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Pivot!$D$62:$D$69</c:f>
              <c:numCache>
                <c:formatCode>General</c:formatCode>
                <c:ptCount val="7"/>
                <c:pt idx="0">
                  <c:v>271</c:v>
                </c:pt>
                <c:pt idx="1">
                  <c:v>475</c:v>
                </c:pt>
                <c:pt idx="2">
                  <c:v>951</c:v>
                </c:pt>
                <c:pt idx="3">
                  <c:v>26</c:v>
                </c:pt>
                <c:pt idx="4">
                  <c:v>286</c:v>
                </c:pt>
                <c:pt idx="5">
                  <c:v>561</c:v>
                </c:pt>
                <c:pt idx="6">
                  <c:v>219</c:v>
                </c:pt>
              </c:numCache>
            </c:numRef>
          </c:val>
          <c:extLst>
            <c:ext xmlns:c16="http://schemas.microsoft.com/office/drawing/2014/chart" uri="{C3380CC4-5D6E-409C-BE32-E72D297353CC}">
              <c16:uniqueId val="{00000001-DB9A-47DD-8C71-0AC705CFC40D}"/>
            </c:ext>
          </c:extLst>
        </c:ser>
        <c:ser>
          <c:idx val="3"/>
          <c:order val="3"/>
          <c:tx>
            <c:strRef>
              <c:f>Pivot!$E$60:$E$61</c:f>
              <c:strCache>
                <c:ptCount val="1"/>
                <c:pt idx="0">
                  <c:v>4</c:v>
                </c:pt>
              </c:strCache>
            </c:strRef>
          </c:tx>
          <c:spPr>
            <a:solidFill>
              <a:schemeClr val="accent4"/>
            </a:solidFill>
            <a:ln>
              <a:noFill/>
            </a:ln>
            <a:effectLst/>
          </c:spPr>
          <c:invertIfNegative val="0"/>
          <c:cat>
            <c:strRef>
              <c:f>Pivot!$A$62:$A$69</c:f>
              <c:strCache>
                <c:ptCount val="7"/>
                <c:pt idx="0">
                  <c:v>Monday</c:v>
                </c:pt>
                <c:pt idx="1">
                  <c:v>Tuesday</c:v>
                </c:pt>
                <c:pt idx="2">
                  <c:v>Wednesday</c:v>
                </c:pt>
                <c:pt idx="3">
                  <c:v>Thursday</c:v>
                </c:pt>
                <c:pt idx="4">
                  <c:v>Friday</c:v>
                </c:pt>
                <c:pt idx="5">
                  <c:v>Saturday</c:v>
                </c:pt>
                <c:pt idx="6">
                  <c:v>Sunday</c:v>
                </c:pt>
              </c:strCache>
            </c:strRef>
          </c:cat>
          <c:val>
            <c:numRef>
              <c:f>Pivot!$E$62:$E$69</c:f>
              <c:numCache>
                <c:formatCode>General</c:formatCode>
                <c:ptCount val="7"/>
                <c:pt idx="2">
                  <c:v>36</c:v>
                </c:pt>
              </c:numCache>
            </c:numRef>
          </c:val>
          <c:extLst>
            <c:ext xmlns:c16="http://schemas.microsoft.com/office/drawing/2014/chart" uri="{C3380CC4-5D6E-409C-BE32-E72D297353CC}">
              <c16:uniqueId val="{00000002-DB9A-47DD-8C71-0AC705CFC40D}"/>
            </c:ext>
          </c:extLst>
        </c:ser>
        <c:dLbls>
          <c:showLegendKey val="0"/>
          <c:showVal val="0"/>
          <c:showCatName val="0"/>
          <c:showSerName val="0"/>
          <c:showPercent val="0"/>
          <c:showBubbleSize val="0"/>
        </c:dLbls>
        <c:gapWidth val="219"/>
        <c:overlap val="-27"/>
        <c:axId val="849139760"/>
        <c:axId val="773769632"/>
      </c:barChart>
      <c:catAx>
        <c:axId val="8491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69632"/>
        <c:crosses val="autoZero"/>
        <c:auto val="1"/>
        <c:lblAlgn val="ctr"/>
        <c:lblOffset val="100"/>
        <c:noMultiLvlLbl val="0"/>
      </c:catAx>
      <c:valAx>
        <c:axId val="7737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3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dataset_1 (2).xlsx]Pivot!PivotTable3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wise client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Pivot!$B$78</c:f>
              <c:strCache>
                <c:ptCount val="1"/>
                <c:pt idx="0">
                  <c:v>Total</c:v>
                </c:pt>
              </c:strCache>
            </c:strRef>
          </c:tx>
          <c:spPr>
            <a:ln w="28575" cap="rnd">
              <a:solidFill>
                <a:schemeClr val="accent3"/>
              </a:solidFill>
              <a:round/>
            </a:ln>
            <a:effectLst/>
          </c:spPr>
          <c:marker>
            <c:symbol val="none"/>
          </c:marker>
          <c:cat>
            <c:strRef>
              <c:f>Pivot!$A$79:$A$103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Pivot!$B$79:$B$103</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3-924C-47D7-8CB4-1959297ACE53}"/>
            </c:ext>
          </c:extLst>
        </c:ser>
        <c:dLbls>
          <c:showLegendKey val="0"/>
          <c:showVal val="0"/>
          <c:showCatName val="0"/>
          <c:showSerName val="0"/>
          <c:showPercent val="0"/>
          <c:showBubbleSize val="0"/>
        </c:dLbls>
        <c:smooth val="0"/>
        <c:axId val="1951932559"/>
        <c:axId val="640967935"/>
      </c:lineChart>
      <c:catAx>
        <c:axId val="195193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7935"/>
        <c:crosses val="autoZero"/>
        <c:auto val="1"/>
        <c:lblAlgn val="ctr"/>
        <c:lblOffset val="100"/>
        <c:noMultiLvlLbl val="0"/>
      </c:catAx>
      <c:valAx>
        <c:axId val="6409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3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Pivot!$B$110:$B$111</c:f>
              <c:strCache>
                <c:ptCount val="1"/>
                <c:pt idx="0">
                  <c:v>Monday</c:v>
                </c:pt>
              </c:strCache>
            </c:strRef>
          </c:tx>
          <c:spPr>
            <a:solidFill>
              <a:schemeClr val="accent1"/>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Pivot!$B$112:$B$135</c:f>
              <c:numCache>
                <c:formatCode>General</c:formatCode>
                <c:ptCount val="23"/>
                <c:pt idx="0">
                  <c:v>105</c:v>
                </c:pt>
                <c:pt idx="1">
                  <c:v>179</c:v>
                </c:pt>
                <c:pt idx="2">
                  <c:v>109</c:v>
                </c:pt>
                <c:pt idx="4">
                  <c:v>92</c:v>
                </c:pt>
                <c:pt idx="5">
                  <c:v>369</c:v>
                </c:pt>
                <c:pt idx="6">
                  <c:v>1209</c:v>
                </c:pt>
                <c:pt idx="7">
                  <c:v>2159</c:v>
                </c:pt>
                <c:pt idx="8">
                  <c:v>825</c:v>
                </c:pt>
                <c:pt idx="9">
                  <c:v>1117</c:v>
                </c:pt>
                <c:pt idx="10">
                  <c:v>199</c:v>
                </c:pt>
                <c:pt idx="11">
                  <c:v>452</c:v>
                </c:pt>
                <c:pt idx="12">
                  <c:v>225</c:v>
                </c:pt>
                <c:pt idx="13">
                  <c:v>37</c:v>
                </c:pt>
                <c:pt idx="14">
                  <c:v>183</c:v>
                </c:pt>
                <c:pt idx="15">
                  <c:v>581</c:v>
                </c:pt>
                <c:pt idx="16">
                  <c:v>301</c:v>
                </c:pt>
                <c:pt idx="17">
                  <c:v>240</c:v>
                </c:pt>
                <c:pt idx="18">
                  <c:v>68</c:v>
                </c:pt>
              </c:numCache>
            </c:numRef>
          </c:val>
          <c:extLst>
            <c:ext xmlns:c16="http://schemas.microsoft.com/office/drawing/2014/chart" uri="{C3380CC4-5D6E-409C-BE32-E72D297353CC}">
              <c16:uniqueId val="{00000000-05A4-4CE9-9751-135A85371F79}"/>
            </c:ext>
          </c:extLst>
        </c:ser>
        <c:ser>
          <c:idx val="1"/>
          <c:order val="1"/>
          <c:tx>
            <c:strRef>
              <c:f>Pivot!$C$110:$C$111</c:f>
              <c:strCache>
                <c:ptCount val="1"/>
                <c:pt idx="0">
                  <c:v>Tuesday</c:v>
                </c:pt>
              </c:strCache>
            </c:strRef>
          </c:tx>
          <c:spPr>
            <a:solidFill>
              <a:schemeClr val="accent2"/>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Pivot!$C$112:$C$135</c:f>
              <c:numCache>
                <c:formatCode>General</c:formatCode>
                <c:ptCount val="23"/>
                <c:pt idx="5">
                  <c:v>175</c:v>
                </c:pt>
                <c:pt idx="6">
                  <c:v>286</c:v>
                </c:pt>
                <c:pt idx="7">
                  <c:v>1709</c:v>
                </c:pt>
                <c:pt idx="8">
                  <c:v>398</c:v>
                </c:pt>
                <c:pt idx="9">
                  <c:v>716</c:v>
                </c:pt>
                <c:pt idx="10">
                  <c:v>1724</c:v>
                </c:pt>
                <c:pt idx="11">
                  <c:v>1649</c:v>
                </c:pt>
                <c:pt idx="12">
                  <c:v>636</c:v>
                </c:pt>
                <c:pt idx="13">
                  <c:v>292</c:v>
                </c:pt>
                <c:pt idx="14">
                  <c:v>598</c:v>
                </c:pt>
                <c:pt idx="15">
                  <c:v>200</c:v>
                </c:pt>
              </c:numCache>
            </c:numRef>
          </c:val>
          <c:extLst>
            <c:ext xmlns:c16="http://schemas.microsoft.com/office/drawing/2014/chart" uri="{C3380CC4-5D6E-409C-BE32-E72D297353CC}">
              <c16:uniqueId val="{00000006-7368-4D2B-947F-7B7DBA8FFDC0}"/>
            </c:ext>
          </c:extLst>
        </c:ser>
        <c:ser>
          <c:idx val="2"/>
          <c:order val="2"/>
          <c:tx>
            <c:strRef>
              <c:f>Pivot!$D$110:$D$111</c:f>
              <c:strCache>
                <c:ptCount val="1"/>
                <c:pt idx="0">
                  <c:v>Wednesday</c:v>
                </c:pt>
              </c:strCache>
            </c:strRef>
          </c:tx>
          <c:spPr>
            <a:solidFill>
              <a:schemeClr val="accent3"/>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Pivot!$D$112:$D$135</c:f>
              <c:numCache>
                <c:formatCode>General</c:formatCode>
                <c:ptCount val="23"/>
                <c:pt idx="2">
                  <c:v>151</c:v>
                </c:pt>
                <c:pt idx="3">
                  <c:v>3</c:v>
                </c:pt>
                <c:pt idx="4">
                  <c:v>223</c:v>
                </c:pt>
                <c:pt idx="5">
                  <c:v>139</c:v>
                </c:pt>
                <c:pt idx="6">
                  <c:v>435</c:v>
                </c:pt>
                <c:pt idx="7">
                  <c:v>459</c:v>
                </c:pt>
                <c:pt idx="8">
                  <c:v>552</c:v>
                </c:pt>
                <c:pt idx="9">
                  <c:v>1189</c:v>
                </c:pt>
                <c:pt idx="10">
                  <c:v>1301</c:v>
                </c:pt>
                <c:pt idx="11">
                  <c:v>1208</c:v>
                </c:pt>
                <c:pt idx="12">
                  <c:v>172</c:v>
                </c:pt>
                <c:pt idx="13">
                  <c:v>214</c:v>
                </c:pt>
                <c:pt idx="14">
                  <c:v>370</c:v>
                </c:pt>
                <c:pt idx="15">
                  <c:v>247</c:v>
                </c:pt>
                <c:pt idx="16">
                  <c:v>418</c:v>
                </c:pt>
                <c:pt idx="17">
                  <c:v>490</c:v>
                </c:pt>
                <c:pt idx="18">
                  <c:v>243</c:v>
                </c:pt>
                <c:pt idx="19">
                  <c:v>235</c:v>
                </c:pt>
              </c:numCache>
            </c:numRef>
          </c:val>
          <c:extLst>
            <c:ext xmlns:c16="http://schemas.microsoft.com/office/drawing/2014/chart" uri="{C3380CC4-5D6E-409C-BE32-E72D297353CC}">
              <c16:uniqueId val="{00000007-7368-4D2B-947F-7B7DBA8FFDC0}"/>
            </c:ext>
          </c:extLst>
        </c:ser>
        <c:ser>
          <c:idx val="3"/>
          <c:order val="3"/>
          <c:tx>
            <c:strRef>
              <c:f>Pivot!$E$110:$E$111</c:f>
              <c:strCache>
                <c:ptCount val="1"/>
                <c:pt idx="0">
                  <c:v>Thursday</c:v>
                </c:pt>
              </c:strCache>
            </c:strRef>
          </c:tx>
          <c:spPr>
            <a:solidFill>
              <a:schemeClr val="accent4"/>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Pivot!$E$112:$E$135</c:f>
              <c:numCache>
                <c:formatCode>General</c:formatCode>
                <c:ptCount val="23"/>
                <c:pt idx="4">
                  <c:v>277</c:v>
                </c:pt>
                <c:pt idx="5">
                  <c:v>389</c:v>
                </c:pt>
                <c:pt idx="6">
                  <c:v>1100</c:v>
                </c:pt>
                <c:pt idx="7">
                  <c:v>925</c:v>
                </c:pt>
                <c:pt idx="8">
                  <c:v>714</c:v>
                </c:pt>
                <c:pt idx="9">
                  <c:v>1595</c:v>
                </c:pt>
                <c:pt idx="10">
                  <c:v>1409</c:v>
                </c:pt>
                <c:pt idx="11">
                  <c:v>431</c:v>
                </c:pt>
                <c:pt idx="12">
                  <c:v>779</c:v>
                </c:pt>
                <c:pt idx="13">
                  <c:v>298</c:v>
                </c:pt>
                <c:pt idx="14">
                  <c:v>471</c:v>
                </c:pt>
                <c:pt idx="15">
                  <c:v>70</c:v>
                </c:pt>
              </c:numCache>
            </c:numRef>
          </c:val>
          <c:extLst>
            <c:ext xmlns:c16="http://schemas.microsoft.com/office/drawing/2014/chart" uri="{C3380CC4-5D6E-409C-BE32-E72D297353CC}">
              <c16:uniqueId val="{00000008-7368-4D2B-947F-7B7DBA8FFDC0}"/>
            </c:ext>
          </c:extLst>
        </c:ser>
        <c:ser>
          <c:idx val="4"/>
          <c:order val="4"/>
          <c:tx>
            <c:strRef>
              <c:f>Pivot!$F$110:$F$111</c:f>
              <c:strCache>
                <c:ptCount val="1"/>
                <c:pt idx="0">
                  <c:v>Friday</c:v>
                </c:pt>
              </c:strCache>
            </c:strRef>
          </c:tx>
          <c:spPr>
            <a:solidFill>
              <a:schemeClr val="accent5"/>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Pivot!$F$112:$F$135</c:f>
              <c:numCache>
                <c:formatCode>General</c:formatCode>
                <c:ptCount val="23"/>
                <c:pt idx="2">
                  <c:v>61</c:v>
                </c:pt>
                <c:pt idx="3">
                  <c:v>119</c:v>
                </c:pt>
                <c:pt idx="4">
                  <c:v>419</c:v>
                </c:pt>
                <c:pt idx="5">
                  <c:v>528</c:v>
                </c:pt>
                <c:pt idx="6">
                  <c:v>638</c:v>
                </c:pt>
                <c:pt idx="7">
                  <c:v>816</c:v>
                </c:pt>
                <c:pt idx="8">
                  <c:v>646</c:v>
                </c:pt>
                <c:pt idx="9">
                  <c:v>2265</c:v>
                </c:pt>
                <c:pt idx="10">
                  <c:v>1062</c:v>
                </c:pt>
                <c:pt idx="11">
                  <c:v>1205</c:v>
                </c:pt>
                <c:pt idx="12">
                  <c:v>388</c:v>
                </c:pt>
                <c:pt idx="13">
                  <c:v>355</c:v>
                </c:pt>
                <c:pt idx="14">
                  <c:v>519</c:v>
                </c:pt>
                <c:pt idx="15">
                  <c:v>74</c:v>
                </c:pt>
              </c:numCache>
            </c:numRef>
          </c:val>
          <c:extLst>
            <c:ext xmlns:c16="http://schemas.microsoft.com/office/drawing/2014/chart" uri="{C3380CC4-5D6E-409C-BE32-E72D297353CC}">
              <c16:uniqueId val="{00000009-7368-4D2B-947F-7B7DBA8FFDC0}"/>
            </c:ext>
          </c:extLst>
        </c:ser>
        <c:ser>
          <c:idx val="5"/>
          <c:order val="5"/>
          <c:tx>
            <c:strRef>
              <c:f>Pivot!$G$110:$G$111</c:f>
              <c:strCache>
                <c:ptCount val="1"/>
                <c:pt idx="0">
                  <c:v>Saturday</c:v>
                </c:pt>
              </c:strCache>
            </c:strRef>
          </c:tx>
          <c:spPr>
            <a:solidFill>
              <a:schemeClr val="accent6"/>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Pivot!$G$112:$G$135</c:f>
              <c:numCache>
                <c:formatCode>General</c:formatCode>
                <c:ptCount val="23"/>
                <c:pt idx="0">
                  <c:v>40</c:v>
                </c:pt>
                <c:pt idx="1">
                  <c:v>169</c:v>
                </c:pt>
                <c:pt idx="2">
                  <c:v>247</c:v>
                </c:pt>
                <c:pt idx="3">
                  <c:v>197</c:v>
                </c:pt>
                <c:pt idx="4">
                  <c:v>97</c:v>
                </c:pt>
                <c:pt idx="5">
                  <c:v>380</c:v>
                </c:pt>
                <c:pt idx="6">
                  <c:v>190</c:v>
                </c:pt>
                <c:pt idx="7">
                  <c:v>347</c:v>
                </c:pt>
                <c:pt idx="8">
                  <c:v>555</c:v>
                </c:pt>
                <c:pt idx="9">
                  <c:v>669</c:v>
                </c:pt>
                <c:pt idx="10">
                  <c:v>1032</c:v>
                </c:pt>
                <c:pt idx="11">
                  <c:v>534</c:v>
                </c:pt>
                <c:pt idx="12">
                  <c:v>251</c:v>
                </c:pt>
                <c:pt idx="13">
                  <c:v>373</c:v>
                </c:pt>
                <c:pt idx="14">
                  <c:v>710</c:v>
                </c:pt>
                <c:pt idx="15">
                  <c:v>535</c:v>
                </c:pt>
                <c:pt idx="16">
                  <c:v>567</c:v>
                </c:pt>
                <c:pt idx="17">
                  <c:v>56</c:v>
                </c:pt>
                <c:pt idx="18">
                  <c:v>36</c:v>
                </c:pt>
                <c:pt idx="19">
                  <c:v>98</c:v>
                </c:pt>
                <c:pt idx="20">
                  <c:v>249</c:v>
                </c:pt>
                <c:pt idx="21">
                  <c:v>177</c:v>
                </c:pt>
                <c:pt idx="22">
                  <c:v>239</c:v>
                </c:pt>
              </c:numCache>
            </c:numRef>
          </c:val>
          <c:extLst>
            <c:ext xmlns:c16="http://schemas.microsoft.com/office/drawing/2014/chart" uri="{C3380CC4-5D6E-409C-BE32-E72D297353CC}">
              <c16:uniqueId val="{0000000A-7368-4D2B-947F-7B7DBA8FFDC0}"/>
            </c:ext>
          </c:extLst>
        </c:ser>
        <c:ser>
          <c:idx val="6"/>
          <c:order val="6"/>
          <c:tx>
            <c:strRef>
              <c:f>Pivot!$H$110:$H$111</c:f>
              <c:strCache>
                <c:ptCount val="1"/>
                <c:pt idx="0">
                  <c:v>Sunday</c:v>
                </c:pt>
              </c:strCache>
            </c:strRef>
          </c:tx>
          <c:spPr>
            <a:solidFill>
              <a:schemeClr val="accent1">
                <a:lumMod val="60000"/>
              </a:schemeClr>
            </a:solidFill>
            <a:ln>
              <a:noFill/>
            </a:ln>
            <a:effectLst/>
          </c:spPr>
          <c:invertIfNegative val="0"/>
          <c:cat>
            <c:strRef>
              <c:f>Pivot!$A$112:$A$135</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Pivot!$H$112:$H$135</c:f>
              <c:numCache>
                <c:formatCode>General</c:formatCode>
                <c:ptCount val="23"/>
                <c:pt idx="0">
                  <c:v>23</c:v>
                </c:pt>
                <c:pt idx="1">
                  <c:v>39</c:v>
                </c:pt>
                <c:pt idx="2">
                  <c:v>40</c:v>
                </c:pt>
                <c:pt idx="3">
                  <c:v>38</c:v>
                </c:pt>
                <c:pt idx="4">
                  <c:v>151</c:v>
                </c:pt>
                <c:pt idx="5">
                  <c:v>124</c:v>
                </c:pt>
                <c:pt idx="6">
                  <c:v>477</c:v>
                </c:pt>
                <c:pt idx="7">
                  <c:v>588</c:v>
                </c:pt>
                <c:pt idx="8">
                  <c:v>355</c:v>
                </c:pt>
                <c:pt idx="9">
                  <c:v>375</c:v>
                </c:pt>
                <c:pt idx="10">
                  <c:v>485</c:v>
                </c:pt>
                <c:pt idx="11">
                  <c:v>486</c:v>
                </c:pt>
                <c:pt idx="12">
                  <c:v>706</c:v>
                </c:pt>
                <c:pt idx="13">
                  <c:v>389</c:v>
                </c:pt>
                <c:pt idx="14">
                  <c:v>700</c:v>
                </c:pt>
                <c:pt idx="15">
                  <c:v>259</c:v>
                </c:pt>
                <c:pt idx="16">
                  <c:v>1192</c:v>
                </c:pt>
                <c:pt idx="17">
                  <c:v>555</c:v>
                </c:pt>
                <c:pt idx="18">
                  <c:v>174</c:v>
                </c:pt>
                <c:pt idx="19">
                  <c:v>652</c:v>
                </c:pt>
                <c:pt idx="20">
                  <c:v>270</c:v>
                </c:pt>
                <c:pt idx="21">
                  <c:v>17</c:v>
                </c:pt>
                <c:pt idx="22">
                  <c:v>26</c:v>
                </c:pt>
              </c:numCache>
            </c:numRef>
          </c:val>
          <c:extLst>
            <c:ext xmlns:c16="http://schemas.microsoft.com/office/drawing/2014/chart" uri="{C3380CC4-5D6E-409C-BE32-E72D297353CC}">
              <c16:uniqueId val="{0000000B-7368-4D2B-947F-7B7DBA8FFDC0}"/>
            </c:ext>
          </c:extLst>
        </c:ser>
        <c:dLbls>
          <c:showLegendKey val="0"/>
          <c:showVal val="0"/>
          <c:showCatName val="0"/>
          <c:showSerName val="0"/>
          <c:showPercent val="0"/>
          <c:showBubbleSize val="0"/>
        </c:dLbls>
        <c:gapWidth val="219"/>
        <c:overlap val="-27"/>
        <c:axId val="1917532912"/>
        <c:axId val="1369589760"/>
      </c:barChart>
      <c:catAx>
        <c:axId val="19175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89760"/>
        <c:crosses val="autoZero"/>
        <c:auto val="1"/>
        <c:lblAlgn val="ctr"/>
        <c:lblOffset val="100"/>
        <c:noMultiLvlLbl val="0"/>
      </c:catAx>
      <c:valAx>
        <c:axId val="136958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3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Client By Dates</a:t>
            </a:r>
          </a:p>
          <a:p>
            <a:pPr>
              <a:defRPr/>
            </a:pPr>
            <a:endParaRPr lang="en-US"/>
          </a:p>
        </c:rich>
      </c:tx>
      <c:layout>
        <c:manualLayout>
          <c:xMode val="edge"/>
          <c:yMode val="edge"/>
          <c:x val="0.319028162020288"/>
          <c:y val="5.8273614674570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8174383607454E-2"/>
          <c:y val="0.23954702291427057"/>
          <c:w val="0.75498312710911131"/>
          <c:h val="0.43872836120204073"/>
        </c:manualLayout>
      </c:layout>
      <c:barChart>
        <c:barDir val="col"/>
        <c:grouping val="clustered"/>
        <c:varyColors val="0"/>
        <c:ser>
          <c:idx val="0"/>
          <c:order val="0"/>
          <c:tx>
            <c:strRef>
              <c:f>Pivot!$B$143</c:f>
              <c:strCache>
                <c:ptCount val="1"/>
                <c:pt idx="0">
                  <c:v>Total</c:v>
                </c:pt>
              </c:strCache>
            </c:strRef>
          </c:tx>
          <c:spPr>
            <a:solidFill>
              <a:schemeClr val="accent3">
                <a:lumMod val="75000"/>
              </a:schemeClr>
            </a:solidFill>
            <a:ln>
              <a:noFill/>
            </a:ln>
            <a:effectLst/>
          </c:spPr>
          <c:invertIfNegative val="0"/>
          <c:cat>
            <c:strRef>
              <c:f>Pivot!$A$144:$A$149</c:f>
              <c:strCache>
                <c:ptCount val="5"/>
                <c:pt idx="0">
                  <c:v>25-01-11</c:v>
                </c:pt>
                <c:pt idx="1">
                  <c:v>20-01-11</c:v>
                </c:pt>
                <c:pt idx="2">
                  <c:v>11-02-11</c:v>
                </c:pt>
                <c:pt idx="3">
                  <c:v>07-02-11</c:v>
                </c:pt>
                <c:pt idx="4">
                  <c:v>04-02-11</c:v>
                </c:pt>
              </c:strCache>
            </c:strRef>
          </c:cat>
          <c:val>
            <c:numRef>
              <c:f>Pivot!$B$144:$B$149</c:f>
              <c:numCache>
                <c:formatCode>General</c:formatCode>
                <c:ptCount val="5"/>
                <c:pt idx="0">
                  <c:v>1985</c:v>
                </c:pt>
                <c:pt idx="1">
                  <c:v>1927</c:v>
                </c:pt>
                <c:pt idx="2">
                  <c:v>1746</c:v>
                </c:pt>
                <c:pt idx="3">
                  <c:v>1712</c:v>
                </c:pt>
                <c:pt idx="4">
                  <c:v>1708</c:v>
                </c:pt>
              </c:numCache>
            </c:numRef>
          </c:val>
          <c:extLst>
            <c:ext xmlns:c16="http://schemas.microsoft.com/office/drawing/2014/chart" uri="{C3380CC4-5D6E-409C-BE32-E72D297353CC}">
              <c16:uniqueId val="{00000000-869B-4A94-B0B0-79C6F6717BDE}"/>
            </c:ext>
          </c:extLst>
        </c:ser>
        <c:dLbls>
          <c:showLegendKey val="0"/>
          <c:showVal val="0"/>
          <c:showCatName val="0"/>
          <c:showSerName val="0"/>
          <c:showPercent val="0"/>
          <c:showBubbleSize val="0"/>
        </c:dLbls>
        <c:gapWidth val="219"/>
        <c:overlap val="-27"/>
        <c:axId val="1921831600"/>
        <c:axId val="2077378080"/>
      </c:barChart>
      <c:catAx>
        <c:axId val="19218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378080"/>
        <c:crosses val="autoZero"/>
        <c:auto val="1"/>
        <c:lblAlgn val="ctr"/>
        <c:lblOffset val="100"/>
        <c:noMultiLvlLbl val="0"/>
      </c:catAx>
      <c:valAx>
        <c:axId val="207737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3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dataset_1 (2).xlsx]Pivot!PivotTable5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Pivot!$B$197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10-4DA3-96ED-4531F2F98A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10-4DA3-96ED-4531F2F98A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10-4DA3-96ED-4531F2F98A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10-4DA3-96ED-4531F2F98A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10-4DA3-96ED-4531F2F98A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10-4DA3-96ED-4531F2F98AF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10-4DA3-96ED-4531F2F98A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Pivot!$A$198:$A$205</c:f>
              <c:strCache>
                <c:ptCount val="7"/>
                <c:pt idx="0">
                  <c:v>Monday</c:v>
                </c:pt>
                <c:pt idx="1">
                  <c:v>Tuesday</c:v>
                </c:pt>
                <c:pt idx="2">
                  <c:v>Wednesday</c:v>
                </c:pt>
                <c:pt idx="3">
                  <c:v>Thursday</c:v>
                </c:pt>
                <c:pt idx="4">
                  <c:v>Friday</c:v>
                </c:pt>
                <c:pt idx="5">
                  <c:v>Saturday</c:v>
                </c:pt>
                <c:pt idx="6">
                  <c:v>Sunday</c:v>
                </c:pt>
              </c:strCache>
            </c:strRef>
          </c:cat>
          <c:val>
            <c:numRef>
              <c:f>Pivot!$B$198:$B$205</c:f>
              <c:numCache>
                <c:formatCode>General</c:formatCode>
                <c:ptCount val="7"/>
                <c:pt idx="0">
                  <c:v>534</c:v>
                </c:pt>
                <c:pt idx="1">
                  <c:v>457</c:v>
                </c:pt>
                <c:pt idx="2">
                  <c:v>344</c:v>
                </c:pt>
                <c:pt idx="3">
                  <c:v>332</c:v>
                </c:pt>
                <c:pt idx="4">
                  <c:v>552</c:v>
                </c:pt>
                <c:pt idx="5">
                  <c:v>1225</c:v>
                </c:pt>
                <c:pt idx="6">
                  <c:v>1477</c:v>
                </c:pt>
              </c:numCache>
            </c:numRef>
          </c:val>
          <c:extLst>
            <c:ext xmlns:c16="http://schemas.microsoft.com/office/drawing/2014/chart" uri="{C3380CC4-5D6E-409C-BE32-E72D297353CC}">
              <c16:uniqueId val="{00000000-B2D6-4537-91BE-6ED691ACD0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50429565869484E-2"/>
          <c:y val="6.0606060606060608E-2"/>
          <c:w val="0.90017068518609089"/>
          <c:h val="0.60214030064423762"/>
        </c:manualLayout>
      </c:layout>
      <c:lineChart>
        <c:grouping val="standard"/>
        <c:varyColors val="0"/>
        <c:ser>
          <c:idx val="0"/>
          <c:order val="0"/>
          <c:tx>
            <c:strRef>
              <c:f>'Forecast sheet'!$B$1</c:f>
              <c:strCache>
                <c:ptCount val="1"/>
                <c:pt idx="0">
                  <c:v>Total_Client</c:v>
                </c:pt>
              </c:strCache>
            </c:strRef>
          </c:tx>
          <c:spPr>
            <a:ln w="28575" cap="rnd">
              <a:solidFill>
                <a:schemeClr val="accent1"/>
              </a:solidFill>
              <a:round/>
            </a:ln>
            <a:effectLst/>
          </c:spPr>
          <c:marker>
            <c:symbol val="none"/>
          </c:marker>
          <c:val>
            <c:numRef>
              <c:f>'Forecast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806D-41FF-ABC1-1C27CDCB8A2F}"/>
            </c:ext>
          </c:extLst>
        </c:ser>
        <c:ser>
          <c:idx val="1"/>
          <c:order val="1"/>
          <c:tx>
            <c:strRef>
              <c:f>'Forecast sheet'!$C$1</c:f>
              <c:strCache>
                <c:ptCount val="1"/>
                <c:pt idx="0">
                  <c:v>Forecast(Total_Client)</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806D-41FF-ABC1-1C27CDCB8A2F}"/>
            </c:ext>
          </c:extLst>
        </c:ser>
        <c:ser>
          <c:idx val="2"/>
          <c:order val="2"/>
          <c:tx>
            <c:strRef>
              <c:f>'Forecast sheet'!$D$1</c:f>
              <c:strCache>
                <c:ptCount val="1"/>
                <c:pt idx="0">
                  <c:v>Lower Confidence Bound(Total_Client)</c:v>
                </c:pt>
              </c:strCache>
            </c:strRef>
          </c:tx>
          <c:spPr>
            <a:ln w="12700" cap="rnd">
              <a:solidFill>
                <a:srgbClr val="EA4335"/>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806D-41FF-ABC1-1C27CDCB8A2F}"/>
            </c:ext>
          </c:extLst>
        </c:ser>
        <c:ser>
          <c:idx val="3"/>
          <c:order val="3"/>
          <c:tx>
            <c:strRef>
              <c:f>'Forecast sheet'!$E$1</c:f>
              <c:strCache>
                <c:ptCount val="1"/>
                <c:pt idx="0">
                  <c:v>Upper Confidence Bound(Total_Client)</c:v>
                </c:pt>
              </c:strCache>
            </c:strRef>
          </c:tx>
          <c:spPr>
            <a:ln w="12700" cap="rnd">
              <a:solidFill>
                <a:srgbClr val="EA4335"/>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806D-41FF-ABC1-1C27CDCB8A2F}"/>
            </c:ext>
          </c:extLst>
        </c:ser>
        <c:dLbls>
          <c:showLegendKey val="0"/>
          <c:showVal val="0"/>
          <c:showCatName val="0"/>
          <c:showSerName val="0"/>
          <c:showPercent val="0"/>
          <c:showBubbleSize val="0"/>
        </c:dLbls>
        <c:smooth val="0"/>
        <c:axId val="61205999"/>
        <c:axId val="1369604640"/>
      </c:lineChart>
      <c:catAx>
        <c:axId val="6120599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604640"/>
        <c:crosses val="autoZero"/>
        <c:auto val="1"/>
        <c:lblAlgn val="ctr"/>
        <c:lblOffset val="100"/>
        <c:noMultiLvlLbl val="0"/>
      </c:catAx>
      <c:valAx>
        <c:axId val="136960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chart" Target="../charts/chart6.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14</xdr:col>
      <xdr:colOff>142874</xdr:colOff>
      <xdr:row>5</xdr:row>
      <xdr:rowOff>104774</xdr:rowOff>
    </xdr:from>
    <xdr:to>
      <xdr:col>20</xdr:col>
      <xdr:colOff>304800</xdr:colOff>
      <xdr:row>14</xdr:row>
      <xdr:rowOff>161924</xdr:rowOff>
    </xdr:to>
    <xdr:sp macro="" textlink="">
      <xdr:nvSpPr>
        <xdr:cNvPr id="25" name="Rectangle: Rounded Corners 24">
          <a:extLst>
            <a:ext uri="{FF2B5EF4-FFF2-40B4-BE49-F238E27FC236}">
              <a16:creationId xmlns:a16="http://schemas.microsoft.com/office/drawing/2014/main" id="{B2A17234-579F-4D36-87E2-F362D5B742A1}"/>
            </a:ext>
          </a:extLst>
        </xdr:cNvPr>
        <xdr:cNvSpPr/>
      </xdr:nvSpPr>
      <xdr:spPr>
        <a:xfrm>
          <a:off x="8677274" y="914399"/>
          <a:ext cx="3819526" cy="1514475"/>
        </a:xfrm>
        <a:prstGeom prst="roundRect">
          <a:avLst>
            <a:gd name="adj" fmla="val 4902"/>
          </a:avLst>
        </a:prstGeom>
        <a:solidFill>
          <a:schemeClr val="bg1"/>
        </a:solidFill>
        <a:effectLst>
          <a:outerShdw blurRad="50800" dist="50800" dir="5400000" algn="ctr" rotWithShape="0">
            <a:schemeClr val="accent2">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561975</xdr:colOff>
      <xdr:row>15</xdr:row>
      <xdr:rowOff>57150</xdr:rowOff>
    </xdr:from>
    <xdr:to>
      <xdr:col>20</xdr:col>
      <xdr:colOff>323851</xdr:colOff>
      <xdr:row>25</xdr:row>
      <xdr:rowOff>47625</xdr:rowOff>
    </xdr:to>
    <xdr:sp macro="" textlink="">
      <xdr:nvSpPr>
        <xdr:cNvPr id="23" name="Rectangle: Rounded Corners 22">
          <a:extLst>
            <a:ext uri="{FF2B5EF4-FFF2-40B4-BE49-F238E27FC236}">
              <a16:creationId xmlns:a16="http://schemas.microsoft.com/office/drawing/2014/main" id="{A07D3211-517E-4260-B150-DF6C65BE813F}"/>
            </a:ext>
          </a:extLst>
        </xdr:cNvPr>
        <xdr:cNvSpPr/>
      </xdr:nvSpPr>
      <xdr:spPr>
        <a:xfrm>
          <a:off x="7267575" y="2486025"/>
          <a:ext cx="5248276" cy="1609725"/>
        </a:xfrm>
        <a:prstGeom prst="roundRect">
          <a:avLst>
            <a:gd name="adj" fmla="val 2365"/>
          </a:avLst>
        </a:prstGeom>
        <a:solidFill>
          <a:schemeClr val="accent2">
            <a:lumMod val="20000"/>
            <a:lumOff val="80000"/>
          </a:schemeClr>
        </a:solidFill>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342901</xdr:colOff>
      <xdr:row>15</xdr:row>
      <xdr:rowOff>38100</xdr:rowOff>
    </xdr:from>
    <xdr:to>
      <xdr:col>11</xdr:col>
      <xdr:colOff>485775</xdr:colOff>
      <xdr:row>25</xdr:row>
      <xdr:rowOff>47625</xdr:rowOff>
    </xdr:to>
    <xdr:sp macro="" textlink="">
      <xdr:nvSpPr>
        <xdr:cNvPr id="22" name="Rectangle: Rounded Corners 21">
          <a:extLst>
            <a:ext uri="{FF2B5EF4-FFF2-40B4-BE49-F238E27FC236}">
              <a16:creationId xmlns:a16="http://schemas.microsoft.com/office/drawing/2014/main" id="{495FB145-1E57-4AA6-A86A-14D9F5D4BCC7}"/>
            </a:ext>
          </a:extLst>
        </xdr:cNvPr>
        <xdr:cNvSpPr/>
      </xdr:nvSpPr>
      <xdr:spPr>
        <a:xfrm>
          <a:off x="4000501" y="2466975"/>
          <a:ext cx="3190874" cy="1628775"/>
        </a:xfrm>
        <a:prstGeom prst="roundRect">
          <a:avLst>
            <a:gd name="adj" fmla="val 4321"/>
          </a:avLst>
        </a:prstGeom>
        <a:solidFill>
          <a:schemeClr val="accent2">
            <a:lumMod val="20000"/>
            <a:lumOff val="80000"/>
          </a:schemeClr>
        </a:solidFill>
        <a:ln>
          <a:noFill/>
        </a:ln>
        <a:effectLst>
          <a:outerShdw blurRad="50800" dist="38100" dir="5400000" algn="t"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85725</xdr:colOff>
      <xdr:row>5</xdr:row>
      <xdr:rowOff>76200</xdr:rowOff>
    </xdr:from>
    <xdr:to>
      <xdr:col>4</xdr:col>
      <xdr:colOff>409575</xdr:colOff>
      <xdr:row>15</xdr:row>
      <xdr:rowOff>19050</xdr:rowOff>
    </xdr:to>
    <xdr:sp macro="" textlink="">
      <xdr:nvSpPr>
        <xdr:cNvPr id="21" name="Rectangle: Rounded Corners 20">
          <a:extLst>
            <a:ext uri="{FF2B5EF4-FFF2-40B4-BE49-F238E27FC236}">
              <a16:creationId xmlns:a16="http://schemas.microsoft.com/office/drawing/2014/main" id="{22B79F10-FABD-4EC6-850E-5EBED832AD60}"/>
            </a:ext>
          </a:extLst>
        </xdr:cNvPr>
        <xdr:cNvSpPr/>
      </xdr:nvSpPr>
      <xdr:spPr>
        <a:xfrm>
          <a:off x="1304925" y="885825"/>
          <a:ext cx="1543050" cy="1562100"/>
        </a:xfrm>
        <a:prstGeom prst="roundRect">
          <a:avLst>
            <a:gd name="adj" fmla="val 4329"/>
          </a:avLst>
        </a:prstGeom>
        <a:solidFill>
          <a:schemeClr val="accent2">
            <a:lumMod val="20000"/>
            <a:lumOff val="80000"/>
          </a:schemeClr>
        </a:solidFill>
        <a:ln>
          <a:noFill/>
        </a:ln>
        <a:effectLst>
          <a:outerShdw blurRad="50800" dist="50800" dir="5400000" algn="ctr" rotWithShape="0">
            <a:schemeClr val="accent2">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57151</xdr:colOff>
      <xdr:row>5</xdr:row>
      <xdr:rowOff>66674</xdr:rowOff>
    </xdr:from>
    <xdr:to>
      <xdr:col>2</xdr:col>
      <xdr:colOff>57150</xdr:colOff>
      <xdr:row>14</xdr:row>
      <xdr:rowOff>152400</xdr:rowOff>
    </xdr:to>
    <xdr:sp macro="" textlink="">
      <xdr:nvSpPr>
        <xdr:cNvPr id="14" name="Rectangle: Rounded Corners 13">
          <a:extLst>
            <a:ext uri="{FF2B5EF4-FFF2-40B4-BE49-F238E27FC236}">
              <a16:creationId xmlns:a16="http://schemas.microsoft.com/office/drawing/2014/main" id="{A08A6BF5-8AEB-3253-522C-2B031C2662EE}"/>
            </a:ext>
          </a:extLst>
        </xdr:cNvPr>
        <xdr:cNvSpPr/>
      </xdr:nvSpPr>
      <xdr:spPr>
        <a:xfrm>
          <a:off x="57151" y="876299"/>
          <a:ext cx="1219199" cy="1543051"/>
        </a:xfrm>
        <a:prstGeom prst="roundRect">
          <a:avLst>
            <a:gd name="adj" fmla="val 2605"/>
          </a:avLst>
        </a:prstGeom>
        <a:noFill/>
        <a:ln>
          <a:solidFill>
            <a:schemeClr val="accent2">
              <a:lumMod val="20000"/>
              <a:lumOff val="80000"/>
            </a:schemeClr>
          </a:solidFill>
        </a:ln>
        <a:effectLst>
          <a:outerShdw blurRad="50800" dist="50800" dir="5400000" algn="ctr" rotWithShape="0">
            <a:schemeClr val="accent5">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457201</xdr:colOff>
      <xdr:row>5</xdr:row>
      <xdr:rowOff>95249</xdr:rowOff>
    </xdr:from>
    <xdr:to>
      <xdr:col>7</xdr:col>
      <xdr:colOff>152401</xdr:colOff>
      <xdr:row>15</xdr:row>
      <xdr:rowOff>9525</xdr:rowOff>
    </xdr:to>
    <xdr:sp macro="" textlink="">
      <xdr:nvSpPr>
        <xdr:cNvPr id="2" name="Rectangle: Rounded Corners 1">
          <a:extLst>
            <a:ext uri="{FF2B5EF4-FFF2-40B4-BE49-F238E27FC236}">
              <a16:creationId xmlns:a16="http://schemas.microsoft.com/office/drawing/2014/main" id="{55FD7411-DAD8-E57B-5934-C38B84459D05}"/>
            </a:ext>
          </a:extLst>
        </xdr:cNvPr>
        <xdr:cNvSpPr/>
      </xdr:nvSpPr>
      <xdr:spPr>
        <a:xfrm>
          <a:off x="2895601" y="904874"/>
          <a:ext cx="1524000" cy="1533526"/>
        </a:xfrm>
        <a:prstGeom prst="roundRect">
          <a:avLst>
            <a:gd name="adj" fmla="val 5628"/>
          </a:avLst>
        </a:prstGeom>
        <a:solidFill>
          <a:schemeClr val="accent2">
            <a:lumMod val="20000"/>
            <a:lumOff val="80000"/>
          </a:schemeClr>
        </a:solidFill>
        <a:ln>
          <a:noFill/>
        </a:ln>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15</xdr:row>
      <xdr:rowOff>47625</xdr:rowOff>
    </xdr:from>
    <xdr:to>
      <xdr:col>6</xdr:col>
      <xdr:colOff>276225</xdr:colOff>
      <xdr:row>25</xdr:row>
      <xdr:rowOff>57150</xdr:rowOff>
    </xdr:to>
    <xdr:sp macro="" textlink="">
      <xdr:nvSpPr>
        <xdr:cNvPr id="3" name="Rectangle: Rounded Corners 2">
          <a:extLst>
            <a:ext uri="{FF2B5EF4-FFF2-40B4-BE49-F238E27FC236}">
              <a16:creationId xmlns:a16="http://schemas.microsoft.com/office/drawing/2014/main" id="{66DC6106-D7F4-7AEE-F535-79CAD023DE07}"/>
            </a:ext>
          </a:extLst>
        </xdr:cNvPr>
        <xdr:cNvSpPr/>
      </xdr:nvSpPr>
      <xdr:spPr>
        <a:xfrm>
          <a:off x="66674" y="2476500"/>
          <a:ext cx="3867151" cy="1628775"/>
        </a:xfrm>
        <a:prstGeom prst="roundRect">
          <a:avLst>
            <a:gd name="adj" fmla="val 2917"/>
          </a:avLst>
        </a:prstGeom>
        <a:solidFill>
          <a:schemeClr val="accent2">
            <a:lumMod val="20000"/>
            <a:lumOff val="80000"/>
          </a:schemeClr>
        </a:solidFill>
        <a:ln>
          <a:solidFill>
            <a:schemeClr val="accent5">
              <a:lumMod val="75000"/>
            </a:schemeClr>
          </a:solidFill>
        </a:ln>
        <a:effectLst>
          <a:outerShdw blurRad="63500" dir="1800000" sx="102000" sy="102000" algn="ctr" rotWithShape="0">
            <a:schemeClr val="accent2">
              <a:lumMod val="20000"/>
              <a:lumOff val="80000"/>
              <a:alpha val="40000"/>
            </a:schemeClr>
          </a:outerShdw>
          <a:reflection stA="440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120014</xdr:colOff>
      <xdr:row>5</xdr:row>
      <xdr:rowOff>104775</xdr:rowOff>
    </xdr:from>
    <xdr:to>
      <xdr:col>2</xdr:col>
      <xdr:colOff>66675</xdr:colOff>
      <xdr:row>15</xdr:row>
      <xdr:rowOff>0</xdr:rowOff>
    </xdr:to>
    <mc:AlternateContent xmlns:mc="http://schemas.openxmlformats.org/markup-compatibility/2006" xmlns:a14="http://schemas.microsoft.com/office/drawing/2010/main">
      <mc:Choice Requires="a14">
        <xdr:graphicFrame macro="">
          <xdr:nvGraphicFramePr>
            <xdr:cNvPr id="4" name="Weekday 1">
              <a:extLst>
                <a:ext uri="{FF2B5EF4-FFF2-40B4-BE49-F238E27FC236}">
                  <a16:creationId xmlns:a16="http://schemas.microsoft.com/office/drawing/2014/main" id="{90352A07-0F3E-4AD5-BCD0-A8B8A75C5021}"/>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20014" y="914400"/>
              <a:ext cx="1165861"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466725</xdr:colOff>
      <xdr:row>5</xdr:row>
      <xdr:rowOff>123825</xdr:rowOff>
    </xdr:from>
    <xdr:to>
      <xdr:col>7</xdr:col>
      <xdr:colOff>133350</xdr:colOff>
      <xdr:row>14</xdr:row>
      <xdr:rowOff>152400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8E85BA90-46BB-448B-A0FB-BE2C62E001A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905125" y="933450"/>
              <a:ext cx="1495425" cy="1485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76200</xdr:colOff>
      <xdr:row>0</xdr:row>
      <xdr:rowOff>95250</xdr:rowOff>
    </xdr:from>
    <xdr:to>
      <xdr:col>5</xdr:col>
      <xdr:colOff>123825</xdr:colOff>
      <xdr:row>5</xdr:row>
      <xdr:rowOff>38100</xdr:rowOff>
    </xdr:to>
    <xdr:sp macro="" textlink="">
      <xdr:nvSpPr>
        <xdr:cNvPr id="13" name="Rectangle: Rounded Corners 12">
          <a:extLst>
            <a:ext uri="{FF2B5EF4-FFF2-40B4-BE49-F238E27FC236}">
              <a16:creationId xmlns:a16="http://schemas.microsoft.com/office/drawing/2014/main" id="{8BF2C7E1-E62C-3CD1-F1C1-D28C97211893}"/>
            </a:ext>
          </a:extLst>
        </xdr:cNvPr>
        <xdr:cNvSpPr/>
      </xdr:nvSpPr>
      <xdr:spPr>
        <a:xfrm>
          <a:off x="76200" y="95250"/>
          <a:ext cx="3095625" cy="752475"/>
        </a:xfrm>
        <a:prstGeom prst="roundRect">
          <a:avLst>
            <a:gd name="adj" fmla="val 6541"/>
          </a:avLst>
        </a:prstGeom>
        <a:solidFill>
          <a:schemeClr val="accent2">
            <a:lumMod val="20000"/>
            <a:lumOff val="80000"/>
          </a:schemeClr>
        </a:solidFill>
        <a:ln>
          <a:noFill/>
        </a:ln>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5">
                  <a:lumMod val="75000"/>
                </a:schemeClr>
              </a:solidFill>
            </a:rPr>
            <a:t>Bike Sharing Demand Analysis</a:t>
          </a:r>
        </a:p>
      </xdr:txBody>
    </xdr:sp>
    <xdr:clientData/>
  </xdr:twoCellAnchor>
  <xdr:twoCellAnchor>
    <xdr:from>
      <xdr:col>11</xdr:col>
      <xdr:colOff>504825</xdr:colOff>
      <xdr:row>15</xdr:row>
      <xdr:rowOff>66675</xdr:rowOff>
    </xdr:from>
    <xdr:to>
      <xdr:col>20</xdr:col>
      <xdr:colOff>295275</xdr:colOff>
      <xdr:row>25</xdr:row>
      <xdr:rowOff>0</xdr:rowOff>
    </xdr:to>
    <xdr:graphicFrame macro="">
      <xdr:nvGraphicFramePr>
        <xdr:cNvPr id="15" name="Chart 14">
          <a:extLst>
            <a:ext uri="{FF2B5EF4-FFF2-40B4-BE49-F238E27FC236}">
              <a16:creationId xmlns:a16="http://schemas.microsoft.com/office/drawing/2014/main" id="{4D8DE7F6-E23B-4D8A-8788-90DC372A8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104776</xdr:colOff>
      <xdr:row>15</xdr:row>
      <xdr:rowOff>95249</xdr:rowOff>
    </xdr:from>
    <xdr:to>
      <xdr:col>6</xdr:col>
      <xdr:colOff>228600</xdr:colOff>
      <xdr:row>25</xdr:row>
      <xdr:rowOff>0</xdr:rowOff>
    </xdr:to>
    <xdr:graphicFrame macro="">
      <xdr:nvGraphicFramePr>
        <xdr:cNvPr id="16" name="Chart 15">
          <a:extLst>
            <a:ext uri="{FF2B5EF4-FFF2-40B4-BE49-F238E27FC236}">
              <a16:creationId xmlns:a16="http://schemas.microsoft.com/office/drawing/2014/main" id="{A7561B7C-9841-4553-970B-948FBB974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314325</xdr:colOff>
      <xdr:row>15</xdr:row>
      <xdr:rowOff>66674</xdr:rowOff>
    </xdr:from>
    <xdr:to>
      <xdr:col>11</xdr:col>
      <xdr:colOff>457200</xdr:colOff>
      <xdr:row>25</xdr:row>
      <xdr:rowOff>28575</xdr:rowOff>
    </xdr:to>
    <xdr:graphicFrame macro="">
      <xdr:nvGraphicFramePr>
        <xdr:cNvPr id="17" name="Chart 16">
          <a:extLst>
            <a:ext uri="{FF2B5EF4-FFF2-40B4-BE49-F238E27FC236}">
              <a16:creationId xmlns:a16="http://schemas.microsoft.com/office/drawing/2014/main" id="{9562A4D4-9DC5-4F98-A0CC-F25B77529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171449</xdr:colOff>
      <xdr:row>6</xdr:row>
      <xdr:rowOff>57151</xdr:rowOff>
    </xdr:from>
    <xdr:to>
      <xdr:col>20</xdr:col>
      <xdr:colOff>238124</xdr:colOff>
      <xdr:row>14</xdr:row>
      <xdr:rowOff>133350</xdr:rowOff>
    </xdr:to>
    <xdr:graphicFrame macro="">
      <xdr:nvGraphicFramePr>
        <xdr:cNvPr id="18" name="Chart 17">
          <a:extLst>
            <a:ext uri="{FF2B5EF4-FFF2-40B4-BE49-F238E27FC236}">
              <a16:creationId xmlns:a16="http://schemas.microsoft.com/office/drawing/2014/main" id="{1F3D9058-6746-42C8-9F1C-B54A0653F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85725</xdr:colOff>
      <xdr:row>5</xdr:row>
      <xdr:rowOff>104777</xdr:rowOff>
    </xdr:from>
    <xdr:to>
      <xdr:col>4</xdr:col>
      <xdr:colOff>428625</xdr:colOff>
      <xdr:row>15</xdr:row>
      <xdr:rowOff>9525</xdr:rowOff>
    </xdr:to>
    <mc:AlternateContent xmlns:mc="http://schemas.openxmlformats.org/markup-compatibility/2006" xmlns:a14="http://schemas.microsoft.com/office/drawing/2010/main">
      <mc:Choice Requires="a14">
        <xdr:graphicFrame macro="">
          <xdr:nvGraphicFramePr>
            <xdr:cNvPr id="20" name="Weather_sit 1">
              <a:extLst>
                <a:ext uri="{FF2B5EF4-FFF2-40B4-BE49-F238E27FC236}">
                  <a16:creationId xmlns:a16="http://schemas.microsoft.com/office/drawing/2014/main" id="{7D814DBB-EFC2-4415-A5DC-48A0E979B3B2}"/>
                </a:ext>
              </a:extLst>
            </xdr:cNvPr>
            <xdr:cNvGraphicFramePr/>
          </xdr:nvGraphicFramePr>
          <xdr:xfrm>
            <a:off x="0" y="0"/>
            <a:ext cx="0" cy="0"/>
          </xdr:xfrm>
          <a:graphic>
            <a:graphicData uri="http://schemas.microsoft.com/office/drawing/2010/slicer">
              <sle:slicer xmlns:sle="http://schemas.microsoft.com/office/drawing/2010/slicer" name="Weather_sit 1"/>
            </a:graphicData>
          </a:graphic>
        </xdr:graphicFrame>
      </mc:Choice>
      <mc:Fallback xmlns="">
        <xdr:sp macro="" textlink="">
          <xdr:nvSpPr>
            <xdr:cNvPr id="0" name=""/>
            <xdr:cNvSpPr>
              <a:spLocks noTextEdit="1"/>
            </xdr:cNvSpPr>
          </xdr:nvSpPr>
          <xdr:spPr>
            <a:xfrm>
              <a:off x="1304925" y="914402"/>
              <a:ext cx="1562100" cy="1523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0</xdr:row>
      <xdr:rowOff>85725</xdr:rowOff>
    </xdr:from>
    <xdr:to>
      <xdr:col>10</xdr:col>
      <xdr:colOff>247650</xdr:colOff>
      <xdr:row>5</xdr:row>
      <xdr:rowOff>47625</xdr:rowOff>
    </xdr:to>
    <xdr:sp macro="" textlink="">
      <xdr:nvSpPr>
        <xdr:cNvPr id="27" name="Rectangle: Rounded Corners 26">
          <a:extLst>
            <a:ext uri="{FF2B5EF4-FFF2-40B4-BE49-F238E27FC236}">
              <a16:creationId xmlns:a16="http://schemas.microsoft.com/office/drawing/2014/main" id="{FCE3A12B-1DD4-6BE2-0E26-0C28B33A2473}"/>
            </a:ext>
          </a:extLst>
        </xdr:cNvPr>
        <xdr:cNvSpPr/>
      </xdr:nvSpPr>
      <xdr:spPr>
        <a:xfrm>
          <a:off x="3238500" y="85725"/>
          <a:ext cx="3105150" cy="771525"/>
        </a:xfrm>
        <a:prstGeom prst="roundRect">
          <a:avLst>
            <a:gd name="adj" fmla="val 6541"/>
          </a:avLst>
        </a:prstGeom>
        <a:solidFill>
          <a:schemeClr val="accent2">
            <a:lumMod val="20000"/>
            <a:lumOff val="80000"/>
          </a:schemeClr>
        </a:solidFill>
        <a:ln>
          <a:noFill/>
        </a:ln>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chemeClr val="accent5">
                <a:lumMod val="75000"/>
              </a:schemeClr>
            </a:solidFill>
          </a:endParaRPr>
        </a:p>
      </xdr:txBody>
    </xdr:sp>
    <xdr:clientData/>
  </xdr:twoCellAnchor>
  <xdr:twoCellAnchor>
    <xdr:from>
      <xdr:col>10</xdr:col>
      <xdr:colOff>295275</xdr:colOff>
      <xdr:row>0</xdr:row>
      <xdr:rowOff>85725</xdr:rowOff>
    </xdr:from>
    <xdr:to>
      <xdr:col>15</xdr:col>
      <xdr:colOff>285750</xdr:colOff>
      <xdr:row>5</xdr:row>
      <xdr:rowOff>38100</xdr:rowOff>
    </xdr:to>
    <xdr:sp macro="" textlink="">
      <xdr:nvSpPr>
        <xdr:cNvPr id="28" name="Rectangle: Rounded Corners 27">
          <a:extLst>
            <a:ext uri="{FF2B5EF4-FFF2-40B4-BE49-F238E27FC236}">
              <a16:creationId xmlns:a16="http://schemas.microsoft.com/office/drawing/2014/main" id="{A982ED88-4A9D-FD8C-33A2-E9A4C8F56588}"/>
            </a:ext>
          </a:extLst>
        </xdr:cNvPr>
        <xdr:cNvSpPr/>
      </xdr:nvSpPr>
      <xdr:spPr>
        <a:xfrm>
          <a:off x="6391275" y="85725"/>
          <a:ext cx="3038475" cy="762000"/>
        </a:xfrm>
        <a:prstGeom prst="roundRect">
          <a:avLst>
            <a:gd name="adj" fmla="val 6541"/>
          </a:avLst>
        </a:prstGeom>
        <a:solidFill>
          <a:schemeClr val="accent2">
            <a:lumMod val="20000"/>
            <a:lumOff val="80000"/>
          </a:schemeClr>
        </a:solidFill>
        <a:ln>
          <a:noFill/>
        </a:ln>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chemeClr val="accent5">
                <a:lumMod val="75000"/>
              </a:schemeClr>
            </a:solidFill>
          </a:endParaRPr>
        </a:p>
      </xdr:txBody>
    </xdr:sp>
    <xdr:clientData/>
  </xdr:twoCellAnchor>
  <xdr:twoCellAnchor>
    <xdr:from>
      <xdr:col>15</xdr:col>
      <xdr:colOff>371475</xdr:colOff>
      <xdr:row>0</xdr:row>
      <xdr:rowOff>66675</xdr:rowOff>
    </xdr:from>
    <xdr:to>
      <xdr:col>20</xdr:col>
      <xdr:colOff>266700</xdr:colOff>
      <xdr:row>5</xdr:row>
      <xdr:rowOff>47625</xdr:rowOff>
    </xdr:to>
    <xdr:sp macro="" textlink="">
      <xdr:nvSpPr>
        <xdr:cNvPr id="29" name="Rectangle: Rounded Corners 28">
          <a:extLst>
            <a:ext uri="{FF2B5EF4-FFF2-40B4-BE49-F238E27FC236}">
              <a16:creationId xmlns:a16="http://schemas.microsoft.com/office/drawing/2014/main" id="{559FA1CC-2148-20C5-0803-9D6F8F0B6200}"/>
            </a:ext>
          </a:extLst>
        </xdr:cNvPr>
        <xdr:cNvSpPr/>
      </xdr:nvSpPr>
      <xdr:spPr>
        <a:xfrm>
          <a:off x="9515475" y="66675"/>
          <a:ext cx="2943225" cy="790575"/>
        </a:xfrm>
        <a:prstGeom prst="roundRect">
          <a:avLst>
            <a:gd name="adj" fmla="val 6541"/>
          </a:avLst>
        </a:prstGeom>
        <a:solidFill>
          <a:schemeClr val="accent2">
            <a:lumMod val="20000"/>
            <a:lumOff val="80000"/>
          </a:schemeClr>
        </a:solidFill>
        <a:ln>
          <a:noFill/>
        </a:ln>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chemeClr val="accent5">
                <a:lumMod val="75000"/>
              </a:schemeClr>
            </a:solidFill>
          </a:endParaRPr>
        </a:p>
      </xdr:txBody>
    </xdr:sp>
    <xdr:clientData/>
  </xdr:twoCellAnchor>
  <xdr:twoCellAnchor>
    <xdr:from>
      <xdr:col>8</xdr:col>
      <xdr:colOff>142875</xdr:colOff>
      <xdr:row>0</xdr:row>
      <xdr:rowOff>142875</xdr:rowOff>
    </xdr:from>
    <xdr:to>
      <xdr:col>9</xdr:col>
      <xdr:colOff>476249</xdr:colOff>
      <xdr:row>3</xdr:row>
      <xdr:rowOff>19050</xdr:rowOff>
    </xdr:to>
    <xdr:sp macro="" textlink="'Extract Data_sheet'!S22">
      <xdr:nvSpPr>
        <xdr:cNvPr id="30" name="TextBox 29">
          <a:extLst>
            <a:ext uri="{FF2B5EF4-FFF2-40B4-BE49-F238E27FC236}">
              <a16:creationId xmlns:a16="http://schemas.microsoft.com/office/drawing/2014/main" id="{802F51C2-C4B4-7EE5-5E41-D4279DE16BE2}"/>
            </a:ext>
          </a:extLst>
        </xdr:cNvPr>
        <xdr:cNvSpPr txBox="1"/>
      </xdr:nvSpPr>
      <xdr:spPr>
        <a:xfrm>
          <a:off x="5019675" y="142875"/>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2CF961B-FDEC-4E62-B51A-EAE132F98445}" type="TxLink">
            <a:rPr lang="en-US" sz="2000" b="1" i="0" u="none" strike="noStrike">
              <a:solidFill>
                <a:srgbClr val="7030A0"/>
              </a:solidFill>
              <a:latin typeface="Arial"/>
              <a:cs typeface="Arial"/>
            </a:rPr>
            <a:pPr algn="ctr"/>
            <a:t>58304</a:t>
          </a:fld>
          <a:endParaRPr lang="en-US" sz="2000" b="1">
            <a:solidFill>
              <a:srgbClr val="7030A0"/>
            </a:solidFill>
          </a:endParaRPr>
        </a:p>
      </xdr:txBody>
    </xdr:sp>
    <xdr:clientData/>
  </xdr:twoCellAnchor>
  <xdr:twoCellAnchor>
    <xdr:from>
      <xdr:col>12</xdr:col>
      <xdr:colOff>9525</xdr:colOff>
      <xdr:row>2</xdr:row>
      <xdr:rowOff>95249</xdr:rowOff>
    </xdr:from>
    <xdr:to>
      <xdr:col>15</xdr:col>
      <xdr:colOff>238124</xdr:colOff>
      <xdr:row>4</xdr:row>
      <xdr:rowOff>85724</xdr:rowOff>
    </xdr:to>
    <xdr:sp macro="" textlink="'Extract Data_sheet'!S22">
      <xdr:nvSpPr>
        <xdr:cNvPr id="31" name="TextBox 30">
          <a:extLst>
            <a:ext uri="{FF2B5EF4-FFF2-40B4-BE49-F238E27FC236}">
              <a16:creationId xmlns:a16="http://schemas.microsoft.com/office/drawing/2014/main" id="{968E1BB7-68B8-BF2E-C855-FCF9F9AE8381}"/>
            </a:ext>
          </a:extLst>
        </xdr:cNvPr>
        <xdr:cNvSpPr txBox="1"/>
      </xdr:nvSpPr>
      <xdr:spPr>
        <a:xfrm>
          <a:off x="7324725" y="419099"/>
          <a:ext cx="20573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1" i="0" u="none" strike="noStrike">
              <a:solidFill>
                <a:schemeClr val="accent5">
                  <a:lumMod val="75000"/>
                </a:schemeClr>
              </a:solidFill>
              <a:effectLst/>
              <a:latin typeface="+mn-lt"/>
              <a:ea typeface="+mn-ea"/>
              <a:cs typeface="+mn-cs"/>
            </a:rPr>
            <a:t>Average Registered</a:t>
          </a:r>
          <a:r>
            <a:rPr lang="en-US" sz="1600" b="1">
              <a:solidFill>
                <a:schemeClr val="accent5">
                  <a:lumMod val="75000"/>
                </a:schemeClr>
              </a:solidFill>
              <a:effectLst/>
            </a:rPr>
            <a:t> </a:t>
          </a:r>
          <a:endParaRPr lang="en-US" sz="1600" b="1">
            <a:solidFill>
              <a:schemeClr val="accent5">
                <a:lumMod val="75000"/>
              </a:schemeClr>
            </a:solidFill>
          </a:endParaRPr>
        </a:p>
      </xdr:txBody>
    </xdr:sp>
    <xdr:clientData/>
  </xdr:twoCellAnchor>
  <xdr:twoCellAnchor>
    <xdr:from>
      <xdr:col>17</xdr:col>
      <xdr:colOff>371475</xdr:colOff>
      <xdr:row>0</xdr:row>
      <xdr:rowOff>114300</xdr:rowOff>
    </xdr:from>
    <xdr:to>
      <xdr:col>19</xdr:col>
      <xdr:colOff>95249</xdr:colOff>
      <xdr:row>3</xdr:row>
      <xdr:rowOff>85725</xdr:rowOff>
    </xdr:to>
    <xdr:sp macro="" textlink="'Extract Data_sheet'!S24">
      <xdr:nvSpPr>
        <xdr:cNvPr id="34" name="TextBox 33">
          <a:extLst>
            <a:ext uri="{FF2B5EF4-FFF2-40B4-BE49-F238E27FC236}">
              <a16:creationId xmlns:a16="http://schemas.microsoft.com/office/drawing/2014/main" id="{10142543-4A34-C79B-0F62-4C1A9946D4BF}"/>
            </a:ext>
          </a:extLst>
        </xdr:cNvPr>
        <xdr:cNvSpPr txBox="1"/>
      </xdr:nvSpPr>
      <xdr:spPr>
        <a:xfrm>
          <a:off x="10734675" y="114300"/>
          <a:ext cx="94297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40F4D3-778F-421F-AB6E-F2E8A57F40C7}" type="TxLink">
            <a:rPr lang="en-US" sz="2000" b="1" i="0" u="none" strike="noStrike">
              <a:solidFill>
                <a:srgbClr val="7030A0"/>
              </a:solidFill>
              <a:latin typeface="Arial"/>
              <a:cs typeface="Arial"/>
            </a:rPr>
            <a:pPr algn="ctr"/>
            <a:t>109</a:t>
          </a:fld>
          <a:endParaRPr lang="en-US" sz="2000" b="1">
            <a:solidFill>
              <a:srgbClr val="7030A0"/>
            </a:solidFill>
          </a:endParaRPr>
        </a:p>
      </xdr:txBody>
    </xdr:sp>
    <xdr:clientData/>
  </xdr:twoCellAnchor>
  <xdr:twoCellAnchor>
    <xdr:from>
      <xdr:col>7</xdr:col>
      <xdr:colOff>400050</xdr:colOff>
      <xdr:row>2</xdr:row>
      <xdr:rowOff>142875</xdr:rowOff>
    </xdr:from>
    <xdr:to>
      <xdr:col>10</xdr:col>
      <xdr:colOff>142875</xdr:colOff>
      <xdr:row>4</xdr:row>
      <xdr:rowOff>142874</xdr:rowOff>
    </xdr:to>
    <xdr:sp macro="" textlink="'Extract Data_sheet'!S22">
      <xdr:nvSpPr>
        <xdr:cNvPr id="38" name="TextBox 37">
          <a:extLst>
            <a:ext uri="{FF2B5EF4-FFF2-40B4-BE49-F238E27FC236}">
              <a16:creationId xmlns:a16="http://schemas.microsoft.com/office/drawing/2014/main" id="{FBF36A20-3698-4302-9FE1-AEF406411F70}"/>
            </a:ext>
          </a:extLst>
        </xdr:cNvPr>
        <xdr:cNvSpPr txBox="1"/>
      </xdr:nvSpPr>
      <xdr:spPr>
        <a:xfrm>
          <a:off x="4667250" y="466725"/>
          <a:ext cx="1571625"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1" i="0" u="none" strike="noStrike">
              <a:solidFill>
                <a:schemeClr val="accent5">
                  <a:lumMod val="75000"/>
                </a:schemeClr>
              </a:solidFill>
              <a:effectLst/>
              <a:latin typeface="+mn-lt"/>
              <a:ea typeface="+mn-ea"/>
              <a:cs typeface="+mn-cs"/>
            </a:rPr>
            <a:t>Total Client</a:t>
          </a:r>
          <a:r>
            <a:rPr lang="en-US" sz="1600" b="1">
              <a:solidFill>
                <a:schemeClr val="accent5">
                  <a:lumMod val="75000"/>
                </a:schemeClr>
              </a:solidFill>
              <a:effectLst/>
            </a:rPr>
            <a:t> </a:t>
          </a:r>
          <a:endParaRPr lang="en-US" sz="1600" b="1">
            <a:solidFill>
              <a:schemeClr val="accent5">
                <a:lumMod val="75000"/>
              </a:schemeClr>
            </a:solidFill>
          </a:endParaRPr>
        </a:p>
      </xdr:txBody>
    </xdr:sp>
    <xdr:clientData/>
  </xdr:twoCellAnchor>
  <xdr:twoCellAnchor>
    <xdr:from>
      <xdr:col>16</xdr:col>
      <xdr:colOff>571500</xdr:colOff>
      <xdr:row>2</xdr:row>
      <xdr:rowOff>76200</xdr:rowOff>
    </xdr:from>
    <xdr:to>
      <xdr:col>19</xdr:col>
      <xdr:colOff>571499</xdr:colOff>
      <xdr:row>5</xdr:row>
      <xdr:rowOff>47625</xdr:rowOff>
    </xdr:to>
    <xdr:sp macro="" textlink="'Extract Data_sheet'!S22">
      <xdr:nvSpPr>
        <xdr:cNvPr id="39" name="TextBox 38">
          <a:extLst>
            <a:ext uri="{FF2B5EF4-FFF2-40B4-BE49-F238E27FC236}">
              <a16:creationId xmlns:a16="http://schemas.microsoft.com/office/drawing/2014/main" id="{C312F0D0-AEF6-4AC6-B9A2-82B9B27A343A}"/>
            </a:ext>
          </a:extLst>
        </xdr:cNvPr>
        <xdr:cNvSpPr txBox="1"/>
      </xdr:nvSpPr>
      <xdr:spPr>
        <a:xfrm>
          <a:off x="10325100" y="400050"/>
          <a:ext cx="18287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1" i="0" u="none" strike="noStrike">
              <a:solidFill>
                <a:schemeClr val="accent5">
                  <a:lumMod val="75000"/>
                </a:schemeClr>
              </a:solidFill>
              <a:effectLst/>
              <a:latin typeface="+mn-lt"/>
              <a:ea typeface="+mn-ea"/>
              <a:cs typeface="+mn-cs"/>
            </a:rPr>
            <a:t>Average Casual</a:t>
          </a:r>
          <a:r>
            <a:rPr lang="en-US" sz="1600" b="1">
              <a:solidFill>
                <a:schemeClr val="accent5">
                  <a:lumMod val="75000"/>
                </a:schemeClr>
              </a:solidFill>
              <a:effectLst/>
            </a:rPr>
            <a:t> </a:t>
          </a:r>
          <a:endParaRPr lang="en-US" sz="1600" b="1">
            <a:solidFill>
              <a:schemeClr val="accent5">
                <a:lumMod val="75000"/>
              </a:schemeClr>
            </a:solidFill>
          </a:endParaRPr>
        </a:p>
      </xdr:txBody>
    </xdr:sp>
    <xdr:clientData/>
  </xdr:twoCellAnchor>
  <xdr:twoCellAnchor>
    <xdr:from>
      <xdr:col>12</xdr:col>
      <xdr:colOff>581025</xdr:colOff>
      <xdr:row>0</xdr:row>
      <xdr:rowOff>95250</xdr:rowOff>
    </xdr:from>
    <xdr:to>
      <xdr:col>14</xdr:col>
      <xdr:colOff>304799</xdr:colOff>
      <xdr:row>3</xdr:row>
      <xdr:rowOff>66675</xdr:rowOff>
    </xdr:to>
    <xdr:sp macro="" textlink="'Extract Data_sheet'!S23">
      <xdr:nvSpPr>
        <xdr:cNvPr id="40" name="TextBox 39">
          <a:extLst>
            <a:ext uri="{FF2B5EF4-FFF2-40B4-BE49-F238E27FC236}">
              <a16:creationId xmlns:a16="http://schemas.microsoft.com/office/drawing/2014/main" id="{8EE56057-CBA0-487A-BB40-9A77062BE8E5}"/>
            </a:ext>
          </a:extLst>
        </xdr:cNvPr>
        <xdr:cNvSpPr txBox="1"/>
      </xdr:nvSpPr>
      <xdr:spPr>
        <a:xfrm>
          <a:off x="7896225" y="95250"/>
          <a:ext cx="94297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3F2ED08-DF8E-4A92-A023-FDAD836A29CE}" type="TxLink">
            <a:rPr lang="en-US" sz="2000" b="1" i="0" u="none" strike="noStrike">
              <a:solidFill>
                <a:srgbClr val="7030A0"/>
              </a:solidFill>
              <a:latin typeface="Arial"/>
              <a:cs typeface="Arial"/>
            </a:rPr>
            <a:pPr algn="ctr"/>
            <a:t>1186</a:t>
          </a:fld>
          <a:endParaRPr lang="en-US" sz="2000" b="1">
            <a:solidFill>
              <a:srgbClr val="7030A0"/>
            </a:solidFill>
          </a:endParaRPr>
        </a:p>
      </xdr:txBody>
    </xdr:sp>
    <xdr:clientData/>
  </xdr:twoCellAnchor>
  <xdr:twoCellAnchor editAs="oneCell">
    <xdr:from>
      <xdr:col>5</xdr:col>
      <xdr:colOff>209551</xdr:colOff>
      <xdr:row>0</xdr:row>
      <xdr:rowOff>110915</xdr:rowOff>
    </xdr:from>
    <xdr:to>
      <xdr:col>7</xdr:col>
      <xdr:colOff>314325</xdr:colOff>
      <xdr:row>4</xdr:row>
      <xdr:rowOff>152400</xdr:rowOff>
    </xdr:to>
    <xdr:pic>
      <xdr:nvPicPr>
        <xdr:cNvPr id="45" name="Picture 44">
          <a:extLst>
            <a:ext uri="{FF2B5EF4-FFF2-40B4-BE49-F238E27FC236}">
              <a16:creationId xmlns:a16="http://schemas.microsoft.com/office/drawing/2014/main" id="{CD604BCC-1FBF-7F10-5A84-166D4B06A0AF}"/>
            </a:ext>
          </a:extLst>
        </xdr:cNvPr>
        <xdr:cNvPicPr>
          <a:picLocks noChangeAspect="1"/>
        </xdr:cNvPicPr>
      </xdr:nvPicPr>
      <xdr:blipFill>
        <a:blip xmlns:r="http://schemas.openxmlformats.org/officeDocument/2006/relationships" r:embed="rId5">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257551" y="110915"/>
          <a:ext cx="1323974" cy="689185"/>
        </a:xfrm>
        <a:prstGeom prst="rect">
          <a:avLst/>
        </a:prstGeom>
      </xdr:spPr>
    </xdr:pic>
    <xdr:clientData/>
  </xdr:twoCellAnchor>
  <xdr:twoCellAnchor editAs="oneCell">
    <xdr:from>
      <xdr:col>10</xdr:col>
      <xdr:colOff>285749</xdr:colOff>
      <xdr:row>1</xdr:row>
      <xdr:rowOff>9524</xdr:rowOff>
    </xdr:from>
    <xdr:to>
      <xdr:col>12</xdr:col>
      <xdr:colOff>0</xdr:colOff>
      <xdr:row>4</xdr:row>
      <xdr:rowOff>161924</xdr:rowOff>
    </xdr:to>
    <xdr:pic>
      <xdr:nvPicPr>
        <xdr:cNvPr id="47" name="Graphic 46" descr="Bar graph with upward trend with solid fill">
          <a:extLst>
            <a:ext uri="{FF2B5EF4-FFF2-40B4-BE49-F238E27FC236}">
              <a16:creationId xmlns:a16="http://schemas.microsoft.com/office/drawing/2014/main" id="{F7452256-3E81-7204-0C96-EA2E31AC63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81749" y="171449"/>
          <a:ext cx="933451" cy="638175"/>
        </a:xfrm>
        <a:prstGeom prst="rect">
          <a:avLst/>
        </a:prstGeom>
      </xdr:spPr>
    </xdr:pic>
    <xdr:clientData/>
  </xdr:twoCellAnchor>
  <xdr:twoCellAnchor editAs="oneCell">
    <xdr:from>
      <xdr:col>15</xdr:col>
      <xdr:colOff>238124</xdr:colOff>
      <xdr:row>0</xdr:row>
      <xdr:rowOff>85725</xdr:rowOff>
    </xdr:from>
    <xdr:to>
      <xdr:col>17</xdr:col>
      <xdr:colOff>438150</xdr:colOff>
      <xdr:row>4</xdr:row>
      <xdr:rowOff>104775</xdr:rowOff>
    </xdr:to>
    <xdr:pic>
      <xdr:nvPicPr>
        <xdr:cNvPr id="49" name="Graphic 48" descr="Child with balloon with solid fill">
          <a:extLst>
            <a:ext uri="{FF2B5EF4-FFF2-40B4-BE49-F238E27FC236}">
              <a16:creationId xmlns:a16="http://schemas.microsoft.com/office/drawing/2014/main" id="{B6E36FA2-74B3-6D7C-479B-A3F5E4EE75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82124" y="85725"/>
          <a:ext cx="1419226" cy="666750"/>
        </a:xfrm>
        <a:prstGeom prst="rect">
          <a:avLst/>
        </a:prstGeom>
      </xdr:spPr>
    </xdr:pic>
    <xdr:clientData/>
  </xdr:twoCellAnchor>
  <xdr:twoCellAnchor editAs="oneCell">
    <xdr:from>
      <xdr:col>3</xdr:col>
      <xdr:colOff>361950</xdr:colOff>
      <xdr:row>2</xdr:row>
      <xdr:rowOff>38100</xdr:rowOff>
    </xdr:from>
    <xdr:to>
      <xdr:col>4</xdr:col>
      <xdr:colOff>285750</xdr:colOff>
      <xdr:row>5</xdr:row>
      <xdr:rowOff>85725</xdr:rowOff>
    </xdr:to>
    <xdr:pic>
      <xdr:nvPicPr>
        <xdr:cNvPr id="51" name="Graphic 50" descr="Arrow circle with solid fill">
          <a:extLst>
            <a:ext uri="{FF2B5EF4-FFF2-40B4-BE49-F238E27FC236}">
              <a16:creationId xmlns:a16="http://schemas.microsoft.com/office/drawing/2014/main" id="{F15AFCBD-9724-327B-6ABB-D9AF54B8FCD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flipV="1">
          <a:off x="2190750" y="361950"/>
          <a:ext cx="533400" cy="533400"/>
        </a:xfrm>
        <a:prstGeom prst="rect">
          <a:avLst/>
        </a:prstGeom>
      </xdr:spPr>
    </xdr:pic>
    <xdr:clientData/>
  </xdr:twoCellAnchor>
  <xdr:twoCellAnchor editAs="oneCell">
    <xdr:from>
      <xdr:col>0</xdr:col>
      <xdr:colOff>495300</xdr:colOff>
      <xdr:row>2</xdr:row>
      <xdr:rowOff>28575</xdr:rowOff>
    </xdr:from>
    <xdr:to>
      <xdr:col>1</xdr:col>
      <xdr:colOff>476250</xdr:colOff>
      <xdr:row>5</xdr:row>
      <xdr:rowOff>133350</xdr:rowOff>
    </xdr:to>
    <xdr:pic>
      <xdr:nvPicPr>
        <xdr:cNvPr id="53" name="Graphic 52" descr="Handshake with solid fill">
          <a:extLst>
            <a:ext uri="{FF2B5EF4-FFF2-40B4-BE49-F238E27FC236}">
              <a16:creationId xmlns:a16="http://schemas.microsoft.com/office/drawing/2014/main" id="{AF429B1F-D978-BFAD-105E-725DADD2950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5300" y="352425"/>
          <a:ext cx="590550" cy="590550"/>
        </a:xfrm>
        <a:prstGeom prst="rect">
          <a:avLst/>
        </a:prstGeom>
      </xdr:spPr>
    </xdr:pic>
    <xdr:clientData/>
  </xdr:twoCellAnchor>
  <xdr:twoCellAnchor>
    <xdr:from>
      <xdr:col>11</xdr:col>
      <xdr:colOff>381000</xdr:colOff>
      <xdr:row>5</xdr:row>
      <xdr:rowOff>85725</xdr:rowOff>
    </xdr:from>
    <xdr:to>
      <xdr:col>14</xdr:col>
      <xdr:colOff>95250</xdr:colOff>
      <xdr:row>15</xdr:row>
      <xdr:rowOff>9525</xdr:rowOff>
    </xdr:to>
    <xdr:sp macro="" textlink="">
      <xdr:nvSpPr>
        <xdr:cNvPr id="6" name="Rectangle: Rounded Corners 5">
          <a:extLst>
            <a:ext uri="{FF2B5EF4-FFF2-40B4-BE49-F238E27FC236}">
              <a16:creationId xmlns:a16="http://schemas.microsoft.com/office/drawing/2014/main" id="{3D0DFC65-5C8C-496B-90A8-57C2C3685152}"/>
            </a:ext>
          </a:extLst>
        </xdr:cNvPr>
        <xdr:cNvSpPr/>
      </xdr:nvSpPr>
      <xdr:spPr>
        <a:xfrm>
          <a:off x="7086600" y="895350"/>
          <a:ext cx="1543050" cy="1543050"/>
        </a:xfrm>
        <a:prstGeom prst="roundRect">
          <a:avLst>
            <a:gd name="adj" fmla="val 5628"/>
          </a:avLst>
        </a:prstGeom>
        <a:solidFill>
          <a:sysClr val="window" lastClr="FFFFFF"/>
        </a:solidFill>
        <a:effectLst>
          <a:outerShdw blurRad="63500" sx="102000" sy="102000" algn="ctr"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95249</xdr:colOff>
      <xdr:row>6</xdr:row>
      <xdr:rowOff>19050</xdr:rowOff>
    </xdr:from>
    <xdr:to>
      <xdr:col>15</xdr:col>
      <xdr:colOff>276225</xdr:colOff>
      <xdr:row>14</xdr:row>
      <xdr:rowOff>133350</xdr:rowOff>
    </xdr:to>
    <xdr:graphicFrame macro="">
      <xdr:nvGraphicFramePr>
        <xdr:cNvPr id="7" name="Chart 6">
          <a:extLst>
            <a:ext uri="{FF2B5EF4-FFF2-40B4-BE49-F238E27FC236}">
              <a16:creationId xmlns:a16="http://schemas.microsoft.com/office/drawing/2014/main" id="{637F128B-264A-477A-BD7E-3D612C4FD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209549</xdr:colOff>
      <xdr:row>5</xdr:row>
      <xdr:rowOff>114300</xdr:rowOff>
    </xdr:from>
    <xdr:to>
      <xdr:col>11</xdr:col>
      <xdr:colOff>333375</xdr:colOff>
      <xdr:row>14</xdr:row>
      <xdr:rowOff>152400</xdr:rowOff>
    </xdr:to>
    <xdr:sp macro="" textlink="">
      <xdr:nvSpPr>
        <xdr:cNvPr id="8" name="Rectangle: Rounded Corners 7">
          <a:extLst>
            <a:ext uri="{FF2B5EF4-FFF2-40B4-BE49-F238E27FC236}">
              <a16:creationId xmlns:a16="http://schemas.microsoft.com/office/drawing/2014/main" id="{4235F019-CEFA-47CF-9130-591807769269}"/>
            </a:ext>
          </a:extLst>
        </xdr:cNvPr>
        <xdr:cNvSpPr/>
      </xdr:nvSpPr>
      <xdr:spPr>
        <a:xfrm>
          <a:off x="4476749" y="923925"/>
          <a:ext cx="2562226" cy="1495425"/>
        </a:xfrm>
        <a:prstGeom prst="roundRect">
          <a:avLst>
            <a:gd name="adj" fmla="val 4321"/>
          </a:avLst>
        </a:prstGeom>
        <a:solidFill>
          <a:schemeClr val="accent2">
            <a:lumMod val="20000"/>
            <a:lumOff val="80000"/>
          </a:schemeClr>
        </a:solidFill>
        <a:ln>
          <a:noFill/>
        </a:ln>
        <a:effectLst>
          <a:outerShdw blurRad="50800" dist="38100" dir="5400000" algn="t" rotWithShape="0">
            <a:schemeClr val="accent5">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190499</xdr:colOff>
      <xdr:row>5</xdr:row>
      <xdr:rowOff>85725</xdr:rowOff>
    </xdr:from>
    <xdr:to>
      <xdr:col>11</xdr:col>
      <xdr:colOff>371474</xdr:colOff>
      <xdr:row>15</xdr:row>
      <xdr:rowOff>19050</xdr:rowOff>
    </xdr:to>
    <xdr:graphicFrame macro="">
      <xdr:nvGraphicFramePr>
        <xdr:cNvPr id="9" name="Chart 8">
          <a:extLst>
            <a:ext uri="{FF2B5EF4-FFF2-40B4-BE49-F238E27FC236}">
              <a16:creationId xmlns:a16="http://schemas.microsoft.com/office/drawing/2014/main" id="{B48E24F7-16EA-44DC-ABEF-0C5734FCB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647700</xdr:colOff>
      <xdr:row>3</xdr:row>
      <xdr:rowOff>9524</xdr:rowOff>
    </xdr:from>
    <xdr:to>
      <xdr:col>22</xdr:col>
      <xdr:colOff>266699</xdr:colOff>
      <xdr:row>24</xdr:row>
      <xdr:rowOff>47624</xdr:rowOff>
    </xdr:to>
    <xdr:graphicFrame macro="">
      <xdr:nvGraphicFramePr>
        <xdr:cNvPr id="3" name="Chart 2">
          <a:extLst>
            <a:ext uri="{FF2B5EF4-FFF2-40B4-BE49-F238E27FC236}">
              <a16:creationId xmlns:a16="http://schemas.microsoft.com/office/drawing/2014/main" id="{BE086233-FDAA-CDCA-51C7-D30F0F73D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55</xdr:row>
      <xdr:rowOff>0</xdr:rowOff>
    </xdr:from>
    <xdr:to>
      <xdr:col>20</xdr:col>
      <xdr:colOff>228600</xdr:colOff>
      <xdr:row>71</xdr:row>
      <xdr:rowOff>152400</xdr:rowOff>
    </xdr:to>
    <xdr:graphicFrame macro="">
      <xdr:nvGraphicFramePr>
        <xdr:cNvPr id="4" name="Chart 3">
          <a:extLst>
            <a:ext uri="{FF2B5EF4-FFF2-40B4-BE49-F238E27FC236}">
              <a16:creationId xmlns:a16="http://schemas.microsoft.com/office/drawing/2014/main" id="{DC698413-3C19-8EDB-2532-FD52A8A70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428624</xdr:colOff>
      <xdr:row>76</xdr:row>
      <xdr:rowOff>38099</xdr:rowOff>
    </xdr:from>
    <xdr:to>
      <xdr:col>19</xdr:col>
      <xdr:colOff>228600</xdr:colOff>
      <xdr:row>97</xdr:row>
      <xdr:rowOff>66675</xdr:rowOff>
    </xdr:to>
    <xdr:graphicFrame macro="">
      <xdr:nvGraphicFramePr>
        <xdr:cNvPr id="2" name="Chart 1">
          <a:extLst>
            <a:ext uri="{FF2B5EF4-FFF2-40B4-BE49-F238E27FC236}">
              <a16:creationId xmlns:a16="http://schemas.microsoft.com/office/drawing/2014/main" id="{5A2E41BB-5E21-CB3C-8852-861393B42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133350</xdr:colOff>
      <xdr:row>111</xdr:row>
      <xdr:rowOff>19050</xdr:rowOff>
    </xdr:from>
    <xdr:to>
      <xdr:col>21</xdr:col>
      <xdr:colOff>142875</xdr:colOff>
      <xdr:row>127</xdr:row>
      <xdr:rowOff>85725</xdr:rowOff>
    </xdr:to>
    <xdr:graphicFrame macro="">
      <xdr:nvGraphicFramePr>
        <xdr:cNvPr id="5" name="Chart 4">
          <a:extLst>
            <a:ext uri="{FF2B5EF4-FFF2-40B4-BE49-F238E27FC236}">
              <a16:creationId xmlns:a16="http://schemas.microsoft.com/office/drawing/2014/main" id="{35B70A69-E6C5-25C9-FE07-BE8192BA7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428625</xdr:colOff>
      <xdr:row>140</xdr:row>
      <xdr:rowOff>66675</xdr:rowOff>
    </xdr:from>
    <xdr:to>
      <xdr:col>14</xdr:col>
      <xdr:colOff>28575</xdr:colOff>
      <xdr:row>191</xdr:row>
      <xdr:rowOff>142875</xdr:rowOff>
    </xdr:to>
    <xdr:graphicFrame macro="">
      <xdr:nvGraphicFramePr>
        <xdr:cNvPr id="6" name="Chart 5">
          <a:extLst>
            <a:ext uri="{FF2B5EF4-FFF2-40B4-BE49-F238E27FC236}">
              <a16:creationId xmlns:a16="http://schemas.microsoft.com/office/drawing/2014/main" id="{53440166-7FD4-CA5D-188C-55107B342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485775</xdr:colOff>
      <xdr:row>40</xdr:row>
      <xdr:rowOff>57150</xdr:rowOff>
    </xdr:from>
    <xdr:to>
      <xdr:col>19</xdr:col>
      <xdr:colOff>238125</xdr:colOff>
      <xdr:row>48</xdr:row>
      <xdr:rowOff>133350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5747B34E-B2F6-18F7-8FBA-DD5DDFA2483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467475" y="6534150"/>
              <a:ext cx="4953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314325</xdr:colOff>
      <xdr:row>25</xdr:row>
      <xdr:rowOff>19050</xdr:rowOff>
    </xdr:from>
    <xdr:to>
      <xdr:col>13</xdr:col>
      <xdr:colOff>838200</xdr:colOff>
      <xdr:row>39</xdr:row>
      <xdr:rowOff>133350</xdr:rowOff>
    </xdr:to>
    <mc:AlternateContent xmlns:mc="http://schemas.openxmlformats.org/markup-compatibility/2006" xmlns:a14="http://schemas.microsoft.com/office/drawing/2010/main">
      <mc:Choice Requires="a14">
        <xdr:graphicFrame macro="">
          <xdr:nvGraphicFramePr>
            <xdr:cNvPr id="9" name="Weekday">
              <a:extLst>
                <a:ext uri="{FF2B5EF4-FFF2-40B4-BE49-F238E27FC236}">
                  <a16:creationId xmlns:a16="http://schemas.microsoft.com/office/drawing/2014/main" id="{0E1F703A-C9F2-F878-D675-0F1D549DF92F}"/>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296025" y="406717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219075</xdr:colOff>
      <xdr:row>25</xdr:row>
      <xdr:rowOff>57150</xdr:rowOff>
    </xdr:from>
    <xdr:to>
      <xdr:col>17</xdr:col>
      <xdr:colOff>828675</xdr:colOff>
      <xdr:row>29</xdr:row>
      <xdr:rowOff>142875</xdr:rowOff>
    </xdr:to>
    <mc:AlternateContent xmlns:mc="http://schemas.openxmlformats.org/markup-compatibility/2006" xmlns:a14="http://schemas.microsoft.com/office/drawing/2010/main">
      <mc:Choice Requires="a14">
        <xdr:graphicFrame macro="">
          <xdr:nvGraphicFramePr>
            <xdr:cNvPr id="10" name="Weather_sit">
              <a:extLst>
                <a:ext uri="{FF2B5EF4-FFF2-40B4-BE49-F238E27FC236}">
                  <a16:creationId xmlns:a16="http://schemas.microsoft.com/office/drawing/2014/main" id="{92A7A82E-C8BA-6257-A9EE-545CDC66BB2E}"/>
                </a:ext>
              </a:extLst>
            </xdr:cNvPr>
            <xdr:cNvGraphicFramePr/>
          </xdr:nvGraphicFramePr>
          <xdr:xfrm>
            <a:off x="0" y="0"/>
            <a:ext cx="0" cy="0"/>
          </xdr:xfrm>
          <a:graphic>
            <a:graphicData uri="http://schemas.microsoft.com/office/drawing/2010/slicer">
              <sle:slicer xmlns:sle="http://schemas.microsoft.com/office/drawing/2010/slicer" name="Weather_sit"/>
            </a:graphicData>
          </a:graphic>
        </xdr:graphicFrame>
      </mc:Choice>
      <mc:Fallback xmlns="">
        <xdr:sp macro="" textlink="">
          <xdr:nvSpPr>
            <xdr:cNvPr id="0" name=""/>
            <xdr:cNvSpPr>
              <a:spLocks noTextEdit="1"/>
            </xdr:cNvSpPr>
          </xdr:nvSpPr>
          <xdr:spPr>
            <a:xfrm>
              <a:off x="8629650" y="4105275"/>
              <a:ext cx="182880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95250</xdr:colOff>
      <xdr:row>193</xdr:row>
      <xdr:rowOff>57149</xdr:rowOff>
    </xdr:from>
    <xdr:to>
      <xdr:col>14</xdr:col>
      <xdr:colOff>57150</xdr:colOff>
      <xdr:row>214</xdr:row>
      <xdr:rowOff>38100</xdr:rowOff>
    </xdr:to>
    <xdr:graphicFrame macro="">
      <xdr:nvGraphicFramePr>
        <xdr:cNvPr id="13" name="Chart 12">
          <a:extLst>
            <a:ext uri="{FF2B5EF4-FFF2-40B4-BE49-F238E27FC236}">
              <a16:creationId xmlns:a16="http://schemas.microsoft.com/office/drawing/2014/main" id="{4318C2F0-28CF-CAC2-B059-6C59A83A0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314325</xdr:colOff>
      <xdr:row>3</xdr:row>
      <xdr:rowOff>66675</xdr:rowOff>
    </xdr:from>
    <xdr:to>
      <xdr:col>11</xdr:col>
      <xdr:colOff>266700</xdr:colOff>
      <xdr:row>21</xdr:row>
      <xdr:rowOff>85725</xdr:rowOff>
    </xdr:to>
    <xdr:graphicFrame macro="">
      <xdr:nvGraphicFramePr>
        <xdr:cNvPr id="2" name="Chart 1">
          <a:extLst>
            <a:ext uri="{FF2B5EF4-FFF2-40B4-BE49-F238E27FC236}">
              <a16:creationId xmlns:a16="http://schemas.microsoft.com/office/drawing/2014/main" id="{9EC5AA65-EBEB-5379-6D6B-BE51090AA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BAL" refreshedDate="46290.43342523148" createdVersion="8" refreshedVersion="8" minRefreshableVersion="3" recordCount="1000" xr:uid="{0E95A641-7EE4-4A45-82A0-1BBBC3DB4B05}">
  <cacheSource type="worksheet">
    <worksheetSource name="Dataset_A"/>
  </cacheSource>
  <cacheFields count="21">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2011" maxValue="2011"/>
    </cacheField>
    <cacheField name="Month"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unt="7">
        <s v="Saturday"/>
        <s v="Sunday"/>
        <s v="Monday"/>
        <s v="Tuesday"/>
        <s v="Wednesday"/>
        <s v="Thursday"/>
        <s v="Friday"/>
      </sharedItems>
    </cacheField>
    <cacheField name="Weather_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_Temp"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_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Total_Clie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11"/>
        </groupItems>
      </fieldGroup>
    </cacheField>
    <cacheField name="Months (Date)" numFmtId="0" databaseField="0">
      <fieldGroup base="1">
        <rangePr groupBy="months" startDate="2011-01-01T00:00:00" endDate="2011-02-15T00:00:00"/>
        <groupItems count="14">
          <s v="&lt;01-01-11"/>
          <s v="Jan"/>
          <s v="Feb"/>
          <s v="Mar"/>
          <s v="Apr"/>
          <s v="May"/>
          <s v="Jun"/>
          <s v="Jul"/>
          <s v="Aug"/>
          <s v="Sep"/>
          <s v="Oct"/>
          <s v="Nov"/>
          <s v="Dec"/>
          <s v="&gt;15-02-11"/>
        </groupItems>
      </fieldGroup>
    </cacheField>
    <cacheField name="Field1" numFmtId="0" formula="IF(Hr&gt;19,&quot;Night&quot;,&quot;day&quot;)" databaseField="0"/>
    <cacheField name="Field2" numFmtId="0" formula="IF(Hr&gt;=19,&quot;Evening Time&quot;,IF(Hr&gt;=9,&quot;Day Time&quot;,&quot;Night Time&quot;))" databaseField="0"/>
    <cacheField name="Field3" numFmtId="0" formula="IF(Hr&gt;=19,&quot;Evening Time&quot;,IF(Hr&gt;=9,&quot;Day Time&quot;,&quot;Night Time&quot;))" databaseField="0"/>
  </cacheFields>
  <extLst>
    <ext xmlns:x14="http://schemas.microsoft.com/office/spreadsheetml/2009/9/main" uri="{725AE2AE-9491-48be-B2B4-4EB974FC3084}">
      <x14:pivotCacheDefinition pivotCacheId="1756974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2011"/>
    <s v="January"/>
    <x v="0"/>
    <b v="0"/>
    <x v="0"/>
    <x v="0"/>
    <x v="0"/>
    <n v="0.28789999999999999"/>
    <n v="0.81"/>
    <n v="0"/>
    <n v="3"/>
    <n v="13"/>
    <n v="16"/>
  </r>
  <r>
    <n v="2"/>
    <x v="0"/>
    <n v="1"/>
    <n v="2011"/>
    <s v="January"/>
    <x v="1"/>
    <b v="0"/>
    <x v="0"/>
    <x v="0"/>
    <x v="1"/>
    <n v="0.2727"/>
    <n v="0.8"/>
    <n v="0"/>
    <n v="8"/>
    <n v="32"/>
    <n v="40"/>
  </r>
  <r>
    <n v="3"/>
    <x v="0"/>
    <n v="1"/>
    <n v="2011"/>
    <s v="January"/>
    <x v="2"/>
    <b v="0"/>
    <x v="0"/>
    <x v="0"/>
    <x v="1"/>
    <n v="0.2727"/>
    <n v="0.8"/>
    <n v="0"/>
    <n v="5"/>
    <n v="27"/>
    <n v="32"/>
  </r>
  <r>
    <n v="4"/>
    <x v="0"/>
    <n v="1"/>
    <n v="2011"/>
    <s v="January"/>
    <x v="3"/>
    <b v="0"/>
    <x v="0"/>
    <x v="0"/>
    <x v="0"/>
    <n v="0.28789999999999999"/>
    <n v="0.75"/>
    <n v="0"/>
    <n v="3"/>
    <n v="10"/>
    <n v="13"/>
  </r>
  <r>
    <n v="5"/>
    <x v="0"/>
    <n v="1"/>
    <n v="2011"/>
    <s v="January"/>
    <x v="4"/>
    <b v="0"/>
    <x v="0"/>
    <x v="0"/>
    <x v="0"/>
    <n v="0.28789999999999999"/>
    <n v="0.75"/>
    <n v="0"/>
    <n v="0"/>
    <n v="1"/>
    <n v="1"/>
  </r>
  <r>
    <n v="6"/>
    <x v="0"/>
    <n v="1"/>
    <n v="2011"/>
    <s v="January"/>
    <x v="5"/>
    <b v="0"/>
    <x v="0"/>
    <x v="1"/>
    <x v="0"/>
    <n v="0.2576"/>
    <n v="0.75"/>
    <n v="8.9599999999999999E-2"/>
    <n v="0"/>
    <n v="1"/>
    <n v="1"/>
  </r>
  <r>
    <n v="7"/>
    <x v="0"/>
    <n v="1"/>
    <n v="2011"/>
    <s v="January"/>
    <x v="6"/>
    <b v="0"/>
    <x v="0"/>
    <x v="0"/>
    <x v="1"/>
    <n v="0.2727"/>
    <n v="0.8"/>
    <n v="0"/>
    <n v="2"/>
    <n v="0"/>
    <n v="2"/>
  </r>
  <r>
    <n v="8"/>
    <x v="0"/>
    <n v="1"/>
    <n v="2011"/>
    <s v="January"/>
    <x v="7"/>
    <b v="0"/>
    <x v="0"/>
    <x v="0"/>
    <x v="2"/>
    <n v="0.2576"/>
    <n v="0.86"/>
    <n v="0"/>
    <n v="1"/>
    <n v="2"/>
    <n v="3"/>
  </r>
  <r>
    <n v="9"/>
    <x v="0"/>
    <n v="1"/>
    <n v="2011"/>
    <s v="January"/>
    <x v="8"/>
    <b v="0"/>
    <x v="0"/>
    <x v="0"/>
    <x v="0"/>
    <n v="0"/>
    <n v="0.75"/>
    <n v="0"/>
    <n v="1"/>
    <n v="7"/>
    <n v="8"/>
  </r>
  <r>
    <n v="10"/>
    <x v="0"/>
    <n v="1"/>
    <n v="2011"/>
    <s v="January"/>
    <x v="9"/>
    <b v="0"/>
    <x v="0"/>
    <x v="0"/>
    <x v="3"/>
    <n v="0.34849999999999998"/>
    <n v="0.76"/>
    <n v="0"/>
    <n v="8"/>
    <n v="6"/>
    <n v="14"/>
  </r>
  <r>
    <n v="11"/>
    <x v="0"/>
    <n v="1"/>
    <n v="2011"/>
    <s v="January"/>
    <x v="10"/>
    <b v="0"/>
    <x v="0"/>
    <x v="0"/>
    <x v="4"/>
    <n v="0.39389999999999997"/>
    <n v="0.76"/>
    <n v="0.25369999999999998"/>
    <n v="12"/>
    <n v="24"/>
    <n v="36"/>
  </r>
  <r>
    <n v="12"/>
    <x v="0"/>
    <n v="1"/>
    <n v="2011"/>
    <s v="January"/>
    <x v="11"/>
    <b v="0"/>
    <x v="0"/>
    <x v="0"/>
    <x v="5"/>
    <n v="0.33329999999999999"/>
    <n v="0.81"/>
    <n v="0.28360000000000002"/>
    <n v="26"/>
    <n v="30"/>
    <n v="56"/>
  </r>
  <r>
    <n v="13"/>
    <x v="0"/>
    <n v="1"/>
    <n v="2011"/>
    <s v="January"/>
    <x v="12"/>
    <b v="0"/>
    <x v="0"/>
    <x v="0"/>
    <x v="6"/>
    <n v="0.42420000000000002"/>
    <n v="0.77"/>
    <n v="0.28360000000000002"/>
    <n v="29"/>
    <n v="55"/>
    <n v="84"/>
  </r>
  <r>
    <n v="14"/>
    <x v="0"/>
    <n v="1"/>
    <n v="2011"/>
    <s v="January"/>
    <x v="13"/>
    <b v="0"/>
    <x v="0"/>
    <x v="1"/>
    <x v="7"/>
    <n v="0.45450000000000002"/>
    <n v="0.72"/>
    <n v="0.29849999999999999"/>
    <n v="47"/>
    <n v="47"/>
    <n v="94"/>
  </r>
  <r>
    <n v="15"/>
    <x v="0"/>
    <n v="1"/>
    <n v="2011"/>
    <s v="January"/>
    <x v="14"/>
    <b v="0"/>
    <x v="0"/>
    <x v="1"/>
    <x v="7"/>
    <n v="0.45450000000000002"/>
    <n v="0.72"/>
    <n v="0.28360000000000002"/>
    <n v="35"/>
    <n v="71"/>
    <n v="106"/>
  </r>
  <r>
    <n v="16"/>
    <x v="0"/>
    <n v="1"/>
    <n v="2011"/>
    <s v="January"/>
    <x v="15"/>
    <b v="0"/>
    <x v="0"/>
    <x v="1"/>
    <x v="8"/>
    <n v="0.43940000000000001"/>
    <n v="0.77"/>
    <n v="0.29849999999999999"/>
    <n v="40"/>
    <n v="70"/>
    <n v="110"/>
  </r>
  <r>
    <n v="17"/>
    <x v="0"/>
    <n v="1"/>
    <n v="2011"/>
    <s v="January"/>
    <x v="16"/>
    <b v="0"/>
    <x v="0"/>
    <x v="1"/>
    <x v="6"/>
    <n v="0.42420000000000002"/>
    <n v="0.82"/>
    <n v="0.29849999999999999"/>
    <n v="41"/>
    <n v="52"/>
    <n v="93"/>
  </r>
  <r>
    <n v="18"/>
    <x v="0"/>
    <n v="1"/>
    <n v="2011"/>
    <s v="January"/>
    <x v="17"/>
    <b v="0"/>
    <x v="0"/>
    <x v="1"/>
    <x v="8"/>
    <n v="0"/>
    <n v="0.82"/>
    <n v="0.28360000000000002"/>
    <n v="15"/>
    <n v="52"/>
    <n v="67"/>
  </r>
  <r>
    <n v="19"/>
    <x v="0"/>
    <n v="1"/>
    <n v="2011"/>
    <s v="January"/>
    <x v="18"/>
    <b v="0"/>
    <x v="0"/>
    <x v="2"/>
    <x v="6"/>
    <n v="0.42420000000000002"/>
    <n v="0.88"/>
    <n v="0.25369999999999998"/>
    <n v="9"/>
    <n v="26"/>
    <n v="35"/>
  </r>
  <r>
    <n v="20"/>
    <x v="0"/>
    <n v="1"/>
    <n v="2011"/>
    <s v="January"/>
    <x v="19"/>
    <b v="0"/>
    <x v="0"/>
    <x v="2"/>
    <x v="6"/>
    <n v="0.42420000000000002"/>
    <n v="0.88"/>
    <n v="0.25369999999999998"/>
    <n v="6"/>
    <n v="31"/>
    <n v="37"/>
  </r>
  <r>
    <n v="21"/>
    <x v="0"/>
    <n v="1"/>
    <n v="2011"/>
    <s v="January"/>
    <x v="20"/>
    <b v="0"/>
    <x v="0"/>
    <x v="1"/>
    <x v="9"/>
    <n v="0.40910000000000002"/>
    <n v="0.87"/>
    <n v="0.25369999999999998"/>
    <n v="11"/>
    <n v="25"/>
    <n v="36"/>
  </r>
  <r>
    <n v="22"/>
    <x v="0"/>
    <n v="1"/>
    <n v="2011"/>
    <s v="January"/>
    <x v="21"/>
    <b v="0"/>
    <x v="0"/>
    <x v="1"/>
    <x v="9"/>
    <n v="0.40910000000000002"/>
    <n v="0.87"/>
    <n v="0.19400000000000001"/>
    <n v="3"/>
    <n v="31"/>
    <n v="34"/>
  </r>
  <r>
    <n v="23"/>
    <x v="0"/>
    <n v="1"/>
    <n v="2011"/>
    <s v="January"/>
    <x v="22"/>
    <b v="0"/>
    <x v="0"/>
    <x v="1"/>
    <x v="9"/>
    <n v="0.40910000000000002"/>
    <n v="0.94"/>
    <n v="0.22389999999999999"/>
    <n v="11"/>
    <n v="17"/>
    <n v="28"/>
  </r>
  <r>
    <n v="24"/>
    <x v="0"/>
    <n v="1"/>
    <n v="2011"/>
    <s v="January"/>
    <x v="23"/>
    <b v="0"/>
    <x v="0"/>
    <x v="1"/>
    <x v="7"/>
    <n v="0"/>
    <n v="0.88"/>
    <n v="0.29849999999999999"/>
    <n v="15"/>
    <n v="24"/>
    <n v="39"/>
  </r>
  <r>
    <n v="25"/>
    <x v="1"/>
    <n v="1"/>
    <n v="2011"/>
    <s v="January"/>
    <x v="0"/>
    <b v="1"/>
    <x v="1"/>
    <x v="1"/>
    <x v="7"/>
    <n v="0.45450000000000002"/>
    <n v="0.88"/>
    <n v="0.29849999999999999"/>
    <n v="4"/>
    <n v="13"/>
    <n v="17"/>
  </r>
  <r>
    <n v="26"/>
    <x v="1"/>
    <n v="1"/>
    <n v="2011"/>
    <s v="January"/>
    <x v="1"/>
    <b v="1"/>
    <x v="1"/>
    <x v="1"/>
    <x v="8"/>
    <n v="0.43940000000000001"/>
    <n v="0.94"/>
    <n v="0.25369999999999998"/>
    <n v="1"/>
    <n v="16"/>
    <n v="17"/>
  </r>
  <r>
    <n v="27"/>
    <x v="1"/>
    <n v="1"/>
    <n v="2011"/>
    <s v="January"/>
    <x v="2"/>
    <b v="1"/>
    <x v="1"/>
    <x v="1"/>
    <x v="6"/>
    <n v="0.42420000000000002"/>
    <n v="1"/>
    <n v="0.28360000000000002"/>
    <n v="1"/>
    <n v="8"/>
    <n v="9"/>
  </r>
  <r>
    <n v="28"/>
    <x v="1"/>
    <n v="1"/>
    <n v="2011"/>
    <s v="January"/>
    <x v="3"/>
    <b v="1"/>
    <x v="1"/>
    <x v="1"/>
    <x v="7"/>
    <n v="0.45450000000000002"/>
    <n v="0.94"/>
    <n v="0.19400000000000001"/>
    <n v="2"/>
    <n v="4"/>
    <n v="6"/>
  </r>
  <r>
    <n v="29"/>
    <x v="1"/>
    <n v="1"/>
    <n v="2011"/>
    <s v="January"/>
    <x v="4"/>
    <b v="1"/>
    <x v="1"/>
    <x v="1"/>
    <x v="7"/>
    <n v="0"/>
    <n v="0.94"/>
    <n v="0.19400000000000001"/>
    <n v="2"/>
    <n v="1"/>
    <n v="3"/>
  </r>
  <r>
    <n v="30"/>
    <x v="1"/>
    <n v="1"/>
    <n v="2011"/>
    <s v="January"/>
    <x v="6"/>
    <b v="1"/>
    <x v="1"/>
    <x v="2"/>
    <x v="6"/>
    <n v="0.42420000000000002"/>
    <n v="0.77"/>
    <n v="0.29849999999999999"/>
    <n v="0"/>
    <n v="2"/>
    <n v="2"/>
  </r>
  <r>
    <n v="31"/>
    <x v="1"/>
    <n v="1"/>
    <n v="2011"/>
    <s v="January"/>
    <x v="7"/>
    <b v="1"/>
    <x v="1"/>
    <x v="1"/>
    <x v="9"/>
    <n v="0.40910000000000002"/>
    <n v="0.76"/>
    <n v="0.19400000000000001"/>
    <n v="0"/>
    <n v="1"/>
    <n v="1"/>
  </r>
  <r>
    <n v="32"/>
    <x v="1"/>
    <n v="1"/>
    <n v="2011"/>
    <s v="January"/>
    <x v="8"/>
    <b v="1"/>
    <x v="1"/>
    <x v="2"/>
    <x v="9"/>
    <n v="0.40910000000000002"/>
    <n v="0.71"/>
    <n v="0.22389999999999999"/>
    <n v="0"/>
    <n v="8"/>
    <n v="8"/>
  </r>
  <r>
    <n v="33"/>
    <x v="1"/>
    <n v="1"/>
    <n v="2011"/>
    <s v="January"/>
    <x v="9"/>
    <b v="1"/>
    <x v="1"/>
    <x v="1"/>
    <x v="4"/>
    <n v="0"/>
    <n v="0.76"/>
    <n v="0.22389999999999999"/>
    <n v="1"/>
    <n v="19"/>
    <n v="20"/>
  </r>
  <r>
    <n v="34"/>
    <x v="1"/>
    <n v="1"/>
    <n v="2011"/>
    <s v="January"/>
    <x v="10"/>
    <b v="1"/>
    <x v="1"/>
    <x v="1"/>
    <x v="5"/>
    <n v="0.34849999999999998"/>
    <n v="0.81"/>
    <n v="0.22389999999999999"/>
    <n v="7"/>
    <n v="46"/>
    <n v="53"/>
  </r>
  <r>
    <n v="35"/>
    <x v="1"/>
    <n v="1"/>
    <n v="2011"/>
    <s v="January"/>
    <x v="11"/>
    <b v="1"/>
    <x v="1"/>
    <x v="1"/>
    <x v="5"/>
    <n v="0.33329999999999999"/>
    <n v="0.71"/>
    <n v="0.25369999999999998"/>
    <n v="16"/>
    <n v="54"/>
    <n v="70"/>
  </r>
  <r>
    <n v="36"/>
    <x v="1"/>
    <n v="1"/>
    <n v="2011"/>
    <s v="January"/>
    <x v="12"/>
    <b v="1"/>
    <x v="1"/>
    <x v="1"/>
    <x v="5"/>
    <n v="0.33329999999999999"/>
    <n v="0.66"/>
    <n v="0.29849999999999999"/>
    <n v="20"/>
    <n v="73"/>
    <n v="93"/>
  </r>
  <r>
    <n v="37"/>
    <x v="1"/>
    <n v="1"/>
    <n v="2011"/>
    <s v="January"/>
    <x v="13"/>
    <b v="1"/>
    <x v="1"/>
    <x v="1"/>
    <x v="5"/>
    <n v="0.34849999999999998"/>
    <n v="0.66"/>
    <n v="0.1343"/>
    <n v="11"/>
    <n v="64"/>
    <n v="75"/>
  </r>
  <r>
    <n v="38"/>
    <x v="1"/>
    <n v="1"/>
    <n v="2011"/>
    <s v="January"/>
    <x v="14"/>
    <b v="1"/>
    <x v="1"/>
    <x v="2"/>
    <x v="5"/>
    <n v="0"/>
    <n v="0.76"/>
    <n v="0.19400000000000001"/>
    <n v="4"/>
    <n v="55"/>
    <n v="59"/>
  </r>
  <r>
    <n v="39"/>
    <x v="1"/>
    <n v="1"/>
    <n v="2011"/>
    <s v="January"/>
    <x v="15"/>
    <b v="1"/>
    <x v="1"/>
    <x v="2"/>
    <x v="10"/>
    <n v="0.33329999999999999"/>
    <n v="0.81"/>
    <n v="0.16420000000000001"/>
    <n v="19"/>
    <n v="55"/>
    <n v="74"/>
  </r>
  <r>
    <n v="40"/>
    <x v="1"/>
    <n v="1"/>
    <n v="2011"/>
    <s v="January"/>
    <x v="16"/>
    <b v="1"/>
    <x v="1"/>
    <x v="2"/>
    <x v="10"/>
    <n v="0.33329999999999999"/>
    <n v="0.71"/>
    <n v="0.16420000000000001"/>
    <n v="9"/>
    <n v="67"/>
    <n v="76"/>
  </r>
  <r>
    <n v="41"/>
    <x v="1"/>
    <n v="1"/>
    <n v="2011"/>
    <s v="January"/>
    <x v="17"/>
    <b v="1"/>
    <x v="1"/>
    <x v="0"/>
    <x v="10"/>
    <n v="0.33329999999999999"/>
    <n v="0.56999999999999995"/>
    <n v="0.19400000000000001"/>
    <n v="7"/>
    <n v="58"/>
    <n v="65"/>
  </r>
  <r>
    <n v="42"/>
    <x v="1"/>
    <n v="1"/>
    <n v="2011"/>
    <s v="January"/>
    <x v="18"/>
    <b v="1"/>
    <x v="1"/>
    <x v="1"/>
    <x v="5"/>
    <n v="0.33329999999999999"/>
    <n v="0.46"/>
    <n v="0.32840000000000003"/>
    <n v="10"/>
    <n v="43"/>
    <n v="53"/>
  </r>
  <r>
    <n v="43"/>
    <x v="1"/>
    <n v="1"/>
    <n v="2011"/>
    <s v="January"/>
    <x v="19"/>
    <b v="1"/>
    <x v="1"/>
    <x v="0"/>
    <x v="3"/>
    <n v="0.28789999999999999"/>
    <n v="0.42"/>
    <n v="0.44779999999999998"/>
    <n v="1"/>
    <n v="29"/>
    <n v="30"/>
  </r>
  <r>
    <n v="44"/>
    <x v="1"/>
    <n v="1"/>
    <n v="2011"/>
    <s v="January"/>
    <x v="20"/>
    <b v="1"/>
    <x v="1"/>
    <x v="0"/>
    <x v="11"/>
    <n v="0"/>
    <n v="0.39"/>
    <n v="0.35820000000000002"/>
    <n v="5"/>
    <n v="17"/>
    <n v="22"/>
  </r>
  <r>
    <n v="45"/>
    <x v="1"/>
    <n v="1"/>
    <n v="2011"/>
    <s v="January"/>
    <x v="21"/>
    <b v="1"/>
    <x v="1"/>
    <x v="0"/>
    <x v="12"/>
    <n v="0.2273"/>
    <n v="0.44"/>
    <n v="0.32840000000000003"/>
    <n v="11"/>
    <n v="20"/>
    <n v="31"/>
  </r>
  <r>
    <n v="46"/>
    <x v="1"/>
    <n v="1"/>
    <n v="2011"/>
    <s v="January"/>
    <x v="22"/>
    <b v="1"/>
    <x v="1"/>
    <x v="0"/>
    <x v="0"/>
    <n v="0.21210000000000001"/>
    <n v="0.44"/>
    <n v="0.29849999999999999"/>
    <n v="0"/>
    <n v="9"/>
    <n v="9"/>
  </r>
  <r>
    <n v="47"/>
    <x v="1"/>
    <n v="1"/>
    <n v="2011"/>
    <s v="January"/>
    <x v="23"/>
    <b v="1"/>
    <x v="1"/>
    <x v="0"/>
    <x v="1"/>
    <n v="0.2273"/>
    <n v="0.47"/>
    <n v="0.16420000000000001"/>
    <n v="0"/>
    <n v="8"/>
    <n v="8"/>
  </r>
  <r>
    <n v="48"/>
    <x v="2"/>
    <n v="1"/>
    <n v="2011"/>
    <s v="January"/>
    <x v="0"/>
    <b v="0"/>
    <x v="2"/>
    <x v="0"/>
    <x v="1"/>
    <n v="0.19700000000000001"/>
    <n v="0.44"/>
    <n v="0.35820000000000002"/>
    <n v="0"/>
    <n v="5"/>
    <n v="5"/>
  </r>
  <r>
    <n v="49"/>
    <x v="2"/>
    <n v="1"/>
    <n v="2011"/>
    <s v="January"/>
    <x v="1"/>
    <b v="0"/>
    <x v="2"/>
    <x v="0"/>
    <x v="2"/>
    <n v="0"/>
    <n v="0.44"/>
    <n v="0.41789999999999999"/>
    <n v="0"/>
    <n v="2"/>
    <n v="2"/>
  </r>
  <r>
    <n v="50"/>
    <x v="2"/>
    <n v="1"/>
    <n v="2011"/>
    <s v="January"/>
    <x v="4"/>
    <b v="0"/>
    <x v="2"/>
    <x v="0"/>
    <x v="13"/>
    <n v="0.13639999999999999"/>
    <n v="0.47"/>
    <n v="0.3881"/>
    <n v="0"/>
    <n v="1"/>
    <n v="1"/>
  </r>
  <r>
    <n v="51"/>
    <x v="2"/>
    <n v="1"/>
    <n v="2011"/>
    <s v="January"/>
    <x v="5"/>
    <b v="0"/>
    <x v="2"/>
    <x v="0"/>
    <x v="13"/>
    <n v="0.13639999999999999"/>
    <n v="0.47"/>
    <n v="0.28360000000000002"/>
    <n v="0"/>
    <n v="3"/>
    <n v="3"/>
  </r>
  <r>
    <n v="52"/>
    <x v="2"/>
    <n v="1"/>
    <n v="2011"/>
    <s v="January"/>
    <x v="6"/>
    <b v="0"/>
    <x v="2"/>
    <x v="0"/>
    <x v="14"/>
    <n v="0.1061"/>
    <n v="0.5"/>
    <n v="0.3881"/>
    <n v="0"/>
    <n v="30"/>
    <n v="30"/>
  </r>
  <r>
    <n v="53"/>
    <x v="2"/>
    <n v="1"/>
    <n v="2011"/>
    <s v="January"/>
    <x v="7"/>
    <b v="0"/>
    <x v="2"/>
    <x v="0"/>
    <x v="14"/>
    <n v="0.13639999999999999"/>
    <n v="0.5"/>
    <n v="0.19400000000000001"/>
    <n v="1"/>
    <n v="63"/>
    <n v="64"/>
  </r>
  <r>
    <n v="54"/>
    <x v="2"/>
    <n v="1"/>
    <n v="2011"/>
    <s v="January"/>
    <x v="8"/>
    <b v="0"/>
    <x v="2"/>
    <x v="0"/>
    <x v="14"/>
    <n v="0.1212"/>
    <n v="0.5"/>
    <n v="0.28360000000000002"/>
    <n v="1"/>
    <n v="153"/>
    <n v="154"/>
  </r>
  <r>
    <n v="55"/>
    <x v="2"/>
    <n v="1"/>
    <n v="2011"/>
    <s v="January"/>
    <x v="9"/>
    <b v="0"/>
    <x v="2"/>
    <x v="0"/>
    <x v="13"/>
    <n v="0.13639999999999999"/>
    <n v="0.43"/>
    <n v="0.3881"/>
    <n v="7"/>
    <n v="81"/>
    <n v="88"/>
  </r>
  <r>
    <n v="56"/>
    <x v="2"/>
    <n v="1"/>
    <n v="2011"/>
    <s v="January"/>
    <x v="10"/>
    <b v="0"/>
    <x v="2"/>
    <x v="0"/>
    <x v="15"/>
    <n v="0.16669999999999999"/>
    <n v="0.43"/>
    <n v="0.25369999999999998"/>
    <n v="11"/>
    <n v="33"/>
    <n v="44"/>
  </r>
  <r>
    <n v="57"/>
    <x v="2"/>
    <n v="1"/>
    <n v="2011"/>
    <s v="January"/>
    <x v="11"/>
    <b v="0"/>
    <x v="2"/>
    <x v="0"/>
    <x v="2"/>
    <n v="0.18179999999999999"/>
    <n v="0.4"/>
    <n v="0.32840000000000003"/>
    <n v="10"/>
    <n v="41"/>
    <n v="51"/>
  </r>
  <r>
    <n v="58"/>
    <x v="2"/>
    <n v="1"/>
    <n v="2011"/>
    <s v="January"/>
    <x v="12"/>
    <b v="0"/>
    <x v="2"/>
    <x v="0"/>
    <x v="1"/>
    <n v="0.21210000000000001"/>
    <n v="0.35"/>
    <n v="0.29849999999999999"/>
    <n v="13"/>
    <n v="48"/>
    <n v="61"/>
  </r>
  <r>
    <n v="59"/>
    <x v="2"/>
    <n v="1"/>
    <n v="2011"/>
    <s v="January"/>
    <x v="13"/>
    <b v="0"/>
    <x v="2"/>
    <x v="0"/>
    <x v="0"/>
    <n v="0"/>
    <n v="0.35"/>
    <n v="0.28360000000000002"/>
    <n v="8"/>
    <n v="53"/>
    <n v="61"/>
  </r>
  <r>
    <n v="60"/>
    <x v="2"/>
    <n v="1"/>
    <n v="2011"/>
    <s v="January"/>
    <x v="14"/>
    <b v="0"/>
    <x v="2"/>
    <x v="0"/>
    <x v="12"/>
    <n v="0.2424"/>
    <n v="0.3"/>
    <n v="0.28360000000000002"/>
    <n v="11"/>
    <n v="66"/>
    <n v="77"/>
  </r>
  <r>
    <n v="61"/>
    <x v="2"/>
    <n v="1"/>
    <n v="2011"/>
    <s v="January"/>
    <x v="15"/>
    <b v="0"/>
    <x v="2"/>
    <x v="0"/>
    <x v="12"/>
    <n v="0.2424"/>
    <n v="0.3"/>
    <n v="0.25369999999999998"/>
    <n v="14"/>
    <n v="58"/>
    <n v="72"/>
  </r>
  <r>
    <n v="62"/>
    <x v="2"/>
    <n v="1"/>
    <n v="2011"/>
    <s v="January"/>
    <x v="16"/>
    <b v="0"/>
    <x v="2"/>
    <x v="0"/>
    <x v="12"/>
    <n v="0.2424"/>
    <n v="0.3"/>
    <n v="0.25369999999999998"/>
    <n v="9"/>
    <n v="67"/>
    <n v="76"/>
  </r>
  <r>
    <n v="63"/>
    <x v="2"/>
    <n v="1"/>
    <n v="2011"/>
    <s v="January"/>
    <x v="17"/>
    <b v="0"/>
    <x v="2"/>
    <x v="0"/>
    <x v="0"/>
    <n v="0.2273"/>
    <n v="0.3"/>
    <n v="0.22389999999999999"/>
    <n v="11"/>
    <n v="146"/>
    <n v="157"/>
  </r>
  <r>
    <n v="64"/>
    <x v="2"/>
    <n v="1"/>
    <n v="2011"/>
    <s v="January"/>
    <x v="18"/>
    <b v="0"/>
    <x v="2"/>
    <x v="0"/>
    <x v="0"/>
    <n v="0.2576"/>
    <n v="0.32"/>
    <n v="0.1045"/>
    <n v="9"/>
    <n v="148"/>
    <n v="157"/>
  </r>
  <r>
    <n v="65"/>
    <x v="2"/>
    <n v="1"/>
    <n v="2011"/>
    <s v="January"/>
    <x v="19"/>
    <b v="0"/>
    <x v="2"/>
    <x v="0"/>
    <x v="2"/>
    <n v="0.2576"/>
    <n v="0.47"/>
    <n v="0"/>
    <n v="8"/>
    <n v="102"/>
    <n v="110"/>
  </r>
  <r>
    <n v="66"/>
    <x v="2"/>
    <n v="1"/>
    <n v="2011"/>
    <s v="January"/>
    <x v="20"/>
    <b v="0"/>
    <x v="2"/>
    <x v="0"/>
    <x v="2"/>
    <n v="0"/>
    <n v="0.47"/>
    <n v="0.1045"/>
    <n v="3"/>
    <n v="49"/>
    <n v="52"/>
  </r>
  <r>
    <n v="67"/>
    <x v="2"/>
    <n v="1"/>
    <n v="2011"/>
    <s v="January"/>
    <x v="21"/>
    <b v="0"/>
    <x v="2"/>
    <x v="0"/>
    <x v="15"/>
    <n v="0.19700000000000001"/>
    <n v="0.64"/>
    <n v="0.1343"/>
    <n v="3"/>
    <n v="49"/>
    <n v="52"/>
  </r>
  <r>
    <n v="68"/>
    <x v="2"/>
    <n v="1"/>
    <n v="2011"/>
    <s v="January"/>
    <x v="22"/>
    <b v="0"/>
    <x v="2"/>
    <x v="0"/>
    <x v="14"/>
    <n v="0.1515"/>
    <n v="0.69"/>
    <n v="0.1343"/>
    <n v="0"/>
    <n v="20"/>
    <n v="20"/>
  </r>
  <r>
    <n v="69"/>
    <x v="2"/>
    <n v="1"/>
    <n v="2011"/>
    <s v="January"/>
    <x v="23"/>
    <b v="0"/>
    <x v="2"/>
    <x v="0"/>
    <x v="15"/>
    <n v="0.21210000000000001"/>
    <n v="0.55000000000000004"/>
    <n v="0.1045"/>
    <n v="1"/>
    <n v="11"/>
    <n v="12"/>
  </r>
  <r>
    <n v="70"/>
    <x v="3"/>
    <n v="1"/>
    <n v="2011"/>
    <s v="January"/>
    <x v="0"/>
    <b v="0"/>
    <x v="3"/>
    <x v="0"/>
    <x v="13"/>
    <n v="0"/>
    <n v="0.55000000000000004"/>
    <n v="0.1045"/>
    <n v="0"/>
    <n v="5"/>
    <n v="5"/>
  </r>
  <r>
    <n v="71"/>
    <x v="3"/>
    <n v="1"/>
    <n v="2011"/>
    <s v="January"/>
    <x v="1"/>
    <b v="0"/>
    <x v="3"/>
    <x v="0"/>
    <x v="13"/>
    <n v="0.18179999999999999"/>
    <n v="0.59"/>
    <n v="0.1045"/>
    <n v="0"/>
    <n v="2"/>
    <n v="2"/>
  </r>
  <r>
    <n v="72"/>
    <x v="3"/>
    <n v="1"/>
    <n v="2011"/>
    <s v="January"/>
    <x v="2"/>
    <b v="0"/>
    <x v="3"/>
    <x v="0"/>
    <x v="14"/>
    <n v="0.1515"/>
    <n v="0.63"/>
    <n v="0.1343"/>
    <n v="0"/>
    <n v="1"/>
    <n v="1"/>
  </r>
  <r>
    <n v="73"/>
    <x v="3"/>
    <n v="1"/>
    <n v="2011"/>
    <s v="January"/>
    <x v="4"/>
    <b v="0"/>
    <x v="3"/>
    <x v="0"/>
    <x v="14"/>
    <n v="0.18179999999999999"/>
    <n v="0.63"/>
    <n v="8.9599999999999999E-2"/>
    <n v="0"/>
    <n v="2"/>
    <n v="2"/>
  </r>
  <r>
    <n v="74"/>
    <x v="3"/>
    <n v="1"/>
    <n v="2011"/>
    <s v="January"/>
    <x v="5"/>
    <b v="0"/>
    <x v="3"/>
    <x v="0"/>
    <x v="16"/>
    <n v="0.1515"/>
    <n v="0.68"/>
    <n v="0.1045"/>
    <n v="0"/>
    <n v="4"/>
    <n v="4"/>
  </r>
  <r>
    <n v="75"/>
    <x v="3"/>
    <n v="1"/>
    <n v="2011"/>
    <s v="January"/>
    <x v="6"/>
    <b v="0"/>
    <x v="3"/>
    <x v="0"/>
    <x v="16"/>
    <n v="0.1515"/>
    <n v="0.74"/>
    <n v="0.1045"/>
    <n v="0"/>
    <n v="36"/>
    <n v="36"/>
  </r>
  <r>
    <n v="76"/>
    <x v="3"/>
    <n v="1"/>
    <n v="2011"/>
    <s v="January"/>
    <x v="7"/>
    <b v="0"/>
    <x v="3"/>
    <x v="0"/>
    <x v="16"/>
    <n v="0.1515"/>
    <n v="0.74"/>
    <n v="0.1343"/>
    <n v="2"/>
    <n v="92"/>
    <n v="94"/>
  </r>
  <r>
    <n v="77"/>
    <x v="3"/>
    <n v="1"/>
    <n v="2011"/>
    <s v="January"/>
    <x v="8"/>
    <b v="0"/>
    <x v="3"/>
    <x v="0"/>
    <x v="14"/>
    <n v="0.1515"/>
    <n v="0.69"/>
    <n v="0.16420000000000001"/>
    <n v="2"/>
    <n v="177"/>
    <n v="179"/>
  </r>
  <r>
    <n v="78"/>
    <x v="3"/>
    <n v="1"/>
    <n v="2011"/>
    <s v="January"/>
    <x v="9"/>
    <b v="0"/>
    <x v="3"/>
    <x v="0"/>
    <x v="13"/>
    <n v="0.1515"/>
    <n v="0.64"/>
    <n v="0.22389999999999999"/>
    <n v="2"/>
    <n v="98"/>
    <n v="100"/>
  </r>
  <r>
    <n v="79"/>
    <x v="3"/>
    <n v="1"/>
    <n v="2011"/>
    <s v="January"/>
    <x v="10"/>
    <b v="0"/>
    <x v="3"/>
    <x v="1"/>
    <x v="13"/>
    <n v="0.13639999999999999"/>
    <n v="0.69"/>
    <n v="0.32840000000000003"/>
    <n v="5"/>
    <n v="37"/>
    <n v="42"/>
  </r>
  <r>
    <n v="80"/>
    <x v="3"/>
    <n v="1"/>
    <n v="2011"/>
    <s v="January"/>
    <x v="11"/>
    <b v="0"/>
    <x v="3"/>
    <x v="0"/>
    <x v="1"/>
    <n v="0.21210000000000001"/>
    <n v="0.51"/>
    <n v="0.29849999999999999"/>
    <n v="7"/>
    <n v="50"/>
    <n v="57"/>
  </r>
  <r>
    <n v="81"/>
    <x v="3"/>
    <n v="1"/>
    <n v="2011"/>
    <s v="January"/>
    <x v="12"/>
    <b v="0"/>
    <x v="3"/>
    <x v="0"/>
    <x v="1"/>
    <n v="0.2273"/>
    <n v="0.51"/>
    <n v="0.16420000000000001"/>
    <n v="12"/>
    <n v="66"/>
    <n v="78"/>
  </r>
  <r>
    <n v="82"/>
    <x v="3"/>
    <n v="1"/>
    <n v="2011"/>
    <s v="January"/>
    <x v="13"/>
    <b v="0"/>
    <x v="3"/>
    <x v="0"/>
    <x v="0"/>
    <n v="0.2273"/>
    <n v="0.56000000000000005"/>
    <n v="0.19400000000000001"/>
    <n v="18"/>
    <n v="79"/>
    <n v="97"/>
  </r>
  <r>
    <n v="83"/>
    <x v="3"/>
    <n v="1"/>
    <n v="2011"/>
    <s v="January"/>
    <x v="14"/>
    <b v="0"/>
    <x v="3"/>
    <x v="0"/>
    <x v="12"/>
    <n v="0.2576"/>
    <n v="0.52"/>
    <n v="0.22389999999999999"/>
    <n v="9"/>
    <n v="54"/>
    <n v="63"/>
  </r>
  <r>
    <n v="84"/>
    <x v="3"/>
    <n v="1"/>
    <n v="2011"/>
    <s v="January"/>
    <x v="15"/>
    <b v="0"/>
    <x v="3"/>
    <x v="0"/>
    <x v="17"/>
    <n v="0.2727"/>
    <n v="0.52"/>
    <n v="0.25369999999999998"/>
    <n v="17"/>
    <n v="48"/>
    <n v="65"/>
  </r>
  <r>
    <n v="85"/>
    <x v="3"/>
    <n v="1"/>
    <n v="2011"/>
    <s v="January"/>
    <x v="16"/>
    <b v="0"/>
    <x v="3"/>
    <x v="0"/>
    <x v="11"/>
    <n v="0.28789999999999999"/>
    <n v="0.49"/>
    <n v="0.25369999999999998"/>
    <n v="15"/>
    <n v="68"/>
    <n v="83"/>
  </r>
  <r>
    <n v="86"/>
    <x v="3"/>
    <n v="1"/>
    <n v="2011"/>
    <s v="January"/>
    <x v="17"/>
    <b v="0"/>
    <x v="3"/>
    <x v="0"/>
    <x v="17"/>
    <n v="0.2727"/>
    <n v="0.48"/>
    <n v="0.22389999999999999"/>
    <n v="10"/>
    <n v="202"/>
    <n v="212"/>
  </r>
  <r>
    <n v="87"/>
    <x v="3"/>
    <n v="1"/>
    <n v="2011"/>
    <s v="January"/>
    <x v="18"/>
    <b v="0"/>
    <x v="3"/>
    <x v="0"/>
    <x v="12"/>
    <n v="0.2576"/>
    <n v="0.48"/>
    <n v="0.19400000000000001"/>
    <n v="3"/>
    <n v="179"/>
    <n v="182"/>
  </r>
  <r>
    <n v="88"/>
    <x v="3"/>
    <n v="1"/>
    <n v="2011"/>
    <s v="January"/>
    <x v="19"/>
    <b v="0"/>
    <x v="3"/>
    <x v="0"/>
    <x v="0"/>
    <n v="0.2576"/>
    <n v="0.48"/>
    <n v="0.1045"/>
    <n v="2"/>
    <n v="110"/>
    <n v="112"/>
  </r>
  <r>
    <n v="89"/>
    <x v="3"/>
    <n v="1"/>
    <n v="2011"/>
    <s v="January"/>
    <x v="20"/>
    <b v="0"/>
    <x v="3"/>
    <x v="0"/>
    <x v="0"/>
    <n v="0.2576"/>
    <n v="0.48"/>
    <n v="0.1045"/>
    <n v="1"/>
    <n v="53"/>
    <n v="54"/>
  </r>
  <r>
    <n v="90"/>
    <x v="3"/>
    <n v="1"/>
    <n v="2011"/>
    <s v="January"/>
    <x v="21"/>
    <b v="0"/>
    <x v="3"/>
    <x v="0"/>
    <x v="1"/>
    <n v="0.2727"/>
    <n v="0.64"/>
    <n v="0"/>
    <n v="0"/>
    <n v="48"/>
    <n v="48"/>
  </r>
  <r>
    <n v="91"/>
    <x v="3"/>
    <n v="1"/>
    <n v="2011"/>
    <s v="January"/>
    <x v="22"/>
    <b v="0"/>
    <x v="3"/>
    <x v="0"/>
    <x v="1"/>
    <n v="0.2576"/>
    <n v="0.64"/>
    <n v="8.9599999999999999E-2"/>
    <n v="1"/>
    <n v="34"/>
    <n v="35"/>
  </r>
  <r>
    <n v="92"/>
    <x v="3"/>
    <n v="1"/>
    <n v="2011"/>
    <s v="January"/>
    <x v="23"/>
    <b v="0"/>
    <x v="3"/>
    <x v="0"/>
    <x v="2"/>
    <n v="0.2273"/>
    <n v="0.69"/>
    <n v="8.9599999999999999E-2"/>
    <n v="2"/>
    <n v="9"/>
    <n v="11"/>
  </r>
  <r>
    <n v="93"/>
    <x v="4"/>
    <n v="1"/>
    <n v="2011"/>
    <s v="January"/>
    <x v="0"/>
    <b v="0"/>
    <x v="4"/>
    <x v="0"/>
    <x v="2"/>
    <n v="0.2576"/>
    <n v="0.64"/>
    <n v="0"/>
    <n v="0"/>
    <n v="6"/>
    <n v="6"/>
  </r>
  <r>
    <n v="94"/>
    <x v="4"/>
    <n v="1"/>
    <n v="2011"/>
    <s v="January"/>
    <x v="1"/>
    <b v="0"/>
    <x v="4"/>
    <x v="0"/>
    <x v="13"/>
    <n v="0.19700000000000001"/>
    <n v="0.74"/>
    <n v="8.9599999999999999E-2"/>
    <n v="0"/>
    <n v="6"/>
    <n v="6"/>
  </r>
  <r>
    <n v="95"/>
    <x v="4"/>
    <n v="1"/>
    <n v="2011"/>
    <s v="January"/>
    <x v="2"/>
    <b v="0"/>
    <x v="4"/>
    <x v="0"/>
    <x v="13"/>
    <n v="0.19700000000000001"/>
    <n v="0.74"/>
    <n v="8.9599999999999999E-2"/>
    <n v="0"/>
    <n v="2"/>
    <n v="2"/>
  </r>
  <r>
    <n v="96"/>
    <x v="4"/>
    <n v="1"/>
    <n v="2011"/>
    <s v="January"/>
    <x v="4"/>
    <b v="0"/>
    <x v="4"/>
    <x v="0"/>
    <x v="0"/>
    <n v="0.2273"/>
    <n v="0.48"/>
    <n v="0.22389999999999999"/>
    <n v="0"/>
    <n v="2"/>
    <n v="2"/>
  </r>
  <r>
    <n v="97"/>
    <x v="4"/>
    <n v="1"/>
    <n v="2011"/>
    <s v="January"/>
    <x v="5"/>
    <b v="0"/>
    <x v="4"/>
    <x v="0"/>
    <x v="1"/>
    <n v="0.2273"/>
    <n v="0.47"/>
    <n v="0.16420000000000001"/>
    <n v="0"/>
    <n v="3"/>
    <n v="3"/>
  </r>
  <r>
    <n v="98"/>
    <x v="4"/>
    <n v="1"/>
    <n v="2011"/>
    <s v="January"/>
    <x v="6"/>
    <b v="0"/>
    <x v="4"/>
    <x v="0"/>
    <x v="2"/>
    <n v="0.19700000000000001"/>
    <n v="0.47"/>
    <n v="0.22389999999999999"/>
    <n v="0"/>
    <n v="33"/>
    <n v="33"/>
  </r>
  <r>
    <n v="99"/>
    <x v="4"/>
    <n v="1"/>
    <n v="2011"/>
    <s v="January"/>
    <x v="7"/>
    <b v="0"/>
    <x v="4"/>
    <x v="0"/>
    <x v="15"/>
    <n v="0.18179999999999999"/>
    <n v="0.43"/>
    <n v="0.19400000000000001"/>
    <n v="1"/>
    <n v="87"/>
    <n v="88"/>
  </r>
  <r>
    <n v="100"/>
    <x v="4"/>
    <n v="1"/>
    <n v="2011"/>
    <s v="January"/>
    <x v="8"/>
    <b v="0"/>
    <x v="4"/>
    <x v="0"/>
    <x v="2"/>
    <n v="0.18179999999999999"/>
    <n v="0.4"/>
    <n v="0.29849999999999999"/>
    <n v="3"/>
    <n v="192"/>
    <n v="195"/>
  </r>
  <r>
    <n v="101"/>
    <x v="4"/>
    <n v="1"/>
    <n v="2011"/>
    <s v="January"/>
    <x v="9"/>
    <b v="0"/>
    <x v="4"/>
    <x v="0"/>
    <x v="1"/>
    <n v="0.19700000000000001"/>
    <n v="0.37"/>
    <n v="0.32840000000000003"/>
    <n v="6"/>
    <n v="109"/>
    <n v="115"/>
  </r>
  <r>
    <n v="102"/>
    <x v="4"/>
    <n v="1"/>
    <n v="2011"/>
    <s v="January"/>
    <x v="10"/>
    <b v="0"/>
    <x v="4"/>
    <x v="0"/>
    <x v="1"/>
    <n v="0.19700000000000001"/>
    <n v="0.37"/>
    <n v="0.32840000000000003"/>
    <n v="4"/>
    <n v="53"/>
    <n v="57"/>
  </r>
  <r>
    <n v="103"/>
    <x v="4"/>
    <n v="1"/>
    <n v="2011"/>
    <s v="January"/>
    <x v="11"/>
    <b v="0"/>
    <x v="4"/>
    <x v="0"/>
    <x v="12"/>
    <n v="0.2273"/>
    <n v="0.33"/>
    <n v="0.32840000000000003"/>
    <n v="12"/>
    <n v="34"/>
    <n v="46"/>
  </r>
  <r>
    <n v="104"/>
    <x v="4"/>
    <n v="1"/>
    <n v="2011"/>
    <s v="January"/>
    <x v="12"/>
    <b v="0"/>
    <x v="4"/>
    <x v="0"/>
    <x v="12"/>
    <n v="0.2273"/>
    <n v="0.33"/>
    <n v="0.32840000000000003"/>
    <n v="5"/>
    <n v="74"/>
    <n v="79"/>
  </r>
  <r>
    <n v="105"/>
    <x v="4"/>
    <n v="1"/>
    <n v="2011"/>
    <s v="January"/>
    <x v="13"/>
    <b v="0"/>
    <x v="4"/>
    <x v="0"/>
    <x v="17"/>
    <n v="0.2576"/>
    <n v="0.3"/>
    <n v="0.29849999999999999"/>
    <n v="6"/>
    <n v="65"/>
    <n v="71"/>
  </r>
  <r>
    <n v="106"/>
    <x v="4"/>
    <n v="1"/>
    <n v="2011"/>
    <s v="January"/>
    <x v="14"/>
    <b v="0"/>
    <x v="4"/>
    <x v="0"/>
    <x v="11"/>
    <n v="0.28789999999999999"/>
    <n v="0.28000000000000003"/>
    <n v="0.19400000000000001"/>
    <n v="10"/>
    <n v="52"/>
    <n v="62"/>
  </r>
  <r>
    <n v="107"/>
    <x v="4"/>
    <n v="1"/>
    <n v="2011"/>
    <s v="January"/>
    <x v="15"/>
    <b v="0"/>
    <x v="4"/>
    <x v="0"/>
    <x v="11"/>
    <n v="0.28789999999999999"/>
    <n v="0.28000000000000003"/>
    <n v="0.19400000000000001"/>
    <n v="7"/>
    <n v="55"/>
    <n v="62"/>
  </r>
  <r>
    <n v="108"/>
    <x v="4"/>
    <n v="1"/>
    <n v="2011"/>
    <s v="January"/>
    <x v="16"/>
    <b v="0"/>
    <x v="4"/>
    <x v="0"/>
    <x v="11"/>
    <n v="0.31819999999999998"/>
    <n v="0.28000000000000003"/>
    <n v="8.9599999999999999E-2"/>
    <n v="4"/>
    <n v="85"/>
    <n v="89"/>
  </r>
  <r>
    <n v="109"/>
    <x v="4"/>
    <n v="1"/>
    <n v="2011"/>
    <s v="January"/>
    <x v="17"/>
    <b v="0"/>
    <x v="4"/>
    <x v="0"/>
    <x v="0"/>
    <n v="0.2273"/>
    <n v="0.38"/>
    <n v="0.19400000000000001"/>
    <n v="4"/>
    <n v="186"/>
    <n v="190"/>
  </r>
  <r>
    <n v="110"/>
    <x v="4"/>
    <n v="1"/>
    <n v="2011"/>
    <s v="January"/>
    <x v="18"/>
    <b v="0"/>
    <x v="4"/>
    <x v="0"/>
    <x v="0"/>
    <n v="0.2424"/>
    <n v="0.38"/>
    <n v="0.1343"/>
    <n v="3"/>
    <n v="166"/>
    <n v="169"/>
  </r>
  <r>
    <n v="111"/>
    <x v="4"/>
    <n v="1"/>
    <n v="2011"/>
    <s v="January"/>
    <x v="19"/>
    <b v="0"/>
    <x v="4"/>
    <x v="0"/>
    <x v="0"/>
    <n v="0.2576"/>
    <n v="0.38"/>
    <n v="0.1045"/>
    <n v="5"/>
    <n v="127"/>
    <n v="132"/>
  </r>
  <r>
    <n v="112"/>
    <x v="4"/>
    <n v="1"/>
    <n v="2011"/>
    <s v="January"/>
    <x v="20"/>
    <b v="0"/>
    <x v="4"/>
    <x v="0"/>
    <x v="1"/>
    <n v="0.2273"/>
    <n v="0.47"/>
    <n v="0.16420000000000001"/>
    <n v="7"/>
    <n v="82"/>
    <n v="89"/>
  </r>
  <r>
    <n v="113"/>
    <x v="4"/>
    <n v="1"/>
    <n v="2011"/>
    <s v="January"/>
    <x v="21"/>
    <b v="0"/>
    <x v="4"/>
    <x v="0"/>
    <x v="2"/>
    <n v="0.19700000000000001"/>
    <n v="0.51"/>
    <n v="0.19400000000000001"/>
    <n v="3"/>
    <n v="40"/>
    <n v="43"/>
  </r>
  <r>
    <n v="114"/>
    <x v="4"/>
    <n v="1"/>
    <n v="2011"/>
    <s v="January"/>
    <x v="22"/>
    <b v="0"/>
    <x v="4"/>
    <x v="0"/>
    <x v="15"/>
    <n v="0.19700000000000001"/>
    <n v="0.55000000000000004"/>
    <n v="0.1343"/>
    <n v="1"/>
    <n v="41"/>
    <n v="42"/>
  </r>
  <r>
    <n v="115"/>
    <x v="4"/>
    <n v="1"/>
    <n v="2011"/>
    <s v="January"/>
    <x v="23"/>
    <b v="0"/>
    <x v="4"/>
    <x v="0"/>
    <x v="2"/>
    <n v="0.2576"/>
    <n v="0.47"/>
    <n v="0"/>
    <n v="1"/>
    <n v="18"/>
    <n v="19"/>
  </r>
  <r>
    <n v="116"/>
    <x v="5"/>
    <n v="1"/>
    <n v="2011"/>
    <s v="January"/>
    <x v="0"/>
    <b v="0"/>
    <x v="5"/>
    <x v="0"/>
    <x v="15"/>
    <n v="0.2424"/>
    <n v="0.55000000000000004"/>
    <n v="0"/>
    <n v="0"/>
    <n v="11"/>
    <n v="11"/>
  </r>
  <r>
    <n v="117"/>
    <x v="5"/>
    <n v="1"/>
    <n v="2011"/>
    <s v="January"/>
    <x v="1"/>
    <b v="0"/>
    <x v="5"/>
    <x v="0"/>
    <x v="13"/>
    <n v="0.2273"/>
    <n v="0.64"/>
    <n v="0"/>
    <n v="0"/>
    <n v="4"/>
    <n v="4"/>
  </r>
  <r>
    <n v="118"/>
    <x v="5"/>
    <n v="1"/>
    <n v="2011"/>
    <s v="January"/>
    <x v="2"/>
    <b v="0"/>
    <x v="5"/>
    <x v="0"/>
    <x v="13"/>
    <n v="0.2273"/>
    <n v="0.64"/>
    <n v="0"/>
    <n v="0"/>
    <n v="2"/>
    <n v="2"/>
  </r>
  <r>
    <n v="119"/>
    <x v="5"/>
    <n v="1"/>
    <n v="2011"/>
    <s v="January"/>
    <x v="4"/>
    <b v="0"/>
    <x v="5"/>
    <x v="1"/>
    <x v="13"/>
    <n v="0.19700000000000001"/>
    <n v="0.64"/>
    <n v="8.9599999999999999E-2"/>
    <n v="0"/>
    <n v="1"/>
    <n v="1"/>
  </r>
  <r>
    <n v="120"/>
    <x v="5"/>
    <n v="1"/>
    <n v="2011"/>
    <s v="January"/>
    <x v="5"/>
    <b v="0"/>
    <x v="5"/>
    <x v="1"/>
    <x v="14"/>
    <n v="0.18179999999999999"/>
    <n v="0.69"/>
    <n v="8.9599999999999999E-2"/>
    <n v="0"/>
    <n v="4"/>
    <n v="4"/>
  </r>
  <r>
    <n v="121"/>
    <x v="5"/>
    <n v="1"/>
    <n v="2011"/>
    <s v="January"/>
    <x v="6"/>
    <b v="0"/>
    <x v="5"/>
    <x v="1"/>
    <x v="14"/>
    <n v="0.16669999999999999"/>
    <n v="0.63"/>
    <n v="0.1045"/>
    <n v="0"/>
    <n v="36"/>
    <n v="36"/>
  </r>
  <r>
    <n v="122"/>
    <x v="5"/>
    <n v="1"/>
    <n v="2011"/>
    <s v="January"/>
    <x v="7"/>
    <b v="0"/>
    <x v="5"/>
    <x v="1"/>
    <x v="13"/>
    <n v="0.2273"/>
    <n v="0.59"/>
    <n v="0"/>
    <n v="0"/>
    <n v="95"/>
    <n v="95"/>
  </r>
  <r>
    <n v="123"/>
    <x v="5"/>
    <n v="1"/>
    <n v="2011"/>
    <s v="January"/>
    <x v="8"/>
    <b v="0"/>
    <x v="5"/>
    <x v="0"/>
    <x v="13"/>
    <n v="0.2273"/>
    <n v="0.59"/>
    <n v="0"/>
    <n v="3"/>
    <n v="216"/>
    <n v="219"/>
  </r>
  <r>
    <n v="124"/>
    <x v="5"/>
    <n v="1"/>
    <n v="2011"/>
    <s v="January"/>
    <x v="9"/>
    <b v="0"/>
    <x v="5"/>
    <x v="1"/>
    <x v="15"/>
    <n v="0.2424"/>
    <n v="0.51"/>
    <n v="0"/>
    <n v="6"/>
    <n v="116"/>
    <n v="122"/>
  </r>
  <r>
    <n v="125"/>
    <x v="5"/>
    <n v="1"/>
    <n v="2011"/>
    <s v="January"/>
    <x v="10"/>
    <b v="0"/>
    <x v="5"/>
    <x v="0"/>
    <x v="2"/>
    <n v="0.2576"/>
    <n v="0.47"/>
    <n v="0"/>
    <n v="3"/>
    <n v="42"/>
    <n v="45"/>
  </r>
  <r>
    <n v="126"/>
    <x v="5"/>
    <n v="1"/>
    <n v="2011"/>
    <s v="January"/>
    <x v="11"/>
    <b v="0"/>
    <x v="5"/>
    <x v="0"/>
    <x v="1"/>
    <n v="0.2576"/>
    <n v="0.44"/>
    <n v="8.9599999999999999E-2"/>
    <n v="2"/>
    <n v="57"/>
    <n v="59"/>
  </r>
  <r>
    <n v="127"/>
    <x v="5"/>
    <n v="1"/>
    <n v="2011"/>
    <s v="January"/>
    <x v="12"/>
    <b v="0"/>
    <x v="5"/>
    <x v="0"/>
    <x v="12"/>
    <n v="0.28789999999999999"/>
    <n v="0.35"/>
    <n v="0"/>
    <n v="6"/>
    <n v="78"/>
    <n v="84"/>
  </r>
  <r>
    <n v="128"/>
    <x v="5"/>
    <n v="1"/>
    <n v="2011"/>
    <s v="January"/>
    <x v="13"/>
    <b v="0"/>
    <x v="5"/>
    <x v="0"/>
    <x v="12"/>
    <n v="0.2727"/>
    <n v="0.35"/>
    <n v="0.1045"/>
    <n v="12"/>
    <n v="55"/>
    <n v="67"/>
  </r>
  <r>
    <n v="129"/>
    <x v="5"/>
    <n v="1"/>
    <n v="2011"/>
    <s v="January"/>
    <x v="14"/>
    <b v="0"/>
    <x v="5"/>
    <x v="0"/>
    <x v="17"/>
    <n v="0.2727"/>
    <n v="0.36"/>
    <n v="0.16420000000000001"/>
    <n v="11"/>
    <n v="59"/>
    <n v="70"/>
  </r>
  <r>
    <n v="130"/>
    <x v="5"/>
    <n v="1"/>
    <n v="2011"/>
    <s v="January"/>
    <x v="15"/>
    <b v="0"/>
    <x v="5"/>
    <x v="0"/>
    <x v="17"/>
    <n v="0.2727"/>
    <n v="0.36"/>
    <n v="0"/>
    <n v="8"/>
    <n v="54"/>
    <n v="62"/>
  </r>
  <r>
    <n v="131"/>
    <x v="5"/>
    <n v="1"/>
    <n v="2011"/>
    <s v="January"/>
    <x v="16"/>
    <b v="0"/>
    <x v="5"/>
    <x v="0"/>
    <x v="12"/>
    <n v="0.2576"/>
    <n v="0.38"/>
    <n v="0.16420000000000001"/>
    <n v="12"/>
    <n v="74"/>
    <n v="86"/>
  </r>
  <r>
    <n v="132"/>
    <x v="5"/>
    <n v="1"/>
    <n v="2011"/>
    <s v="January"/>
    <x v="17"/>
    <b v="0"/>
    <x v="5"/>
    <x v="0"/>
    <x v="1"/>
    <n v="0.2273"/>
    <n v="0.51"/>
    <n v="0.16420000000000001"/>
    <n v="9"/>
    <n v="163"/>
    <n v="172"/>
  </r>
  <r>
    <n v="133"/>
    <x v="5"/>
    <n v="1"/>
    <n v="2011"/>
    <s v="January"/>
    <x v="18"/>
    <b v="0"/>
    <x v="5"/>
    <x v="0"/>
    <x v="1"/>
    <n v="0.2273"/>
    <n v="0.51"/>
    <n v="0.1343"/>
    <n v="5"/>
    <n v="158"/>
    <n v="163"/>
  </r>
  <r>
    <n v="134"/>
    <x v="5"/>
    <n v="1"/>
    <n v="2011"/>
    <s v="January"/>
    <x v="19"/>
    <b v="0"/>
    <x v="5"/>
    <x v="0"/>
    <x v="1"/>
    <n v="0.2576"/>
    <n v="0.55000000000000004"/>
    <n v="8.9599999999999999E-2"/>
    <n v="3"/>
    <n v="109"/>
    <n v="112"/>
  </r>
  <r>
    <n v="135"/>
    <x v="5"/>
    <n v="1"/>
    <n v="2011"/>
    <s v="January"/>
    <x v="20"/>
    <b v="0"/>
    <x v="5"/>
    <x v="0"/>
    <x v="2"/>
    <n v="0.21210000000000001"/>
    <n v="0.51"/>
    <n v="0.16420000000000001"/>
    <n v="3"/>
    <n v="66"/>
    <n v="69"/>
  </r>
  <r>
    <n v="136"/>
    <x v="5"/>
    <n v="1"/>
    <n v="2011"/>
    <s v="January"/>
    <x v="21"/>
    <b v="0"/>
    <x v="5"/>
    <x v="1"/>
    <x v="1"/>
    <n v="0.21210000000000001"/>
    <n v="0.55000000000000004"/>
    <n v="0.22389999999999999"/>
    <n v="0"/>
    <n v="48"/>
    <n v="48"/>
  </r>
  <r>
    <n v="137"/>
    <x v="5"/>
    <n v="1"/>
    <n v="2011"/>
    <s v="January"/>
    <x v="22"/>
    <b v="0"/>
    <x v="5"/>
    <x v="1"/>
    <x v="1"/>
    <n v="0.21210000000000001"/>
    <n v="0.51"/>
    <n v="0.28360000000000002"/>
    <n v="1"/>
    <n v="51"/>
    <n v="52"/>
  </r>
  <r>
    <n v="138"/>
    <x v="5"/>
    <n v="1"/>
    <n v="2011"/>
    <s v="January"/>
    <x v="23"/>
    <b v="0"/>
    <x v="5"/>
    <x v="1"/>
    <x v="2"/>
    <n v="0.19700000000000001"/>
    <n v="0.59"/>
    <n v="0.19400000000000001"/>
    <n v="4"/>
    <n v="19"/>
    <n v="23"/>
  </r>
  <r>
    <n v="139"/>
    <x v="6"/>
    <n v="1"/>
    <n v="2011"/>
    <s v="January"/>
    <x v="0"/>
    <b v="0"/>
    <x v="6"/>
    <x v="1"/>
    <x v="2"/>
    <n v="0.19700000000000001"/>
    <n v="0.64"/>
    <n v="0.19400000000000001"/>
    <n v="4"/>
    <n v="13"/>
    <n v="17"/>
  </r>
  <r>
    <n v="140"/>
    <x v="6"/>
    <n v="1"/>
    <n v="2011"/>
    <s v="January"/>
    <x v="1"/>
    <b v="0"/>
    <x v="6"/>
    <x v="1"/>
    <x v="2"/>
    <n v="0.19700000000000001"/>
    <n v="0.69"/>
    <n v="0.22389999999999999"/>
    <n v="2"/>
    <n v="5"/>
    <n v="7"/>
  </r>
  <r>
    <n v="141"/>
    <x v="6"/>
    <n v="1"/>
    <n v="2011"/>
    <s v="January"/>
    <x v="2"/>
    <b v="0"/>
    <x v="6"/>
    <x v="1"/>
    <x v="2"/>
    <n v="0.19700000000000001"/>
    <n v="0.69"/>
    <n v="0.22389999999999999"/>
    <n v="0"/>
    <n v="1"/>
    <n v="1"/>
  </r>
  <r>
    <n v="142"/>
    <x v="6"/>
    <n v="1"/>
    <n v="2011"/>
    <s v="January"/>
    <x v="4"/>
    <b v="0"/>
    <x v="6"/>
    <x v="1"/>
    <x v="2"/>
    <n v="0.21210000000000001"/>
    <n v="0.69"/>
    <n v="0.1343"/>
    <n v="0"/>
    <n v="1"/>
    <n v="1"/>
  </r>
  <r>
    <n v="143"/>
    <x v="6"/>
    <n v="1"/>
    <n v="2011"/>
    <s v="January"/>
    <x v="5"/>
    <b v="0"/>
    <x v="6"/>
    <x v="2"/>
    <x v="1"/>
    <n v="0.2727"/>
    <n v="0.55000000000000004"/>
    <n v="0"/>
    <n v="0"/>
    <n v="5"/>
    <n v="5"/>
  </r>
  <r>
    <n v="144"/>
    <x v="6"/>
    <n v="1"/>
    <n v="2011"/>
    <s v="January"/>
    <x v="6"/>
    <b v="0"/>
    <x v="6"/>
    <x v="1"/>
    <x v="2"/>
    <n v="0.2576"/>
    <n v="0.69"/>
    <n v="0"/>
    <n v="8"/>
    <n v="26"/>
    <n v="34"/>
  </r>
  <r>
    <n v="145"/>
    <x v="6"/>
    <n v="1"/>
    <n v="2011"/>
    <s v="January"/>
    <x v="7"/>
    <b v="0"/>
    <x v="6"/>
    <x v="0"/>
    <x v="2"/>
    <n v="0.21210000000000001"/>
    <n v="0.69"/>
    <n v="0.1343"/>
    <n v="8"/>
    <n v="76"/>
    <n v="84"/>
  </r>
  <r>
    <n v="146"/>
    <x v="6"/>
    <n v="1"/>
    <n v="2011"/>
    <s v="January"/>
    <x v="8"/>
    <b v="0"/>
    <x v="6"/>
    <x v="0"/>
    <x v="2"/>
    <n v="0.19700000000000001"/>
    <n v="0.51"/>
    <n v="0.25369999999999998"/>
    <n v="20"/>
    <n v="190"/>
    <n v="210"/>
  </r>
  <r>
    <n v="147"/>
    <x v="6"/>
    <n v="1"/>
    <n v="2011"/>
    <s v="January"/>
    <x v="9"/>
    <b v="0"/>
    <x v="6"/>
    <x v="0"/>
    <x v="2"/>
    <n v="0.18179999999999999"/>
    <n v="0.47"/>
    <n v="0.29849999999999999"/>
    <n v="9"/>
    <n v="125"/>
    <n v="134"/>
  </r>
  <r>
    <n v="148"/>
    <x v="6"/>
    <n v="1"/>
    <n v="2011"/>
    <s v="January"/>
    <x v="10"/>
    <b v="0"/>
    <x v="6"/>
    <x v="0"/>
    <x v="1"/>
    <n v="0.19700000000000001"/>
    <n v="0.37"/>
    <n v="0.32840000000000003"/>
    <n v="16"/>
    <n v="47"/>
    <n v="63"/>
  </r>
  <r>
    <n v="149"/>
    <x v="6"/>
    <n v="1"/>
    <n v="2011"/>
    <s v="January"/>
    <x v="11"/>
    <b v="0"/>
    <x v="6"/>
    <x v="1"/>
    <x v="2"/>
    <n v="0.19700000000000001"/>
    <n v="0.4"/>
    <n v="0.22389999999999999"/>
    <n v="19"/>
    <n v="48"/>
    <n v="67"/>
  </r>
  <r>
    <n v="150"/>
    <x v="6"/>
    <n v="1"/>
    <n v="2011"/>
    <s v="January"/>
    <x v="12"/>
    <b v="0"/>
    <x v="6"/>
    <x v="1"/>
    <x v="2"/>
    <n v="0.19700000000000001"/>
    <n v="0.37"/>
    <n v="0.25369999999999998"/>
    <n v="9"/>
    <n v="50"/>
    <n v="59"/>
  </r>
  <r>
    <n v="151"/>
    <x v="6"/>
    <n v="1"/>
    <n v="2011"/>
    <s v="January"/>
    <x v="13"/>
    <b v="0"/>
    <x v="6"/>
    <x v="1"/>
    <x v="2"/>
    <n v="0.18179999999999999"/>
    <n v="0.37"/>
    <n v="0.28360000000000002"/>
    <n v="9"/>
    <n v="64"/>
    <n v="73"/>
  </r>
  <r>
    <n v="152"/>
    <x v="6"/>
    <n v="1"/>
    <n v="2011"/>
    <s v="January"/>
    <x v="14"/>
    <b v="0"/>
    <x v="6"/>
    <x v="1"/>
    <x v="2"/>
    <n v="0.19700000000000001"/>
    <n v="0.4"/>
    <n v="0.25369999999999998"/>
    <n v="7"/>
    <n v="43"/>
    <n v="50"/>
  </r>
  <r>
    <n v="153"/>
    <x v="6"/>
    <n v="1"/>
    <n v="2011"/>
    <s v="January"/>
    <x v="15"/>
    <b v="0"/>
    <x v="6"/>
    <x v="1"/>
    <x v="2"/>
    <n v="0.21210000000000001"/>
    <n v="0.37"/>
    <n v="0.16420000000000001"/>
    <n v="9"/>
    <n v="63"/>
    <n v="72"/>
  </r>
  <r>
    <n v="154"/>
    <x v="6"/>
    <n v="1"/>
    <n v="2011"/>
    <s v="January"/>
    <x v="16"/>
    <b v="0"/>
    <x v="6"/>
    <x v="1"/>
    <x v="2"/>
    <n v="0.21210000000000001"/>
    <n v="0.37"/>
    <n v="0.16420000000000001"/>
    <n v="5"/>
    <n v="82"/>
    <n v="87"/>
  </r>
  <r>
    <n v="155"/>
    <x v="6"/>
    <n v="1"/>
    <n v="2011"/>
    <s v="January"/>
    <x v="17"/>
    <b v="0"/>
    <x v="6"/>
    <x v="1"/>
    <x v="2"/>
    <n v="0.2576"/>
    <n v="0.37"/>
    <n v="0"/>
    <n v="9"/>
    <n v="178"/>
    <n v="187"/>
  </r>
  <r>
    <n v="156"/>
    <x v="6"/>
    <n v="1"/>
    <n v="2011"/>
    <s v="January"/>
    <x v="18"/>
    <b v="0"/>
    <x v="6"/>
    <x v="0"/>
    <x v="2"/>
    <n v="0.2273"/>
    <n v="0.4"/>
    <n v="8.9599999999999999E-2"/>
    <n v="7"/>
    <n v="116"/>
    <n v="123"/>
  </r>
  <r>
    <n v="157"/>
    <x v="6"/>
    <n v="1"/>
    <n v="2011"/>
    <s v="January"/>
    <x v="19"/>
    <b v="0"/>
    <x v="6"/>
    <x v="0"/>
    <x v="13"/>
    <n v="0.19700000000000001"/>
    <n v="0.55000000000000004"/>
    <n v="8.9599999999999999E-2"/>
    <n v="3"/>
    <n v="92"/>
    <n v="95"/>
  </r>
  <r>
    <n v="158"/>
    <x v="6"/>
    <n v="1"/>
    <n v="2011"/>
    <s v="January"/>
    <x v="20"/>
    <b v="0"/>
    <x v="6"/>
    <x v="0"/>
    <x v="15"/>
    <n v="0.21210000000000001"/>
    <n v="0.47"/>
    <n v="0.1045"/>
    <n v="1"/>
    <n v="50"/>
    <n v="51"/>
  </r>
  <r>
    <n v="159"/>
    <x v="6"/>
    <n v="1"/>
    <n v="2011"/>
    <s v="January"/>
    <x v="21"/>
    <b v="0"/>
    <x v="6"/>
    <x v="0"/>
    <x v="15"/>
    <n v="0.19700000000000001"/>
    <n v="0.47"/>
    <n v="0.1343"/>
    <n v="0"/>
    <n v="39"/>
    <n v="39"/>
  </r>
  <r>
    <n v="160"/>
    <x v="6"/>
    <n v="1"/>
    <n v="2011"/>
    <s v="January"/>
    <x v="22"/>
    <b v="0"/>
    <x v="6"/>
    <x v="1"/>
    <x v="15"/>
    <n v="0.19700000000000001"/>
    <n v="0.43"/>
    <n v="0.16420000000000001"/>
    <n v="2"/>
    <n v="34"/>
    <n v="36"/>
  </r>
  <r>
    <n v="161"/>
    <x v="6"/>
    <n v="1"/>
    <n v="2011"/>
    <s v="January"/>
    <x v="23"/>
    <b v="0"/>
    <x v="6"/>
    <x v="1"/>
    <x v="15"/>
    <n v="0.19700000000000001"/>
    <n v="0.51"/>
    <n v="0.16420000000000001"/>
    <n v="1"/>
    <n v="14"/>
    <n v="15"/>
  </r>
  <r>
    <n v="162"/>
    <x v="7"/>
    <n v="1"/>
    <n v="2011"/>
    <s v="January"/>
    <x v="0"/>
    <b v="0"/>
    <x v="0"/>
    <x v="1"/>
    <x v="15"/>
    <n v="0.19700000000000001"/>
    <n v="0.51"/>
    <n v="0.16420000000000001"/>
    <n v="1"/>
    <n v="24"/>
    <n v="25"/>
  </r>
  <r>
    <n v="163"/>
    <x v="7"/>
    <n v="1"/>
    <n v="2011"/>
    <s v="January"/>
    <x v="1"/>
    <b v="0"/>
    <x v="0"/>
    <x v="1"/>
    <x v="15"/>
    <n v="0.21210000000000001"/>
    <n v="0.55000000000000004"/>
    <n v="8.9599999999999999E-2"/>
    <n v="1"/>
    <n v="15"/>
    <n v="16"/>
  </r>
  <r>
    <n v="164"/>
    <x v="7"/>
    <n v="1"/>
    <n v="2011"/>
    <s v="January"/>
    <x v="2"/>
    <b v="0"/>
    <x v="0"/>
    <x v="1"/>
    <x v="15"/>
    <n v="0.2424"/>
    <n v="0.55000000000000004"/>
    <n v="0"/>
    <n v="3"/>
    <n v="13"/>
    <n v="16"/>
  </r>
  <r>
    <n v="165"/>
    <x v="7"/>
    <n v="1"/>
    <n v="2011"/>
    <s v="January"/>
    <x v="3"/>
    <b v="0"/>
    <x v="0"/>
    <x v="2"/>
    <x v="15"/>
    <n v="0.19700000000000001"/>
    <n v="0.55000000000000004"/>
    <n v="0.16420000000000001"/>
    <n v="0"/>
    <n v="7"/>
    <n v="7"/>
  </r>
  <r>
    <n v="166"/>
    <x v="7"/>
    <n v="1"/>
    <n v="2011"/>
    <s v="January"/>
    <x v="4"/>
    <b v="0"/>
    <x v="0"/>
    <x v="2"/>
    <x v="15"/>
    <n v="0.19700000000000001"/>
    <n v="0.55000000000000004"/>
    <n v="0.16420000000000001"/>
    <n v="0"/>
    <n v="1"/>
    <n v="1"/>
  </r>
  <r>
    <n v="167"/>
    <x v="7"/>
    <n v="1"/>
    <n v="2011"/>
    <s v="January"/>
    <x v="5"/>
    <b v="0"/>
    <x v="0"/>
    <x v="1"/>
    <x v="13"/>
    <n v="0.16669999999999999"/>
    <n v="0.74"/>
    <n v="0.16420000000000001"/>
    <n v="0"/>
    <n v="5"/>
    <n v="5"/>
  </r>
  <r>
    <n v="168"/>
    <x v="7"/>
    <n v="1"/>
    <n v="2011"/>
    <s v="January"/>
    <x v="6"/>
    <b v="0"/>
    <x v="0"/>
    <x v="1"/>
    <x v="13"/>
    <n v="0.16669999999999999"/>
    <n v="0.74"/>
    <n v="0.16420000000000001"/>
    <n v="0"/>
    <n v="2"/>
    <n v="2"/>
  </r>
  <r>
    <n v="169"/>
    <x v="7"/>
    <n v="1"/>
    <n v="2011"/>
    <s v="January"/>
    <x v="7"/>
    <b v="0"/>
    <x v="0"/>
    <x v="1"/>
    <x v="13"/>
    <n v="0.18179999999999999"/>
    <n v="0.74"/>
    <n v="0.1045"/>
    <n v="1"/>
    <n v="8"/>
    <n v="9"/>
  </r>
  <r>
    <n v="170"/>
    <x v="7"/>
    <n v="1"/>
    <n v="2011"/>
    <s v="January"/>
    <x v="8"/>
    <b v="0"/>
    <x v="0"/>
    <x v="2"/>
    <x v="13"/>
    <n v="0.18179999999999999"/>
    <n v="0.93"/>
    <n v="0.1045"/>
    <n v="0"/>
    <n v="15"/>
    <n v="15"/>
  </r>
  <r>
    <n v="171"/>
    <x v="7"/>
    <n v="1"/>
    <n v="2011"/>
    <s v="January"/>
    <x v="9"/>
    <b v="0"/>
    <x v="0"/>
    <x v="2"/>
    <x v="13"/>
    <n v="0.18179999999999999"/>
    <n v="0.93"/>
    <n v="0.1045"/>
    <n v="0"/>
    <n v="20"/>
    <n v="20"/>
  </r>
  <r>
    <n v="172"/>
    <x v="7"/>
    <n v="1"/>
    <n v="2011"/>
    <s v="January"/>
    <x v="10"/>
    <b v="0"/>
    <x v="0"/>
    <x v="1"/>
    <x v="15"/>
    <n v="0.19700000000000001"/>
    <n v="0.8"/>
    <n v="0.16420000000000001"/>
    <n v="5"/>
    <n v="56"/>
    <n v="61"/>
  </r>
  <r>
    <n v="173"/>
    <x v="7"/>
    <n v="1"/>
    <n v="2011"/>
    <s v="January"/>
    <x v="11"/>
    <b v="0"/>
    <x v="0"/>
    <x v="1"/>
    <x v="2"/>
    <n v="0.18179999999999999"/>
    <n v="0.69"/>
    <n v="0.3881"/>
    <n v="2"/>
    <n v="60"/>
    <n v="62"/>
  </r>
  <r>
    <n v="174"/>
    <x v="7"/>
    <n v="1"/>
    <n v="2011"/>
    <s v="January"/>
    <x v="12"/>
    <b v="0"/>
    <x v="0"/>
    <x v="1"/>
    <x v="2"/>
    <n v="0.18179999999999999"/>
    <n v="0.59"/>
    <n v="0.35820000000000002"/>
    <n v="8"/>
    <n v="90"/>
    <n v="98"/>
  </r>
  <r>
    <n v="175"/>
    <x v="7"/>
    <n v="1"/>
    <n v="2011"/>
    <s v="January"/>
    <x v="13"/>
    <b v="0"/>
    <x v="0"/>
    <x v="0"/>
    <x v="2"/>
    <n v="0.18179999999999999"/>
    <n v="0.44"/>
    <n v="0.32840000000000003"/>
    <n v="7"/>
    <n v="95"/>
    <n v="102"/>
  </r>
  <r>
    <n v="176"/>
    <x v="7"/>
    <n v="1"/>
    <n v="2011"/>
    <s v="January"/>
    <x v="14"/>
    <b v="0"/>
    <x v="0"/>
    <x v="0"/>
    <x v="2"/>
    <n v="0.16669999999999999"/>
    <n v="0.32"/>
    <n v="0.49249999999999999"/>
    <n v="12"/>
    <n v="83"/>
    <n v="95"/>
  </r>
  <r>
    <n v="177"/>
    <x v="7"/>
    <n v="1"/>
    <n v="2011"/>
    <s v="January"/>
    <x v="15"/>
    <b v="0"/>
    <x v="0"/>
    <x v="0"/>
    <x v="2"/>
    <n v="0.16669999999999999"/>
    <n v="0.32"/>
    <n v="0.44779999999999998"/>
    <n v="5"/>
    <n v="69"/>
    <n v="74"/>
  </r>
  <r>
    <n v="178"/>
    <x v="7"/>
    <n v="1"/>
    <n v="2011"/>
    <s v="January"/>
    <x v="16"/>
    <b v="0"/>
    <x v="0"/>
    <x v="0"/>
    <x v="15"/>
    <n v="0.13639999999999999"/>
    <n v="0.28999999999999998"/>
    <n v="0.44779999999999998"/>
    <n v="8"/>
    <n v="68"/>
    <n v="76"/>
  </r>
  <r>
    <n v="179"/>
    <x v="7"/>
    <n v="1"/>
    <n v="2011"/>
    <s v="January"/>
    <x v="17"/>
    <b v="0"/>
    <x v="0"/>
    <x v="0"/>
    <x v="13"/>
    <n v="0.1212"/>
    <n v="0.37"/>
    <n v="0.55220000000000002"/>
    <n v="5"/>
    <n v="64"/>
    <n v="69"/>
  </r>
  <r>
    <n v="180"/>
    <x v="7"/>
    <n v="1"/>
    <n v="2011"/>
    <s v="January"/>
    <x v="18"/>
    <b v="0"/>
    <x v="0"/>
    <x v="0"/>
    <x v="14"/>
    <n v="0.1212"/>
    <n v="0.39"/>
    <n v="0.29849999999999999"/>
    <n v="3"/>
    <n v="52"/>
    <n v="55"/>
  </r>
  <r>
    <n v="181"/>
    <x v="7"/>
    <n v="1"/>
    <n v="2011"/>
    <s v="January"/>
    <x v="19"/>
    <b v="0"/>
    <x v="0"/>
    <x v="0"/>
    <x v="14"/>
    <n v="0.1212"/>
    <n v="0.36"/>
    <n v="0.25369999999999998"/>
    <n v="4"/>
    <n v="26"/>
    <n v="30"/>
  </r>
  <r>
    <n v="182"/>
    <x v="7"/>
    <n v="1"/>
    <n v="2011"/>
    <s v="January"/>
    <x v="20"/>
    <b v="0"/>
    <x v="0"/>
    <x v="0"/>
    <x v="16"/>
    <n v="0.1212"/>
    <n v="0.36"/>
    <n v="0.25369999999999998"/>
    <n v="0"/>
    <n v="28"/>
    <n v="28"/>
  </r>
  <r>
    <n v="183"/>
    <x v="7"/>
    <n v="1"/>
    <n v="2011"/>
    <s v="January"/>
    <x v="21"/>
    <b v="0"/>
    <x v="0"/>
    <x v="0"/>
    <x v="16"/>
    <n v="0.1061"/>
    <n v="0.39"/>
    <n v="0.35820000000000002"/>
    <n v="2"/>
    <n v="35"/>
    <n v="37"/>
  </r>
  <r>
    <n v="184"/>
    <x v="7"/>
    <n v="1"/>
    <n v="2011"/>
    <s v="January"/>
    <x v="22"/>
    <b v="0"/>
    <x v="0"/>
    <x v="0"/>
    <x v="16"/>
    <n v="0.1061"/>
    <n v="0.36"/>
    <n v="0.3881"/>
    <n v="1"/>
    <n v="33"/>
    <n v="34"/>
  </r>
  <r>
    <n v="185"/>
    <x v="7"/>
    <n v="1"/>
    <n v="2011"/>
    <s v="January"/>
    <x v="23"/>
    <b v="0"/>
    <x v="0"/>
    <x v="0"/>
    <x v="18"/>
    <n v="6.0600000000000001E-2"/>
    <n v="0.39"/>
    <n v="0.44779999999999998"/>
    <n v="0"/>
    <n v="22"/>
    <n v="22"/>
  </r>
  <r>
    <n v="186"/>
    <x v="8"/>
    <n v="1"/>
    <n v="2011"/>
    <s v="January"/>
    <x v="0"/>
    <b v="1"/>
    <x v="1"/>
    <x v="0"/>
    <x v="18"/>
    <n v="7.5800000000000006E-2"/>
    <n v="0.42"/>
    <n v="0.3881"/>
    <n v="1"/>
    <n v="24"/>
    <n v="25"/>
  </r>
  <r>
    <n v="187"/>
    <x v="8"/>
    <n v="1"/>
    <n v="2011"/>
    <s v="January"/>
    <x v="1"/>
    <b v="1"/>
    <x v="1"/>
    <x v="0"/>
    <x v="18"/>
    <n v="6.0600000000000001E-2"/>
    <n v="0.42"/>
    <n v="0.4627"/>
    <n v="0"/>
    <n v="12"/>
    <n v="12"/>
  </r>
  <r>
    <n v="188"/>
    <x v="8"/>
    <n v="1"/>
    <n v="2011"/>
    <s v="January"/>
    <x v="2"/>
    <b v="1"/>
    <x v="1"/>
    <x v="0"/>
    <x v="18"/>
    <n v="6.0600000000000001E-2"/>
    <n v="0.46"/>
    <n v="0.4627"/>
    <n v="0"/>
    <n v="11"/>
    <n v="11"/>
  </r>
  <r>
    <n v="189"/>
    <x v="8"/>
    <n v="1"/>
    <n v="2011"/>
    <s v="January"/>
    <x v="3"/>
    <b v="1"/>
    <x v="1"/>
    <x v="0"/>
    <x v="18"/>
    <n v="7.5800000000000006E-2"/>
    <n v="0.46"/>
    <n v="0.41789999999999999"/>
    <n v="0"/>
    <n v="4"/>
    <n v="4"/>
  </r>
  <r>
    <n v="190"/>
    <x v="8"/>
    <n v="1"/>
    <n v="2011"/>
    <s v="January"/>
    <x v="4"/>
    <b v="1"/>
    <x v="1"/>
    <x v="0"/>
    <x v="19"/>
    <n v="9.0899999999999995E-2"/>
    <n v="0.53"/>
    <n v="0.19400000000000001"/>
    <n v="0"/>
    <n v="1"/>
    <n v="1"/>
  </r>
  <r>
    <n v="191"/>
    <x v="8"/>
    <n v="1"/>
    <n v="2011"/>
    <s v="January"/>
    <x v="5"/>
    <b v="1"/>
    <x v="1"/>
    <x v="0"/>
    <x v="19"/>
    <n v="9.0899999999999995E-2"/>
    <n v="0.53"/>
    <n v="0.19400000000000001"/>
    <n v="0"/>
    <n v="1"/>
    <n v="1"/>
  </r>
  <r>
    <n v="192"/>
    <x v="8"/>
    <n v="1"/>
    <n v="2011"/>
    <s v="January"/>
    <x v="6"/>
    <b v="1"/>
    <x v="1"/>
    <x v="0"/>
    <x v="18"/>
    <n v="9.0899999999999995E-2"/>
    <n v="0.49"/>
    <n v="0.28360000000000002"/>
    <n v="0"/>
    <n v="1"/>
    <n v="1"/>
  </r>
  <r>
    <n v="193"/>
    <x v="8"/>
    <n v="1"/>
    <n v="2011"/>
    <s v="January"/>
    <x v="7"/>
    <b v="1"/>
    <x v="1"/>
    <x v="0"/>
    <x v="19"/>
    <n v="9.0899999999999995E-2"/>
    <n v="0.53"/>
    <n v="0.19400000000000001"/>
    <n v="1"/>
    <n v="5"/>
    <n v="6"/>
  </r>
  <r>
    <n v="194"/>
    <x v="8"/>
    <n v="1"/>
    <n v="2011"/>
    <s v="January"/>
    <x v="8"/>
    <b v="1"/>
    <x v="1"/>
    <x v="0"/>
    <x v="18"/>
    <n v="9.0899999999999995E-2"/>
    <n v="0.49"/>
    <n v="0.28360000000000002"/>
    <n v="0"/>
    <n v="10"/>
    <n v="10"/>
  </r>
  <r>
    <n v="195"/>
    <x v="8"/>
    <n v="1"/>
    <n v="2011"/>
    <s v="January"/>
    <x v="9"/>
    <b v="1"/>
    <x v="1"/>
    <x v="0"/>
    <x v="16"/>
    <n v="7.5800000000000006E-2"/>
    <n v="0.46"/>
    <n v="0.52239999999999998"/>
    <n v="0"/>
    <n v="19"/>
    <n v="19"/>
  </r>
  <r>
    <n v="196"/>
    <x v="8"/>
    <n v="1"/>
    <n v="2011"/>
    <s v="January"/>
    <x v="10"/>
    <b v="1"/>
    <x v="1"/>
    <x v="0"/>
    <x v="14"/>
    <n v="0.1061"/>
    <n v="0.43"/>
    <n v="0.3881"/>
    <n v="0"/>
    <n v="49"/>
    <n v="49"/>
  </r>
  <r>
    <n v="197"/>
    <x v="8"/>
    <n v="1"/>
    <n v="2011"/>
    <s v="January"/>
    <x v="11"/>
    <b v="1"/>
    <x v="1"/>
    <x v="0"/>
    <x v="13"/>
    <n v="0.1212"/>
    <n v="0.4"/>
    <n v="0.52239999999999998"/>
    <n v="2"/>
    <n v="47"/>
    <n v="49"/>
  </r>
  <r>
    <n v="198"/>
    <x v="8"/>
    <n v="1"/>
    <n v="2011"/>
    <s v="January"/>
    <x v="12"/>
    <b v="1"/>
    <x v="1"/>
    <x v="0"/>
    <x v="15"/>
    <n v="0.13639999999999999"/>
    <n v="0.37"/>
    <n v="0.44779999999999998"/>
    <n v="4"/>
    <n v="79"/>
    <n v="83"/>
  </r>
  <r>
    <n v="199"/>
    <x v="8"/>
    <n v="1"/>
    <n v="2011"/>
    <s v="January"/>
    <x v="13"/>
    <b v="1"/>
    <x v="1"/>
    <x v="0"/>
    <x v="2"/>
    <n v="0.16669999999999999"/>
    <n v="0.34"/>
    <n v="0.44779999999999998"/>
    <n v="6"/>
    <n v="69"/>
    <n v="75"/>
  </r>
  <r>
    <n v="200"/>
    <x v="8"/>
    <n v="1"/>
    <n v="2011"/>
    <s v="January"/>
    <x v="14"/>
    <b v="1"/>
    <x v="1"/>
    <x v="0"/>
    <x v="1"/>
    <n v="0.18179999999999999"/>
    <n v="0.32"/>
    <n v="0.4627"/>
    <n v="8"/>
    <n v="64"/>
    <n v="72"/>
  </r>
  <r>
    <n v="201"/>
    <x v="8"/>
    <n v="1"/>
    <n v="2011"/>
    <s v="January"/>
    <x v="15"/>
    <b v="1"/>
    <x v="1"/>
    <x v="0"/>
    <x v="1"/>
    <n v="0.19700000000000001"/>
    <n v="0.35"/>
    <n v="0.35820000000000002"/>
    <n v="5"/>
    <n v="77"/>
    <n v="82"/>
  </r>
  <r>
    <n v="202"/>
    <x v="8"/>
    <n v="1"/>
    <n v="2011"/>
    <s v="January"/>
    <x v="16"/>
    <b v="1"/>
    <x v="1"/>
    <x v="0"/>
    <x v="2"/>
    <n v="0.16669999999999999"/>
    <n v="0.34"/>
    <n v="0.44779999999999998"/>
    <n v="13"/>
    <n v="79"/>
    <n v="92"/>
  </r>
  <r>
    <n v="203"/>
    <x v="8"/>
    <n v="1"/>
    <n v="2011"/>
    <s v="January"/>
    <x v="17"/>
    <b v="1"/>
    <x v="1"/>
    <x v="0"/>
    <x v="15"/>
    <n v="0.1515"/>
    <n v="0.37"/>
    <n v="0.3881"/>
    <n v="3"/>
    <n v="59"/>
    <n v="62"/>
  </r>
  <r>
    <n v="204"/>
    <x v="8"/>
    <n v="1"/>
    <n v="2011"/>
    <s v="January"/>
    <x v="18"/>
    <b v="1"/>
    <x v="1"/>
    <x v="0"/>
    <x v="13"/>
    <n v="0.13639999999999999"/>
    <n v="0.4"/>
    <n v="0.32840000000000003"/>
    <n v="4"/>
    <n v="44"/>
    <n v="48"/>
  </r>
  <r>
    <n v="205"/>
    <x v="8"/>
    <n v="1"/>
    <n v="2011"/>
    <s v="January"/>
    <x v="19"/>
    <b v="1"/>
    <x v="1"/>
    <x v="0"/>
    <x v="13"/>
    <n v="0.13639999999999999"/>
    <n v="0.43"/>
    <n v="0.32840000000000003"/>
    <n v="1"/>
    <n v="40"/>
    <n v="41"/>
  </r>
  <r>
    <n v="206"/>
    <x v="8"/>
    <n v="1"/>
    <n v="2011"/>
    <s v="January"/>
    <x v="20"/>
    <b v="1"/>
    <x v="1"/>
    <x v="0"/>
    <x v="14"/>
    <n v="0.1212"/>
    <n v="0.46"/>
    <n v="0.25369999999999998"/>
    <n v="0"/>
    <n v="38"/>
    <n v="38"/>
  </r>
  <r>
    <n v="207"/>
    <x v="8"/>
    <n v="1"/>
    <n v="2011"/>
    <s v="January"/>
    <x v="21"/>
    <b v="1"/>
    <x v="1"/>
    <x v="0"/>
    <x v="14"/>
    <n v="0.1061"/>
    <n v="0.46"/>
    <n v="0.41789999999999999"/>
    <n v="1"/>
    <n v="19"/>
    <n v="20"/>
  </r>
  <r>
    <n v="208"/>
    <x v="8"/>
    <n v="1"/>
    <n v="2011"/>
    <s v="January"/>
    <x v="22"/>
    <b v="1"/>
    <x v="1"/>
    <x v="0"/>
    <x v="14"/>
    <n v="0.1212"/>
    <n v="0.46"/>
    <n v="0.29849999999999999"/>
    <n v="5"/>
    <n v="10"/>
    <n v="15"/>
  </r>
  <r>
    <n v="209"/>
    <x v="8"/>
    <n v="1"/>
    <n v="2011"/>
    <s v="January"/>
    <x v="23"/>
    <b v="1"/>
    <x v="1"/>
    <x v="0"/>
    <x v="16"/>
    <n v="0.13639999999999999"/>
    <n v="0.5"/>
    <n v="0.19400000000000001"/>
    <n v="0"/>
    <n v="6"/>
    <n v="6"/>
  </r>
  <r>
    <n v="210"/>
    <x v="9"/>
    <n v="1"/>
    <n v="2011"/>
    <s v="January"/>
    <x v="0"/>
    <b v="0"/>
    <x v="2"/>
    <x v="0"/>
    <x v="16"/>
    <n v="0.1212"/>
    <n v="0.5"/>
    <n v="0.28360000000000002"/>
    <n v="2"/>
    <n v="3"/>
    <n v="5"/>
  </r>
  <r>
    <n v="211"/>
    <x v="9"/>
    <n v="1"/>
    <n v="2011"/>
    <s v="January"/>
    <x v="1"/>
    <b v="0"/>
    <x v="2"/>
    <x v="0"/>
    <x v="16"/>
    <n v="0.1212"/>
    <n v="0.5"/>
    <n v="0.28360000000000002"/>
    <n v="1"/>
    <n v="0"/>
    <n v="1"/>
  </r>
  <r>
    <n v="212"/>
    <x v="9"/>
    <n v="1"/>
    <n v="2011"/>
    <s v="January"/>
    <x v="2"/>
    <b v="0"/>
    <x v="2"/>
    <x v="0"/>
    <x v="16"/>
    <n v="0.1212"/>
    <n v="0.5"/>
    <n v="0.22389999999999999"/>
    <n v="0"/>
    <n v="3"/>
    <n v="3"/>
  </r>
  <r>
    <n v="213"/>
    <x v="9"/>
    <n v="1"/>
    <n v="2011"/>
    <s v="January"/>
    <x v="3"/>
    <b v="0"/>
    <x v="2"/>
    <x v="0"/>
    <x v="16"/>
    <n v="0.1212"/>
    <n v="0.5"/>
    <n v="0.22389999999999999"/>
    <n v="0"/>
    <n v="1"/>
    <n v="1"/>
  </r>
  <r>
    <n v="214"/>
    <x v="9"/>
    <n v="1"/>
    <n v="2011"/>
    <s v="January"/>
    <x v="4"/>
    <b v="0"/>
    <x v="2"/>
    <x v="0"/>
    <x v="18"/>
    <n v="0.1212"/>
    <n v="0.54"/>
    <n v="0.1343"/>
    <n v="1"/>
    <n v="2"/>
    <n v="3"/>
  </r>
  <r>
    <n v="215"/>
    <x v="9"/>
    <n v="1"/>
    <n v="2011"/>
    <s v="January"/>
    <x v="5"/>
    <b v="0"/>
    <x v="2"/>
    <x v="0"/>
    <x v="18"/>
    <n v="0.1061"/>
    <n v="0.54"/>
    <n v="0.25369999999999998"/>
    <n v="0"/>
    <n v="3"/>
    <n v="3"/>
  </r>
  <r>
    <n v="216"/>
    <x v="9"/>
    <n v="1"/>
    <n v="2011"/>
    <s v="January"/>
    <x v="6"/>
    <b v="0"/>
    <x v="2"/>
    <x v="0"/>
    <x v="16"/>
    <n v="0.1212"/>
    <n v="0.5"/>
    <n v="0.28360000000000002"/>
    <n v="0"/>
    <n v="31"/>
    <n v="31"/>
  </r>
  <r>
    <n v="217"/>
    <x v="9"/>
    <n v="1"/>
    <n v="2011"/>
    <s v="January"/>
    <x v="7"/>
    <b v="0"/>
    <x v="2"/>
    <x v="0"/>
    <x v="16"/>
    <n v="0.1212"/>
    <n v="0.5"/>
    <n v="0.22389999999999999"/>
    <n v="2"/>
    <n v="75"/>
    <n v="77"/>
  </r>
  <r>
    <n v="218"/>
    <x v="9"/>
    <n v="1"/>
    <n v="2011"/>
    <s v="January"/>
    <x v="8"/>
    <b v="0"/>
    <x v="2"/>
    <x v="1"/>
    <x v="16"/>
    <n v="0.1212"/>
    <n v="0.5"/>
    <n v="0.28360000000000002"/>
    <n v="4"/>
    <n v="184"/>
    <n v="188"/>
  </r>
  <r>
    <n v="219"/>
    <x v="9"/>
    <n v="1"/>
    <n v="2011"/>
    <s v="January"/>
    <x v="9"/>
    <b v="0"/>
    <x v="2"/>
    <x v="1"/>
    <x v="14"/>
    <n v="0.1212"/>
    <n v="0.5"/>
    <n v="0.25369999999999998"/>
    <n v="2"/>
    <n v="92"/>
    <n v="94"/>
  </r>
  <r>
    <n v="220"/>
    <x v="9"/>
    <n v="1"/>
    <n v="2011"/>
    <s v="January"/>
    <x v="10"/>
    <b v="0"/>
    <x v="2"/>
    <x v="1"/>
    <x v="14"/>
    <n v="0.1212"/>
    <n v="0.5"/>
    <n v="0.29849999999999999"/>
    <n v="0"/>
    <n v="31"/>
    <n v="31"/>
  </r>
  <r>
    <n v="221"/>
    <x v="9"/>
    <n v="1"/>
    <n v="2011"/>
    <s v="January"/>
    <x v="11"/>
    <b v="0"/>
    <x v="2"/>
    <x v="1"/>
    <x v="13"/>
    <n v="0.13639999999999999"/>
    <n v="0.47"/>
    <n v="0.28360000000000002"/>
    <n v="2"/>
    <n v="28"/>
    <n v="30"/>
  </r>
  <r>
    <n v="222"/>
    <x v="9"/>
    <n v="1"/>
    <n v="2011"/>
    <s v="January"/>
    <x v="12"/>
    <b v="0"/>
    <x v="2"/>
    <x v="1"/>
    <x v="2"/>
    <n v="0.18179999999999999"/>
    <n v="0.4"/>
    <n v="0.28360000000000002"/>
    <n v="5"/>
    <n v="47"/>
    <n v="52"/>
  </r>
  <r>
    <n v="223"/>
    <x v="9"/>
    <n v="1"/>
    <n v="2011"/>
    <s v="January"/>
    <x v="13"/>
    <b v="0"/>
    <x v="2"/>
    <x v="1"/>
    <x v="2"/>
    <n v="0.18179999999999999"/>
    <n v="0.4"/>
    <n v="0.28360000000000002"/>
    <n v="4"/>
    <n v="50"/>
    <n v="54"/>
  </r>
  <r>
    <n v="224"/>
    <x v="9"/>
    <n v="1"/>
    <n v="2011"/>
    <s v="January"/>
    <x v="14"/>
    <b v="0"/>
    <x v="2"/>
    <x v="1"/>
    <x v="2"/>
    <n v="0.19700000000000001"/>
    <n v="0.4"/>
    <n v="0.22389999999999999"/>
    <n v="0"/>
    <n v="47"/>
    <n v="47"/>
  </r>
  <r>
    <n v="225"/>
    <x v="9"/>
    <n v="1"/>
    <n v="2011"/>
    <s v="January"/>
    <x v="15"/>
    <b v="0"/>
    <x v="2"/>
    <x v="1"/>
    <x v="2"/>
    <n v="0.19700000000000001"/>
    <n v="0.4"/>
    <n v="0.22389999999999999"/>
    <n v="2"/>
    <n v="43"/>
    <n v="45"/>
  </r>
  <r>
    <n v="226"/>
    <x v="9"/>
    <n v="1"/>
    <n v="2011"/>
    <s v="January"/>
    <x v="16"/>
    <b v="0"/>
    <x v="2"/>
    <x v="0"/>
    <x v="2"/>
    <n v="0.21210000000000001"/>
    <n v="0.4"/>
    <n v="0.1343"/>
    <n v="4"/>
    <n v="70"/>
    <n v="74"/>
  </r>
  <r>
    <n v="227"/>
    <x v="9"/>
    <n v="1"/>
    <n v="2011"/>
    <s v="January"/>
    <x v="17"/>
    <b v="0"/>
    <x v="2"/>
    <x v="0"/>
    <x v="2"/>
    <n v="0.2273"/>
    <n v="0.4"/>
    <n v="0.1045"/>
    <n v="4"/>
    <n v="174"/>
    <n v="178"/>
  </r>
  <r>
    <n v="228"/>
    <x v="9"/>
    <n v="1"/>
    <n v="2011"/>
    <s v="January"/>
    <x v="18"/>
    <b v="0"/>
    <x v="2"/>
    <x v="0"/>
    <x v="2"/>
    <n v="0.19700000000000001"/>
    <n v="0.4"/>
    <n v="0.22389999999999999"/>
    <n v="1"/>
    <n v="154"/>
    <n v="155"/>
  </r>
  <r>
    <n v="229"/>
    <x v="9"/>
    <n v="1"/>
    <n v="2011"/>
    <s v="January"/>
    <x v="19"/>
    <b v="0"/>
    <x v="2"/>
    <x v="0"/>
    <x v="13"/>
    <n v="0.16669999999999999"/>
    <n v="0.47"/>
    <n v="0.16420000000000001"/>
    <n v="3"/>
    <n v="92"/>
    <n v="95"/>
  </r>
  <r>
    <n v="230"/>
    <x v="9"/>
    <n v="1"/>
    <n v="2011"/>
    <s v="January"/>
    <x v="20"/>
    <b v="0"/>
    <x v="2"/>
    <x v="0"/>
    <x v="13"/>
    <n v="0.16669999999999999"/>
    <n v="0.5"/>
    <n v="0.16420000000000001"/>
    <n v="1"/>
    <n v="73"/>
    <n v="74"/>
  </r>
  <r>
    <n v="231"/>
    <x v="9"/>
    <n v="1"/>
    <n v="2011"/>
    <s v="January"/>
    <x v="21"/>
    <b v="0"/>
    <x v="2"/>
    <x v="0"/>
    <x v="14"/>
    <n v="0.13639999999999999"/>
    <n v="0.59"/>
    <n v="0.19400000000000001"/>
    <n v="1"/>
    <n v="37"/>
    <n v="38"/>
  </r>
  <r>
    <n v="232"/>
    <x v="9"/>
    <n v="1"/>
    <n v="2011"/>
    <s v="January"/>
    <x v="22"/>
    <b v="0"/>
    <x v="2"/>
    <x v="0"/>
    <x v="14"/>
    <n v="0.1515"/>
    <n v="0.59"/>
    <n v="0.16420000000000001"/>
    <n v="2"/>
    <n v="22"/>
    <n v="24"/>
  </r>
  <r>
    <n v="233"/>
    <x v="9"/>
    <n v="1"/>
    <n v="2011"/>
    <s v="January"/>
    <x v="23"/>
    <b v="0"/>
    <x v="2"/>
    <x v="0"/>
    <x v="14"/>
    <n v="0.1515"/>
    <n v="0.59"/>
    <n v="0.16420000000000001"/>
    <n v="0"/>
    <n v="18"/>
    <n v="18"/>
  </r>
  <r>
    <n v="234"/>
    <x v="10"/>
    <n v="1"/>
    <n v="2011"/>
    <s v="January"/>
    <x v="0"/>
    <b v="0"/>
    <x v="3"/>
    <x v="0"/>
    <x v="14"/>
    <n v="0.16669999999999999"/>
    <n v="0.59"/>
    <n v="0.1045"/>
    <n v="2"/>
    <n v="10"/>
    <n v="12"/>
  </r>
  <r>
    <n v="235"/>
    <x v="10"/>
    <n v="1"/>
    <n v="2011"/>
    <s v="January"/>
    <x v="1"/>
    <b v="0"/>
    <x v="3"/>
    <x v="0"/>
    <x v="14"/>
    <n v="0.1515"/>
    <n v="0.59"/>
    <n v="0.16420000000000001"/>
    <n v="0"/>
    <n v="3"/>
    <n v="3"/>
  </r>
  <r>
    <n v="236"/>
    <x v="10"/>
    <n v="1"/>
    <n v="2011"/>
    <s v="January"/>
    <x v="2"/>
    <b v="0"/>
    <x v="3"/>
    <x v="1"/>
    <x v="13"/>
    <n v="0.1515"/>
    <n v="0.55000000000000004"/>
    <n v="0.19400000000000001"/>
    <n v="0"/>
    <n v="3"/>
    <n v="3"/>
  </r>
  <r>
    <n v="237"/>
    <x v="10"/>
    <n v="1"/>
    <n v="2011"/>
    <s v="January"/>
    <x v="5"/>
    <b v="0"/>
    <x v="3"/>
    <x v="1"/>
    <x v="13"/>
    <n v="0.18179999999999999"/>
    <n v="0.55000000000000004"/>
    <n v="0.1343"/>
    <n v="0"/>
    <n v="6"/>
    <n v="6"/>
  </r>
  <r>
    <n v="238"/>
    <x v="10"/>
    <n v="1"/>
    <n v="2011"/>
    <s v="January"/>
    <x v="6"/>
    <b v="0"/>
    <x v="3"/>
    <x v="1"/>
    <x v="13"/>
    <n v="0.18179999999999999"/>
    <n v="0.55000000000000004"/>
    <n v="0.1343"/>
    <n v="0"/>
    <n v="27"/>
    <n v="27"/>
  </r>
  <r>
    <n v="239"/>
    <x v="10"/>
    <n v="1"/>
    <n v="2011"/>
    <s v="January"/>
    <x v="7"/>
    <b v="0"/>
    <x v="3"/>
    <x v="1"/>
    <x v="13"/>
    <n v="0.2273"/>
    <n v="0.55000000000000004"/>
    <n v="0"/>
    <n v="2"/>
    <n v="97"/>
    <n v="99"/>
  </r>
  <r>
    <n v="240"/>
    <x v="10"/>
    <n v="1"/>
    <n v="2011"/>
    <s v="January"/>
    <x v="8"/>
    <b v="0"/>
    <x v="3"/>
    <x v="1"/>
    <x v="15"/>
    <n v="0.21210000000000001"/>
    <n v="0.51"/>
    <n v="8.9599999999999999E-2"/>
    <n v="3"/>
    <n v="214"/>
    <n v="217"/>
  </r>
  <r>
    <n v="241"/>
    <x v="10"/>
    <n v="1"/>
    <n v="2011"/>
    <s v="January"/>
    <x v="9"/>
    <b v="0"/>
    <x v="3"/>
    <x v="1"/>
    <x v="15"/>
    <n v="0.19700000000000001"/>
    <n v="0.51"/>
    <n v="0.16420000000000001"/>
    <n v="3"/>
    <n v="127"/>
    <n v="130"/>
  </r>
  <r>
    <n v="242"/>
    <x v="10"/>
    <n v="1"/>
    <n v="2011"/>
    <s v="January"/>
    <x v="10"/>
    <b v="0"/>
    <x v="3"/>
    <x v="1"/>
    <x v="2"/>
    <n v="0.21210000000000001"/>
    <n v="0.51"/>
    <n v="0.16420000000000001"/>
    <n v="3"/>
    <n v="51"/>
    <n v="54"/>
  </r>
  <r>
    <n v="243"/>
    <x v="10"/>
    <n v="1"/>
    <n v="2011"/>
    <s v="January"/>
    <x v="11"/>
    <b v="0"/>
    <x v="3"/>
    <x v="1"/>
    <x v="2"/>
    <n v="0.21210000000000001"/>
    <n v="0.47"/>
    <n v="0.1343"/>
    <n v="4"/>
    <n v="31"/>
    <n v="35"/>
  </r>
  <r>
    <n v="244"/>
    <x v="10"/>
    <n v="1"/>
    <n v="2011"/>
    <s v="January"/>
    <x v="12"/>
    <b v="0"/>
    <x v="3"/>
    <x v="1"/>
    <x v="2"/>
    <n v="0.2273"/>
    <n v="0.51"/>
    <n v="0.1045"/>
    <n v="2"/>
    <n v="55"/>
    <n v="57"/>
  </r>
  <r>
    <n v="245"/>
    <x v="10"/>
    <n v="1"/>
    <n v="2011"/>
    <s v="January"/>
    <x v="13"/>
    <b v="0"/>
    <x v="3"/>
    <x v="1"/>
    <x v="2"/>
    <n v="0.2273"/>
    <n v="0.59"/>
    <n v="8.9599999999999999E-2"/>
    <n v="6"/>
    <n v="46"/>
    <n v="52"/>
  </r>
  <r>
    <n v="246"/>
    <x v="10"/>
    <n v="1"/>
    <n v="2011"/>
    <s v="January"/>
    <x v="14"/>
    <b v="0"/>
    <x v="3"/>
    <x v="1"/>
    <x v="2"/>
    <n v="0.2273"/>
    <n v="0.59"/>
    <n v="8.9599999999999999E-2"/>
    <n v="3"/>
    <n v="60"/>
    <n v="63"/>
  </r>
  <r>
    <n v="247"/>
    <x v="10"/>
    <n v="1"/>
    <n v="2011"/>
    <s v="January"/>
    <x v="15"/>
    <b v="0"/>
    <x v="3"/>
    <x v="1"/>
    <x v="13"/>
    <n v="0.19700000000000001"/>
    <n v="0.8"/>
    <n v="8.9599999999999999E-2"/>
    <n v="2"/>
    <n v="45"/>
    <n v="47"/>
  </r>
  <r>
    <n v="248"/>
    <x v="10"/>
    <n v="1"/>
    <n v="2011"/>
    <s v="January"/>
    <x v="16"/>
    <b v="0"/>
    <x v="3"/>
    <x v="1"/>
    <x v="13"/>
    <n v="0.1515"/>
    <n v="0.86"/>
    <n v="0.22389999999999999"/>
    <n v="4"/>
    <n v="72"/>
    <n v="76"/>
  </r>
  <r>
    <n v="249"/>
    <x v="10"/>
    <n v="1"/>
    <n v="2011"/>
    <s v="January"/>
    <x v="17"/>
    <b v="0"/>
    <x v="3"/>
    <x v="1"/>
    <x v="13"/>
    <n v="0.1515"/>
    <n v="0.86"/>
    <n v="0.22389999999999999"/>
    <n v="6"/>
    <n v="130"/>
    <n v="136"/>
  </r>
  <r>
    <n v="250"/>
    <x v="10"/>
    <n v="1"/>
    <n v="2011"/>
    <s v="January"/>
    <x v="18"/>
    <b v="0"/>
    <x v="3"/>
    <x v="2"/>
    <x v="13"/>
    <n v="0.18179999999999999"/>
    <n v="0.93"/>
    <n v="0.1045"/>
    <n v="1"/>
    <n v="94"/>
    <n v="95"/>
  </r>
  <r>
    <n v="251"/>
    <x v="10"/>
    <n v="1"/>
    <n v="2011"/>
    <s v="January"/>
    <x v="19"/>
    <b v="0"/>
    <x v="3"/>
    <x v="2"/>
    <x v="13"/>
    <n v="0.2273"/>
    <n v="0.93"/>
    <n v="0"/>
    <n v="0"/>
    <n v="51"/>
    <n v="51"/>
  </r>
  <r>
    <n v="252"/>
    <x v="10"/>
    <n v="1"/>
    <n v="2011"/>
    <s v="January"/>
    <x v="20"/>
    <b v="0"/>
    <x v="3"/>
    <x v="2"/>
    <x v="13"/>
    <n v="0.1515"/>
    <n v="0.93"/>
    <n v="0.19400000000000001"/>
    <n v="0"/>
    <n v="32"/>
    <n v="32"/>
  </r>
  <r>
    <n v="253"/>
    <x v="10"/>
    <n v="1"/>
    <n v="2011"/>
    <s v="January"/>
    <x v="21"/>
    <b v="0"/>
    <x v="3"/>
    <x v="2"/>
    <x v="13"/>
    <n v="0.19700000000000001"/>
    <n v="0.86"/>
    <n v="8.9599999999999999E-2"/>
    <n v="0"/>
    <n v="20"/>
    <n v="20"/>
  </r>
  <r>
    <n v="254"/>
    <x v="10"/>
    <n v="1"/>
    <n v="2011"/>
    <s v="January"/>
    <x v="22"/>
    <b v="0"/>
    <x v="3"/>
    <x v="2"/>
    <x v="13"/>
    <n v="0.18179999999999999"/>
    <n v="0.93"/>
    <n v="0.1045"/>
    <n v="1"/>
    <n v="28"/>
    <n v="29"/>
  </r>
  <r>
    <n v="255"/>
    <x v="10"/>
    <n v="1"/>
    <n v="2011"/>
    <s v="January"/>
    <x v="23"/>
    <b v="0"/>
    <x v="3"/>
    <x v="2"/>
    <x v="13"/>
    <n v="0.19700000000000001"/>
    <n v="0.93"/>
    <n v="8.9599999999999999E-2"/>
    <n v="1"/>
    <n v="18"/>
    <n v="19"/>
  </r>
  <r>
    <n v="256"/>
    <x v="11"/>
    <n v="1"/>
    <n v="2011"/>
    <s v="January"/>
    <x v="0"/>
    <b v="0"/>
    <x v="4"/>
    <x v="1"/>
    <x v="13"/>
    <n v="0.19700000000000001"/>
    <n v="0.86"/>
    <n v="8.9599999999999999E-2"/>
    <n v="0"/>
    <n v="7"/>
    <n v="7"/>
  </r>
  <r>
    <n v="257"/>
    <x v="11"/>
    <n v="1"/>
    <n v="2011"/>
    <s v="January"/>
    <x v="1"/>
    <b v="0"/>
    <x v="4"/>
    <x v="1"/>
    <x v="13"/>
    <n v="0.18179999999999999"/>
    <n v="0.86"/>
    <n v="0.1045"/>
    <n v="0"/>
    <n v="6"/>
    <n v="6"/>
  </r>
  <r>
    <n v="258"/>
    <x v="11"/>
    <n v="1"/>
    <n v="2011"/>
    <s v="January"/>
    <x v="2"/>
    <b v="0"/>
    <x v="4"/>
    <x v="0"/>
    <x v="14"/>
    <n v="0.1515"/>
    <n v="0.86"/>
    <n v="0.1343"/>
    <n v="0"/>
    <n v="1"/>
    <n v="1"/>
  </r>
  <r>
    <n v="259"/>
    <x v="11"/>
    <n v="1"/>
    <n v="2011"/>
    <s v="January"/>
    <x v="5"/>
    <b v="0"/>
    <x v="4"/>
    <x v="0"/>
    <x v="14"/>
    <n v="0.1515"/>
    <n v="0.86"/>
    <n v="0.16420000000000001"/>
    <n v="0"/>
    <n v="5"/>
    <n v="5"/>
  </r>
  <r>
    <n v="260"/>
    <x v="11"/>
    <n v="1"/>
    <n v="2011"/>
    <s v="January"/>
    <x v="6"/>
    <b v="0"/>
    <x v="4"/>
    <x v="0"/>
    <x v="16"/>
    <n v="0.1515"/>
    <n v="0.93"/>
    <n v="0.1343"/>
    <n v="0"/>
    <n v="16"/>
    <n v="16"/>
  </r>
  <r>
    <n v="261"/>
    <x v="11"/>
    <n v="1"/>
    <n v="2011"/>
    <s v="January"/>
    <x v="7"/>
    <b v="0"/>
    <x v="4"/>
    <x v="0"/>
    <x v="14"/>
    <n v="0.1515"/>
    <n v="0.69"/>
    <n v="0.1343"/>
    <n v="0"/>
    <n v="54"/>
    <n v="54"/>
  </r>
  <r>
    <n v="262"/>
    <x v="11"/>
    <n v="1"/>
    <n v="2011"/>
    <s v="January"/>
    <x v="8"/>
    <b v="0"/>
    <x v="4"/>
    <x v="0"/>
    <x v="13"/>
    <n v="0.16669999999999999"/>
    <n v="0.59"/>
    <n v="0.16420000000000001"/>
    <n v="3"/>
    <n v="125"/>
    <n v="128"/>
  </r>
  <r>
    <n v="263"/>
    <x v="11"/>
    <n v="1"/>
    <n v="2011"/>
    <s v="January"/>
    <x v="9"/>
    <b v="0"/>
    <x v="4"/>
    <x v="0"/>
    <x v="13"/>
    <n v="0.13639999999999999"/>
    <n v="0.59"/>
    <n v="0.32840000000000003"/>
    <n v="3"/>
    <n v="78"/>
    <n v="81"/>
  </r>
  <r>
    <n v="264"/>
    <x v="11"/>
    <n v="1"/>
    <n v="2011"/>
    <s v="January"/>
    <x v="10"/>
    <b v="0"/>
    <x v="4"/>
    <x v="0"/>
    <x v="15"/>
    <n v="0.18179999999999999"/>
    <n v="0.55000000000000004"/>
    <n v="0.22389999999999999"/>
    <n v="0"/>
    <n v="39"/>
    <n v="39"/>
  </r>
  <r>
    <n v="265"/>
    <x v="11"/>
    <n v="1"/>
    <n v="2011"/>
    <s v="January"/>
    <x v="11"/>
    <b v="0"/>
    <x v="4"/>
    <x v="0"/>
    <x v="2"/>
    <n v="0.18179999999999999"/>
    <n v="0.51"/>
    <n v="0.3881"/>
    <n v="3"/>
    <n v="32"/>
    <n v="35"/>
  </r>
  <r>
    <n v="266"/>
    <x v="11"/>
    <n v="1"/>
    <n v="2011"/>
    <s v="January"/>
    <x v="12"/>
    <b v="0"/>
    <x v="4"/>
    <x v="0"/>
    <x v="2"/>
    <n v="0.1515"/>
    <n v="0.47"/>
    <n v="0.58209999999999995"/>
    <n v="3"/>
    <n v="52"/>
    <n v="55"/>
  </r>
  <r>
    <n v="267"/>
    <x v="11"/>
    <n v="1"/>
    <n v="2011"/>
    <s v="January"/>
    <x v="13"/>
    <b v="0"/>
    <x v="4"/>
    <x v="0"/>
    <x v="1"/>
    <n v="0.19700000000000001"/>
    <n v="0.44"/>
    <n v="0.35820000000000002"/>
    <n v="0"/>
    <n v="49"/>
    <n v="49"/>
  </r>
  <r>
    <n v="268"/>
    <x v="11"/>
    <n v="1"/>
    <n v="2011"/>
    <s v="January"/>
    <x v="14"/>
    <b v="0"/>
    <x v="4"/>
    <x v="0"/>
    <x v="2"/>
    <n v="0.18179999999999999"/>
    <n v="0.47"/>
    <n v="0.32840000000000003"/>
    <n v="0"/>
    <n v="44"/>
    <n v="44"/>
  </r>
  <r>
    <n v="269"/>
    <x v="11"/>
    <n v="1"/>
    <n v="2011"/>
    <s v="January"/>
    <x v="15"/>
    <b v="0"/>
    <x v="4"/>
    <x v="0"/>
    <x v="2"/>
    <n v="0.16669999999999999"/>
    <n v="0.47"/>
    <n v="0.41789999999999999"/>
    <n v="1"/>
    <n v="48"/>
    <n v="49"/>
  </r>
  <r>
    <n v="270"/>
    <x v="11"/>
    <n v="1"/>
    <n v="2011"/>
    <s v="January"/>
    <x v="16"/>
    <b v="0"/>
    <x v="4"/>
    <x v="0"/>
    <x v="1"/>
    <n v="0.19700000000000001"/>
    <n v="0.44"/>
    <n v="0.32840000000000003"/>
    <n v="5"/>
    <n v="63"/>
    <n v="68"/>
  </r>
  <r>
    <n v="271"/>
    <x v="11"/>
    <n v="1"/>
    <n v="2011"/>
    <s v="January"/>
    <x v="17"/>
    <b v="0"/>
    <x v="4"/>
    <x v="0"/>
    <x v="2"/>
    <n v="0.18179999999999999"/>
    <n v="0.47"/>
    <n v="0.35820000000000002"/>
    <n v="0"/>
    <n v="139"/>
    <n v="139"/>
  </r>
  <r>
    <n v="272"/>
    <x v="11"/>
    <n v="1"/>
    <n v="2011"/>
    <s v="January"/>
    <x v="18"/>
    <b v="0"/>
    <x v="4"/>
    <x v="0"/>
    <x v="2"/>
    <n v="0.1515"/>
    <n v="0.47"/>
    <n v="0.52239999999999998"/>
    <n v="2"/>
    <n v="135"/>
    <n v="137"/>
  </r>
  <r>
    <n v="273"/>
    <x v="11"/>
    <n v="1"/>
    <n v="2011"/>
    <s v="January"/>
    <x v="19"/>
    <b v="0"/>
    <x v="4"/>
    <x v="0"/>
    <x v="15"/>
    <n v="0.1515"/>
    <n v="0.47"/>
    <n v="0.41789999999999999"/>
    <n v="1"/>
    <n v="82"/>
    <n v="83"/>
  </r>
  <r>
    <n v="274"/>
    <x v="11"/>
    <n v="1"/>
    <n v="2011"/>
    <s v="January"/>
    <x v="20"/>
    <b v="0"/>
    <x v="4"/>
    <x v="0"/>
    <x v="13"/>
    <n v="0.13639999999999999"/>
    <n v="0.5"/>
    <n v="0.32840000000000003"/>
    <n v="2"/>
    <n v="54"/>
    <n v="56"/>
  </r>
  <r>
    <n v="275"/>
    <x v="11"/>
    <n v="1"/>
    <n v="2011"/>
    <s v="January"/>
    <x v="21"/>
    <b v="0"/>
    <x v="4"/>
    <x v="0"/>
    <x v="13"/>
    <n v="0.13639999999999999"/>
    <n v="0.55000000000000004"/>
    <n v="0.32840000000000003"/>
    <n v="0"/>
    <n v="57"/>
    <n v="57"/>
  </r>
  <r>
    <n v="276"/>
    <x v="11"/>
    <n v="1"/>
    <n v="2011"/>
    <s v="January"/>
    <x v="22"/>
    <b v="0"/>
    <x v="4"/>
    <x v="0"/>
    <x v="13"/>
    <n v="0.1212"/>
    <n v="0.55000000000000004"/>
    <n v="0.44779999999999998"/>
    <n v="1"/>
    <n v="32"/>
    <n v="33"/>
  </r>
  <r>
    <n v="277"/>
    <x v="11"/>
    <n v="1"/>
    <n v="2011"/>
    <s v="January"/>
    <x v="23"/>
    <b v="0"/>
    <x v="4"/>
    <x v="0"/>
    <x v="14"/>
    <n v="0.1061"/>
    <n v="0.59"/>
    <n v="0.41789999999999999"/>
    <n v="1"/>
    <n v="19"/>
    <n v="20"/>
  </r>
  <r>
    <n v="278"/>
    <x v="12"/>
    <n v="1"/>
    <n v="2011"/>
    <s v="January"/>
    <x v="0"/>
    <b v="0"/>
    <x v="5"/>
    <x v="0"/>
    <x v="14"/>
    <n v="0.1212"/>
    <n v="0.59"/>
    <n v="0.28360000000000002"/>
    <n v="1"/>
    <n v="6"/>
    <n v="7"/>
  </r>
  <r>
    <n v="279"/>
    <x v="12"/>
    <n v="1"/>
    <n v="2011"/>
    <s v="January"/>
    <x v="1"/>
    <b v="0"/>
    <x v="5"/>
    <x v="0"/>
    <x v="14"/>
    <n v="0.1212"/>
    <n v="0.5"/>
    <n v="0.28360000000000002"/>
    <n v="0"/>
    <n v="2"/>
    <n v="2"/>
  </r>
  <r>
    <n v="280"/>
    <x v="12"/>
    <n v="1"/>
    <n v="2011"/>
    <s v="January"/>
    <x v="2"/>
    <b v="0"/>
    <x v="5"/>
    <x v="0"/>
    <x v="14"/>
    <n v="0.1212"/>
    <n v="0.5"/>
    <n v="0.35820000000000002"/>
    <n v="0"/>
    <n v="2"/>
    <n v="2"/>
  </r>
  <r>
    <n v="281"/>
    <x v="12"/>
    <n v="1"/>
    <n v="2011"/>
    <s v="January"/>
    <x v="3"/>
    <b v="0"/>
    <x v="5"/>
    <x v="0"/>
    <x v="14"/>
    <n v="0.1212"/>
    <n v="0.5"/>
    <n v="0.32840000000000003"/>
    <n v="0"/>
    <n v="3"/>
    <n v="3"/>
  </r>
  <r>
    <n v="282"/>
    <x v="12"/>
    <n v="1"/>
    <n v="2011"/>
    <s v="January"/>
    <x v="4"/>
    <b v="0"/>
    <x v="5"/>
    <x v="0"/>
    <x v="14"/>
    <n v="0.1212"/>
    <n v="0.5"/>
    <n v="0.25369999999999998"/>
    <n v="0"/>
    <n v="4"/>
    <n v="4"/>
  </r>
  <r>
    <n v="283"/>
    <x v="12"/>
    <n v="1"/>
    <n v="2011"/>
    <s v="January"/>
    <x v="5"/>
    <b v="0"/>
    <x v="5"/>
    <x v="0"/>
    <x v="14"/>
    <n v="0.1212"/>
    <n v="0.5"/>
    <n v="0.29849999999999999"/>
    <n v="0"/>
    <n v="3"/>
    <n v="3"/>
  </r>
  <r>
    <n v="284"/>
    <x v="12"/>
    <n v="1"/>
    <n v="2011"/>
    <s v="January"/>
    <x v="6"/>
    <b v="0"/>
    <x v="5"/>
    <x v="0"/>
    <x v="16"/>
    <n v="0.1515"/>
    <n v="0.54"/>
    <n v="0.1343"/>
    <n v="0"/>
    <n v="28"/>
    <n v="28"/>
  </r>
  <r>
    <n v="285"/>
    <x v="12"/>
    <n v="1"/>
    <n v="2011"/>
    <s v="January"/>
    <x v="7"/>
    <b v="0"/>
    <x v="5"/>
    <x v="0"/>
    <x v="16"/>
    <n v="0.1515"/>
    <n v="0.54"/>
    <n v="0.1343"/>
    <n v="0"/>
    <n v="72"/>
    <n v="72"/>
  </r>
  <r>
    <n v="286"/>
    <x v="12"/>
    <n v="1"/>
    <n v="2011"/>
    <s v="January"/>
    <x v="8"/>
    <b v="0"/>
    <x v="5"/>
    <x v="0"/>
    <x v="14"/>
    <n v="0.13639999999999999"/>
    <n v="0.5"/>
    <n v="0.19400000000000001"/>
    <n v="5"/>
    <n v="197"/>
    <n v="202"/>
  </r>
  <r>
    <n v="287"/>
    <x v="12"/>
    <n v="1"/>
    <n v="2011"/>
    <s v="January"/>
    <x v="9"/>
    <b v="0"/>
    <x v="5"/>
    <x v="0"/>
    <x v="14"/>
    <n v="0.1212"/>
    <n v="0.5"/>
    <n v="0.32840000000000003"/>
    <n v="2"/>
    <n v="137"/>
    <n v="139"/>
  </r>
  <r>
    <n v="288"/>
    <x v="12"/>
    <n v="1"/>
    <n v="2011"/>
    <s v="January"/>
    <x v="10"/>
    <b v="0"/>
    <x v="5"/>
    <x v="1"/>
    <x v="13"/>
    <n v="0.13639999999999999"/>
    <n v="0.5"/>
    <n v="0.35820000000000002"/>
    <n v="2"/>
    <n v="36"/>
    <n v="38"/>
  </r>
  <r>
    <n v="289"/>
    <x v="12"/>
    <n v="1"/>
    <n v="2011"/>
    <s v="January"/>
    <x v="11"/>
    <b v="0"/>
    <x v="5"/>
    <x v="1"/>
    <x v="2"/>
    <n v="0.16669999999999999"/>
    <n v="0.44"/>
    <n v="0.44779999999999998"/>
    <n v="4"/>
    <n v="33"/>
    <n v="37"/>
  </r>
  <r>
    <n v="290"/>
    <x v="12"/>
    <n v="1"/>
    <n v="2011"/>
    <s v="January"/>
    <x v="12"/>
    <b v="0"/>
    <x v="5"/>
    <x v="0"/>
    <x v="2"/>
    <n v="0.16669999999999999"/>
    <n v="0.44"/>
    <n v="0.41789999999999999"/>
    <n v="3"/>
    <n v="49"/>
    <n v="52"/>
  </r>
  <r>
    <n v="291"/>
    <x v="12"/>
    <n v="1"/>
    <n v="2011"/>
    <s v="January"/>
    <x v="13"/>
    <b v="0"/>
    <x v="5"/>
    <x v="0"/>
    <x v="1"/>
    <n v="0.19700000000000001"/>
    <n v="0.41"/>
    <n v="0.44779999999999998"/>
    <n v="2"/>
    <n v="81"/>
    <n v="83"/>
  </r>
  <r>
    <n v="292"/>
    <x v="12"/>
    <n v="1"/>
    <n v="2011"/>
    <s v="January"/>
    <x v="14"/>
    <b v="0"/>
    <x v="5"/>
    <x v="0"/>
    <x v="1"/>
    <n v="0.19700000000000001"/>
    <n v="0.41"/>
    <n v="0.3881"/>
    <n v="3"/>
    <n v="39"/>
    <n v="42"/>
  </r>
  <r>
    <n v="293"/>
    <x v="12"/>
    <n v="1"/>
    <n v="2011"/>
    <s v="January"/>
    <x v="15"/>
    <b v="0"/>
    <x v="5"/>
    <x v="0"/>
    <x v="0"/>
    <n v="0.21210000000000001"/>
    <n v="0.38"/>
    <n v="0.29849999999999999"/>
    <n v="5"/>
    <n v="55"/>
    <n v="60"/>
  </r>
  <r>
    <n v="294"/>
    <x v="12"/>
    <n v="1"/>
    <n v="2011"/>
    <s v="January"/>
    <x v="16"/>
    <b v="0"/>
    <x v="5"/>
    <x v="0"/>
    <x v="0"/>
    <n v="0.21210000000000001"/>
    <n v="0.38"/>
    <n v="0.35820000000000002"/>
    <n v="2"/>
    <n v="76"/>
    <n v="78"/>
  </r>
  <r>
    <n v="295"/>
    <x v="12"/>
    <n v="1"/>
    <n v="2011"/>
    <s v="January"/>
    <x v="17"/>
    <b v="0"/>
    <x v="5"/>
    <x v="0"/>
    <x v="2"/>
    <n v="0.18179999999999999"/>
    <n v="0.4"/>
    <n v="0.28360000000000002"/>
    <n v="4"/>
    <n v="158"/>
    <n v="162"/>
  </r>
  <r>
    <n v="296"/>
    <x v="12"/>
    <n v="1"/>
    <n v="2011"/>
    <s v="January"/>
    <x v="18"/>
    <b v="0"/>
    <x v="5"/>
    <x v="0"/>
    <x v="2"/>
    <n v="0.18179999999999999"/>
    <n v="0.4"/>
    <n v="0.32840000000000003"/>
    <n v="3"/>
    <n v="141"/>
    <n v="144"/>
  </r>
  <r>
    <n v="297"/>
    <x v="12"/>
    <n v="1"/>
    <n v="2011"/>
    <s v="January"/>
    <x v="19"/>
    <b v="0"/>
    <x v="5"/>
    <x v="0"/>
    <x v="13"/>
    <n v="0.1515"/>
    <n v="0.47"/>
    <n v="0.25369999999999998"/>
    <n v="1"/>
    <n v="98"/>
    <n v="99"/>
  </r>
  <r>
    <n v="298"/>
    <x v="12"/>
    <n v="1"/>
    <n v="2011"/>
    <s v="January"/>
    <x v="20"/>
    <b v="0"/>
    <x v="5"/>
    <x v="0"/>
    <x v="13"/>
    <n v="0.1515"/>
    <n v="0.47"/>
    <n v="0.22389999999999999"/>
    <n v="0"/>
    <n v="64"/>
    <n v="64"/>
  </r>
  <r>
    <n v="299"/>
    <x v="12"/>
    <n v="1"/>
    <n v="2011"/>
    <s v="January"/>
    <x v="21"/>
    <b v="0"/>
    <x v="5"/>
    <x v="0"/>
    <x v="14"/>
    <n v="0.1212"/>
    <n v="0.46"/>
    <n v="0.29849999999999999"/>
    <n v="0"/>
    <n v="40"/>
    <n v="40"/>
  </r>
  <r>
    <n v="300"/>
    <x v="12"/>
    <n v="1"/>
    <n v="2011"/>
    <s v="January"/>
    <x v="22"/>
    <b v="0"/>
    <x v="5"/>
    <x v="0"/>
    <x v="14"/>
    <n v="0.1212"/>
    <n v="0.46"/>
    <n v="0.32840000000000003"/>
    <n v="0"/>
    <n v="30"/>
    <n v="30"/>
  </r>
  <r>
    <n v="301"/>
    <x v="12"/>
    <n v="1"/>
    <n v="2011"/>
    <s v="January"/>
    <x v="23"/>
    <b v="0"/>
    <x v="5"/>
    <x v="0"/>
    <x v="16"/>
    <n v="0.13639999999999999"/>
    <n v="0.5"/>
    <n v="0.19400000000000001"/>
    <n v="1"/>
    <n v="14"/>
    <n v="15"/>
  </r>
  <r>
    <n v="302"/>
    <x v="13"/>
    <n v="1"/>
    <n v="2011"/>
    <s v="January"/>
    <x v="0"/>
    <b v="0"/>
    <x v="6"/>
    <x v="0"/>
    <x v="16"/>
    <n v="0.13639999999999999"/>
    <n v="0.5"/>
    <n v="0.19400000000000001"/>
    <n v="0"/>
    <n v="14"/>
    <n v="14"/>
  </r>
  <r>
    <n v="303"/>
    <x v="13"/>
    <n v="1"/>
    <n v="2011"/>
    <s v="January"/>
    <x v="1"/>
    <b v="0"/>
    <x v="6"/>
    <x v="0"/>
    <x v="18"/>
    <n v="0.1212"/>
    <n v="0.54"/>
    <n v="0.16420000000000001"/>
    <n v="0"/>
    <n v="5"/>
    <n v="5"/>
  </r>
  <r>
    <n v="304"/>
    <x v="13"/>
    <n v="1"/>
    <n v="2011"/>
    <s v="January"/>
    <x v="2"/>
    <b v="0"/>
    <x v="6"/>
    <x v="0"/>
    <x v="18"/>
    <n v="0.1212"/>
    <n v="0.54"/>
    <n v="0.1343"/>
    <n v="0"/>
    <n v="1"/>
    <n v="1"/>
  </r>
  <r>
    <n v="305"/>
    <x v="13"/>
    <n v="1"/>
    <n v="2011"/>
    <s v="January"/>
    <x v="3"/>
    <b v="0"/>
    <x v="6"/>
    <x v="0"/>
    <x v="18"/>
    <n v="0.13639999999999999"/>
    <n v="0.54"/>
    <n v="0.1045"/>
    <n v="0"/>
    <n v="1"/>
    <n v="1"/>
  </r>
  <r>
    <n v="306"/>
    <x v="13"/>
    <n v="1"/>
    <n v="2011"/>
    <s v="January"/>
    <x v="5"/>
    <b v="0"/>
    <x v="6"/>
    <x v="0"/>
    <x v="18"/>
    <n v="0.13639999999999999"/>
    <n v="0.54"/>
    <n v="8.9599999999999999E-2"/>
    <n v="0"/>
    <n v="8"/>
    <n v="8"/>
  </r>
  <r>
    <n v="307"/>
    <x v="13"/>
    <n v="1"/>
    <n v="2011"/>
    <s v="January"/>
    <x v="6"/>
    <b v="0"/>
    <x v="6"/>
    <x v="0"/>
    <x v="18"/>
    <n v="0.18179999999999999"/>
    <n v="0.54"/>
    <n v="0"/>
    <n v="0"/>
    <n v="17"/>
    <n v="17"/>
  </r>
  <r>
    <n v="308"/>
    <x v="13"/>
    <n v="1"/>
    <n v="2011"/>
    <s v="January"/>
    <x v="7"/>
    <b v="0"/>
    <x v="6"/>
    <x v="0"/>
    <x v="18"/>
    <n v="0.1212"/>
    <n v="0.74"/>
    <n v="0.16420000000000001"/>
    <n v="0"/>
    <n v="70"/>
    <n v="70"/>
  </r>
  <r>
    <n v="309"/>
    <x v="13"/>
    <n v="1"/>
    <n v="2011"/>
    <s v="January"/>
    <x v="8"/>
    <b v="0"/>
    <x v="6"/>
    <x v="0"/>
    <x v="16"/>
    <n v="0.16669999999999999"/>
    <n v="0.68"/>
    <n v="0"/>
    <n v="2"/>
    <n v="156"/>
    <n v="158"/>
  </r>
  <r>
    <n v="310"/>
    <x v="13"/>
    <n v="1"/>
    <n v="2011"/>
    <s v="January"/>
    <x v="9"/>
    <b v="0"/>
    <x v="6"/>
    <x v="0"/>
    <x v="14"/>
    <n v="0.1515"/>
    <n v="0.69"/>
    <n v="0.1343"/>
    <n v="0"/>
    <n v="117"/>
    <n v="117"/>
  </r>
  <r>
    <n v="311"/>
    <x v="13"/>
    <n v="1"/>
    <n v="2011"/>
    <s v="January"/>
    <x v="10"/>
    <b v="0"/>
    <x v="6"/>
    <x v="0"/>
    <x v="15"/>
    <n v="0.18179999999999999"/>
    <n v="0.55000000000000004"/>
    <n v="0.19400000000000001"/>
    <n v="4"/>
    <n v="40"/>
    <n v="44"/>
  </r>
  <r>
    <n v="312"/>
    <x v="13"/>
    <n v="1"/>
    <n v="2011"/>
    <s v="January"/>
    <x v="11"/>
    <b v="0"/>
    <x v="6"/>
    <x v="0"/>
    <x v="15"/>
    <n v="0.16669999999999999"/>
    <n v="0.51"/>
    <n v="0.28360000000000002"/>
    <n v="6"/>
    <n v="47"/>
    <n v="53"/>
  </r>
  <r>
    <n v="313"/>
    <x v="13"/>
    <n v="1"/>
    <n v="2011"/>
    <s v="January"/>
    <x v="12"/>
    <b v="0"/>
    <x v="6"/>
    <x v="0"/>
    <x v="2"/>
    <n v="0.19700000000000001"/>
    <n v="0.44"/>
    <n v="0.25369999999999998"/>
    <n v="2"/>
    <n v="59"/>
    <n v="61"/>
  </r>
  <r>
    <n v="314"/>
    <x v="13"/>
    <n v="1"/>
    <n v="2011"/>
    <s v="January"/>
    <x v="13"/>
    <b v="0"/>
    <x v="6"/>
    <x v="0"/>
    <x v="1"/>
    <n v="0.19700000000000001"/>
    <n v="0.37"/>
    <n v="0.3881"/>
    <n v="4"/>
    <n v="73"/>
    <n v="77"/>
  </r>
  <r>
    <n v="315"/>
    <x v="13"/>
    <n v="1"/>
    <n v="2011"/>
    <s v="January"/>
    <x v="14"/>
    <b v="0"/>
    <x v="6"/>
    <x v="0"/>
    <x v="1"/>
    <n v="0.21210000000000001"/>
    <n v="0.41"/>
    <n v="0.28360000000000002"/>
    <n v="5"/>
    <n v="59"/>
    <n v="64"/>
  </r>
  <r>
    <n v="316"/>
    <x v="13"/>
    <n v="1"/>
    <n v="2011"/>
    <s v="January"/>
    <x v="15"/>
    <b v="0"/>
    <x v="6"/>
    <x v="0"/>
    <x v="0"/>
    <n v="0.2424"/>
    <n v="0.38"/>
    <n v="0.16420000000000001"/>
    <n v="9"/>
    <n v="59"/>
    <n v="68"/>
  </r>
  <r>
    <n v="317"/>
    <x v="13"/>
    <n v="1"/>
    <n v="2011"/>
    <s v="January"/>
    <x v="16"/>
    <b v="0"/>
    <x v="6"/>
    <x v="0"/>
    <x v="1"/>
    <n v="0.2424"/>
    <n v="0.41"/>
    <n v="0.1045"/>
    <n v="3"/>
    <n v="87"/>
    <n v="90"/>
  </r>
  <r>
    <n v="318"/>
    <x v="13"/>
    <n v="1"/>
    <n v="2011"/>
    <s v="January"/>
    <x v="17"/>
    <b v="0"/>
    <x v="6"/>
    <x v="0"/>
    <x v="1"/>
    <n v="0.2273"/>
    <n v="0.41"/>
    <n v="0.16420000000000001"/>
    <n v="4"/>
    <n v="155"/>
    <n v="159"/>
  </r>
  <r>
    <n v="319"/>
    <x v="13"/>
    <n v="1"/>
    <n v="2011"/>
    <s v="January"/>
    <x v="18"/>
    <b v="0"/>
    <x v="6"/>
    <x v="0"/>
    <x v="2"/>
    <n v="0.2576"/>
    <n v="0.47"/>
    <n v="0"/>
    <n v="5"/>
    <n v="134"/>
    <n v="139"/>
  </r>
  <r>
    <n v="320"/>
    <x v="13"/>
    <n v="1"/>
    <n v="2011"/>
    <s v="January"/>
    <x v="19"/>
    <b v="0"/>
    <x v="6"/>
    <x v="0"/>
    <x v="13"/>
    <n v="0.19700000000000001"/>
    <n v="0.59"/>
    <n v="8.9599999999999999E-2"/>
    <n v="3"/>
    <n v="89"/>
    <n v="92"/>
  </r>
  <r>
    <n v="321"/>
    <x v="13"/>
    <n v="1"/>
    <n v="2011"/>
    <s v="January"/>
    <x v="20"/>
    <b v="0"/>
    <x v="6"/>
    <x v="0"/>
    <x v="15"/>
    <n v="0.2424"/>
    <n v="0.59"/>
    <n v="0"/>
    <n v="0"/>
    <n v="68"/>
    <n v="68"/>
  </r>
  <r>
    <n v="322"/>
    <x v="13"/>
    <n v="1"/>
    <n v="2011"/>
    <s v="January"/>
    <x v="21"/>
    <b v="0"/>
    <x v="6"/>
    <x v="0"/>
    <x v="13"/>
    <n v="0.2273"/>
    <n v="0.69"/>
    <n v="0"/>
    <n v="4"/>
    <n v="48"/>
    <n v="52"/>
  </r>
  <r>
    <n v="323"/>
    <x v="13"/>
    <n v="1"/>
    <n v="2011"/>
    <s v="January"/>
    <x v="22"/>
    <b v="0"/>
    <x v="6"/>
    <x v="1"/>
    <x v="13"/>
    <n v="0.2273"/>
    <n v="0.69"/>
    <n v="0"/>
    <n v="2"/>
    <n v="34"/>
    <n v="36"/>
  </r>
  <r>
    <n v="324"/>
    <x v="13"/>
    <n v="1"/>
    <n v="2011"/>
    <s v="January"/>
    <x v="23"/>
    <b v="0"/>
    <x v="6"/>
    <x v="1"/>
    <x v="15"/>
    <n v="0.2424"/>
    <n v="0.55000000000000004"/>
    <n v="0"/>
    <n v="1"/>
    <n v="26"/>
    <n v="27"/>
  </r>
  <r>
    <n v="325"/>
    <x v="14"/>
    <n v="1"/>
    <n v="2011"/>
    <s v="January"/>
    <x v="0"/>
    <b v="0"/>
    <x v="0"/>
    <x v="0"/>
    <x v="15"/>
    <n v="0.2424"/>
    <n v="0.55000000000000004"/>
    <n v="0"/>
    <n v="3"/>
    <n v="25"/>
    <n v="28"/>
  </r>
  <r>
    <n v="326"/>
    <x v="14"/>
    <n v="1"/>
    <n v="2011"/>
    <s v="January"/>
    <x v="1"/>
    <b v="0"/>
    <x v="0"/>
    <x v="1"/>
    <x v="13"/>
    <n v="0.19700000000000001"/>
    <n v="0.59"/>
    <n v="8.9599999999999999E-2"/>
    <n v="2"/>
    <n v="18"/>
    <n v="20"/>
  </r>
  <r>
    <n v="327"/>
    <x v="14"/>
    <n v="1"/>
    <n v="2011"/>
    <s v="January"/>
    <x v="2"/>
    <b v="0"/>
    <x v="0"/>
    <x v="1"/>
    <x v="13"/>
    <n v="0.19700000000000001"/>
    <n v="0.59"/>
    <n v="8.9599999999999999E-2"/>
    <n v="0"/>
    <n v="12"/>
    <n v="12"/>
  </r>
  <r>
    <n v="328"/>
    <x v="14"/>
    <n v="1"/>
    <n v="2011"/>
    <s v="January"/>
    <x v="3"/>
    <b v="0"/>
    <x v="0"/>
    <x v="1"/>
    <x v="13"/>
    <n v="0.2273"/>
    <n v="0.59"/>
    <n v="0"/>
    <n v="1"/>
    <n v="7"/>
    <n v="8"/>
  </r>
  <r>
    <n v="329"/>
    <x v="14"/>
    <n v="1"/>
    <n v="2011"/>
    <s v="January"/>
    <x v="4"/>
    <b v="0"/>
    <x v="0"/>
    <x v="1"/>
    <x v="13"/>
    <n v="0.2273"/>
    <n v="0.59"/>
    <n v="0"/>
    <n v="0"/>
    <n v="5"/>
    <n v="5"/>
  </r>
  <r>
    <n v="330"/>
    <x v="14"/>
    <n v="1"/>
    <n v="2011"/>
    <s v="January"/>
    <x v="5"/>
    <b v="0"/>
    <x v="0"/>
    <x v="0"/>
    <x v="13"/>
    <n v="0.2273"/>
    <n v="0.59"/>
    <n v="0"/>
    <n v="0"/>
    <n v="1"/>
    <n v="1"/>
  </r>
  <r>
    <n v="331"/>
    <x v="14"/>
    <n v="1"/>
    <n v="2011"/>
    <s v="January"/>
    <x v="6"/>
    <b v="0"/>
    <x v="0"/>
    <x v="0"/>
    <x v="14"/>
    <n v="0.16669999999999999"/>
    <n v="0.63"/>
    <n v="0.1045"/>
    <n v="1"/>
    <n v="2"/>
    <n v="3"/>
  </r>
  <r>
    <n v="332"/>
    <x v="14"/>
    <n v="1"/>
    <n v="2011"/>
    <s v="January"/>
    <x v="7"/>
    <b v="0"/>
    <x v="0"/>
    <x v="0"/>
    <x v="14"/>
    <n v="0.21210000000000001"/>
    <n v="0.63"/>
    <n v="0"/>
    <n v="1"/>
    <n v="9"/>
    <n v="10"/>
  </r>
  <r>
    <n v="333"/>
    <x v="14"/>
    <n v="1"/>
    <n v="2011"/>
    <s v="January"/>
    <x v="8"/>
    <b v="0"/>
    <x v="0"/>
    <x v="0"/>
    <x v="14"/>
    <n v="0.1515"/>
    <n v="0.63"/>
    <n v="0.1343"/>
    <n v="1"/>
    <n v="22"/>
    <n v="23"/>
  </r>
  <r>
    <n v="334"/>
    <x v="14"/>
    <n v="1"/>
    <n v="2011"/>
    <s v="January"/>
    <x v="9"/>
    <b v="0"/>
    <x v="0"/>
    <x v="0"/>
    <x v="13"/>
    <n v="0.18179999999999999"/>
    <n v="0.64"/>
    <n v="0.1343"/>
    <n v="2"/>
    <n v="31"/>
    <n v="33"/>
  </r>
  <r>
    <n v="335"/>
    <x v="14"/>
    <n v="1"/>
    <n v="2011"/>
    <s v="January"/>
    <x v="10"/>
    <b v="0"/>
    <x v="0"/>
    <x v="0"/>
    <x v="15"/>
    <n v="0.19700000000000001"/>
    <n v="0.59"/>
    <n v="0.16420000000000001"/>
    <n v="2"/>
    <n v="57"/>
    <n v="59"/>
  </r>
  <r>
    <n v="336"/>
    <x v="14"/>
    <n v="1"/>
    <n v="2011"/>
    <s v="January"/>
    <x v="11"/>
    <b v="0"/>
    <x v="0"/>
    <x v="0"/>
    <x v="2"/>
    <n v="0.19700000000000001"/>
    <n v="0.55000000000000004"/>
    <n v="0.22389999999999999"/>
    <n v="18"/>
    <n v="54"/>
    <n v="72"/>
  </r>
  <r>
    <n v="337"/>
    <x v="14"/>
    <n v="1"/>
    <n v="2011"/>
    <s v="January"/>
    <x v="12"/>
    <b v="0"/>
    <x v="0"/>
    <x v="0"/>
    <x v="0"/>
    <n v="0.2273"/>
    <n v="0.48"/>
    <n v="0.22389999999999999"/>
    <n v="15"/>
    <n v="74"/>
    <n v="89"/>
  </r>
  <r>
    <n v="338"/>
    <x v="14"/>
    <n v="1"/>
    <n v="2011"/>
    <s v="January"/>
    <x v="13"/>
    <b v="0"/>
    <x v="0"/>
    <x v="0"/>
    <x v="17"/>
    <n v="0.2576"/>
    <n v="0.38"/>
    <n v="0.29849999999999999"/>
    <n v="21"/>
    <n v="80"/>
    <n v="101"/>
  </r>
  <r>
    <n v="339"/>
    <x v="14"/>
    <n v="1"/>
    <n v="2011"/>
    <s v="January"/>
    <x v="14"/>
    <b v="0"/>
    <x v="0"/>
    <x v="0"/>
    <x v="11"/>
    <n v="0.28789999999999999"/>
    <n v="0.39"/>
    <n v="0.28360000000000002"/>
    <n v="26"/>
    <n v="92"/>
    <n v="118"/>
  </r>
  <r>
    <n v="340"/>
    <x v="14"/>
    <n v="1"/>
    <n v="2011"/>
    <s v="January"/>
    <x v="15"/>
    <b v="0"/>
    <x v="0"/>
    <x v="1"/>
    <x v="3"/>
    <n v="0.31819999999999998"/>
    <n v="0.36"/>
    <n v="0.19400000000000001"/>
    <n v="21"/>
    <n v="108"/>
    <n v="129"/>
  </r>
  <r>
    <n v="341"/>
    <x v="14"/>
    <n v="1"/>
    <n v="2011"/>
    <s v="January"/>
    <x v="16"/>
    <b v="0"/>
    <x v="0"/>
    <x v="1"/>
    <x v="10"/>
    <n v="0.33329999999999999"/>
    <n v="0.34"/>
    <n v="0.19400000000000001"/>
    <n v="33"/>
    <n v="95"/>
    <n v="128"/>
  </r>
  <r>
    <n v="342"/>
    <x v="14"/>
    <n v="1"/>
    <n v="2011"/>
    <s v="January"/>
    <x v="17"/>
    <b v="0"/>
    <x v="0"/>
    <x v="1"/>
    <x v="3"/>
    <n v="0.30299999999999999"/>
    <n v="0.36"/>
    <n v="0.28360000000000002"/>
    <n v="29"/>
    <n v="54"/>
    <n v="83"/>
  </r>
  <r>
    <n v="343"/>
    <x v="14"/>
    <n v="1"/>
    <n v="2011"/>
    <s v="January"/>
    <x v="18"/>
    <b v="0"/>
    <x v="0"/>
    <x v="1"/>
    <x v="11"/>
    <n v="0.28789999999999999"/>
    <n v="0.45"/>
    <n v="0.25369999999999998"/>
    <n v="15"/>
    <n v="69"/>
    <n v="84"/>
  </r>
  <r>
    <n v="344"/>
    <x v="14"/>
    <n v="1"/>
    <n v="2011"/>
    <s v="January"/>
    <x v="19"/>
    <b v="0"/>
    <x v="0"/>
    <x v="1"/>
    <x v="3"/>
    <n v="0.30299999999999999"/>
    <n v="0.39"/>
    <n v="0.25369999999999998"/>
    <n v="14"/>
    <n v="60"/>
    <n v="74"/>
  </r>
  <r>
    <n v="345"/>
    <x v="14"/>
    <n v="1"/>
    <n v="2011"/>
    <s v="January"/>
    <x v="20"/>
    <b v="0"/>
    <x v="0"/>
    <x v="1"/>
    <x v="3"/>
    <n v="0.30299999999999999"/>
    <n v="0.39"/>
    <n v="0.25369999999999998"/>
    <n v="6"/>
    <n v="35"/>
    <n v="41"/>
  </r>
  <r>
    <n v="346"/>
    <x v="14"/>
    <n v="1"/>
    <n v="2011"/>
    <s v="January"/>
    <x v="21"/>
    <b v="0"/>
    <x v="0"/>
    <x v="1"/>
    <x v="3"/>
    <n v="0.30299999999999999"/>
    <n v="0.39"/>
    <n v="0.22389999999999999"/>
    <n v="6"/>
    <n v="51"/>
    <n v="57"/>
  </r>
  <r>
    <n v="347"/>
    <x v="14"/>
    <n v="1"/>
    <n v="2011"/>
    <s v="January"/>
    <x v="22"/>
    <b v="0"/>
    <x v="0"/>
    <x v="1"/>
    <x v="11"/>
    <n v="0.31819999999999998"/>
    <n v="0.42"/>
    <n v="0.1045"/>
    <n v="0"/>
    <n v="26"/>
    <n v="26"/>
  </r>
  <r>
    <n v="348"/>
    <x v="14"/>
    <n v="1"/>
    <n v="2011"/>
    <s v="January"/>
    <x v="23"/>
    <b v="0"/>
    <x v="0"/>
    <x v="0"/>
    <x v="11"/>
    <n v="0.28789999999999999"/>
    <n v="0.45"/>
    <n v="0.28360000000000002"/>
    <n v="5"/>
    <n v="39"/>
    <n v="44"/>
  </r>
  <r>
    <n v="349"/>
    <x v="15"/>
    <n v="1"/>
    <n v="2011"/>
    <s v="January"/>
    <x v="0"/>
    <b v="1"/>
    <x v="1"/>
    <x v="0"/>
    <x v="12"/>
    <n v="0.30299999999999999"/>
    <n v="0.56000000000000005"/>
    <n v="0"/>
    <n v="6"/>
    <n v="33"/>
    <n v="39"/>
  </r>
  <r>
    <n v="350"/>
    <x v="15"/>
    <n v="1"/>
    <n v="2011"/>
    <s v="January"/>
    <x v="1"/>
    <b v="1"/>
    <x v="1"/>
    <x v="0"/>
    <x v="12"/>
    <n v="0.2727"/>
    <n v="0.56000000000000005"/>
    <n v="0.1343"/>
    <n v="4"/>
    <n v="19"/>
    <n v="23"/>
  </r>
  <r>
    <n v="351"/>
    <x v="15"/>
    <n v="1"/>
    <n v="2011"/>
    <s v="January"/>
    <x v="2"/>
    <b v="1"/>
    <x v="1"/>
    <x v="0"/>
    <x v="12"/>
    <n v="0.28789999999999999"/>
    <n v="0.56000000000000005"/>
    <n v="8.9599999999999999E-2"/>
    <n v="3"/>
    <n v="13"/>
    <n v="16"/>
  </r>
  <r>
    <n v="352"/>
    <x v="15"/>
    <n v="1"/>
    <n v="2011"/>
    <s v="January"/>
    <x v="3"/>
    <b v="1"/>
    <x v="1"/>
    <x v="0"/>
    <x v="1"/>
    <n v="0.2727"/>
    <n v="0.69"/>
    <n v="0"/>
    <n v="9"/>
    <n v="6"/>
    <n v="15"/>
  </r>
  <r>
    <n v="353"/>
    <x v="15"/>
    <n v="1"/>
    <n v="2011"/>
    <s v="January"/>
    <x v="4"/>
    <b v="1"/>
    <x v="1"/>
    <x v="0"/>
    <x v="12"/>
    <n v="0.2576"/>
    <n v="0.56000000000000005"/>
    <n v="0.16420000000000001"/>
    <n v="0"/>
    <n v="1"/>
    <n v="1"/>
  </r>
  <r>
    <n v="354"/>
    <x v="15"/>
    <n v="1"/>
    <n v="2011"/>
    <s v="January"/>
    <x v="5"/>
    <b v="1"/>
    <x v="1"/>
    <x v="1"/>
    <x v="12"/>
    <n v="0.2576"/>
    <n v="0.56000000000000005"/>
    <n v="0.16420000000000001"/>
    <n v="1"/>
    <n v="1"/>
    <n v="2"/>
  </r>
  <r>
    <n v="355"/>
    <x v="15"/>
    <n v="1"/>
    <n v="2011"/>
    <s v="January"/>
    <x v="6"/>
    <b v="1"/>
    <x v="1"/>
    <x v="1"/>
    <x v="12"/>
    <n v="0.2576"/>
    <n v="0.56000000000000005"/>
    <n v="0.16420000000000001"/>
    <n v="0"/>
    <n v="1"/>
    <n v="1"/>
  </r>
  <r>
    <n v="356"/>
    <x v="15"/>
    <n v="1"/>
    <n v="2011"/>
    <s v="January"/>
    <x v="7"/>
    <b v="1"/>
    <x v="1"/>
    <x v="1"/>
    <x v="0"/>
    <n v="0.21210000000000001"/>
    <n v="0.56000000000000005"/>
    <n v="0.29849999999999999"/>
    <n v="0"/>
    <n v="3"/>
    <n v="3"/>
  </r>
  <r>
    <n v="357"/>
    <x v="15"/>
    <n v="1"/>
    <n v="2011"/>
    <s v="January"/>
    <x v="8"/>
    <b v="1"/>
    <x v="1"/>
    <x v="0"/>
    <x v="1"/>
    <n v="0.21210000000000001"/>
    <n v="0.55000000000000004"/>
    <n v="0.28360000000000002"/>
    <n v="0"/>
    <n v="18"/>
    <n v="18"/>
  </r>
  <r>
    <n v="358"/>
    <x v="15"/>
    <n v="1"/>
    <n v="2011"/>
    <s v="January"/>
    <x v="9"/>
    <b v="1"/>
    <x v="1"/>
    <x v="0"/>
    <x v="1"/>
    <n v="0.21210000000000001"/>
    <n v="0.51"/>
    <n v="0.25369999999999998"/>
    <n v="3"/>
    <n v="29"/>
    <n v="32"/>
  </r>
  <r>
    <n v="359"/>
    <x v="15"/>
    <n v="1"/>
    <n v="2011"/>
    <s v="January"/>
    <x v="10"/>
    <b v="1"/>
    <x v="1"/>
    <x v="0"/>
    <x v="1"/>
    <n v="0.21210000000000001"/>
    <n v="0.51"/>
    <n v="0.28360000000000002"/>
    <n v="8"/>
    <n v="71"/>
    <n v="79"/>
  </r>
  <r>
    <n v="360"/>
    <x v="15"/>
    <n v="1"/>
    <n v="2011"/>
    <s v="January"/>
    <x v="11"/>
    <b v="1"/>
    <x v="1"/>
    <x v="0"/>
    <x v="0"/>
    <n v="0.2273"/>
    <n v="0.44"/>
    <n v="0.25369999999999998"/>
    <n v="23"/>
    <n v="70"/>
    <n v="93"/>
  </r>
  <r>
    <n v="361"/>
    <x v="15"/>
    <n v="1"/>
    <n v="2011"/>
    <s v="January"/>
    <x v="12"/>
    <b v="1"/>
    <x v="1"/>
    <x v="0"/>
    <x v="0"/>
    <n v="0.21210000000000001"/>
    <n v="0.41"/>
    <n v="0.28360000000000002"/>
    <n v="29"/>
    <n v="75"/>
    <n v="104"/>
  </r>
  <r>
    <n v="362"/>
    <x v="15"/>
    <n v="1"/>
    <n v="2011"/>
    <s v="January"/>
    <x v="13"/>
    <b v="1"/>
    <x v="1"/>
    <x v="0"/>
    <x v="12"/>
    <n v="0.2273"/>
    <n v="0.35"/>
    <n v="0.29849999999999999"/>
    <n v="23"/>
    <n v="95"/>
    <n v="118"/>
  </r>
  <r>
    <n v="363"/>
    <x v="15"/>
    <n v="1"/>
    <n v="2011"/>
    <s v="January"/>
    <x v="14"/>
    <b v="1"/>
    <x v="1"/>
    <x v="0"/>
    <x v="17"/>
    <n v="0.2727"/>
    <n v="0.36"/>
    <n v="0.25369999999999998"/>
    <n v="22"/>
    <n v="69"/>
    <n v="91"/>
  </r>
  <r>
    <n v="364"/>
    <x v="15"/>
    <n v="1"/>
    <n v="2011"/>
    <s v="January"/>
    <x v="15"/>
    <b v="1"/>
    <x v="1"/>
    <x v="0"/>
    <x v="12"/>
    <n v="0.2424"/>
    <n v="0.38"/>
    <n v="0.25369999999999998"/>
    <n v="35"/>
    <n v="78"/>
    <n v="113"/>
  </r>
  <r>
    <n v="365"/>
    <x v="15"/>
    <n v="1"/>
    <n v="2011"/>
    <s v="January"/>
    <x v="16"/>
    <b v="1"/>
    <x v="1"/>
    <x v="0"/>
    <x v="0"/>
    <n v="0.2273"/>
    <n v="0.38"/>
    <n v="0.22389999999999999"/>
    <n v="22"/>
    <n v="77"/>
    <n v="99"/>
  </r>
  <r>
    <n v="366"/>
    <x v="15"/>
    <n v="1"/>
    <n v="2011"/>
    <s v="January"/>
    <x v="17"/>
    <b v="1"/>
    <x v="1"/>
    <x v="0"/>
    <x v="1"/>
    <n v="0.21210000000000001"/>
    <n v="0.37"/>
    <n v="0.25369999999999998"/>
    <n v="23"/>
    <n v="82"/>
    <n v="105"/>
  </r>
  <r>
    <n v="367"/>
    <x v="15"/>
    <n v="1"/>
    <n v="2011"/>
    <s v="January"/>
    <x v="18"/>
    <b v="1"/>
    <x v="1"/>
    <x v="0"/>
    <x v="2"/>
    <n v="0.21210000000000001"/>
    <n v="0.4"/>
    <n v="0.16420000000000001"/>
    <n v="11"/>
    <n v="56"/>
    <n v="67"/>
  </r>
  <r>
    <n v="368"/>
    <x v="15"/>
    <n v="1"/>
    <n v="2011"/>
    <s v="January"/>
    <x v="19"/>
    <b v="1"/>
    <x v="1"/>
    <x v="0"/>
    <x v="15"/>
    <n v="0.19700000000000001"/>
    <n v="0.47"/>
    <n v="0.1343"/>
    <n v="14"/>
    <n v="47"/>
    <n v="61"/>
  </r>
  <r>
    <n v="369"/>
    <x v="15"/>
    <n v="1"/>
    <n v="2011"/>
    <s v="January"/>
    <x v="20"/>
    <b v="1"/>
    <x v="1"/>
    <x v="0"/>
    <x v="15"/>
    <n v="0.19700000000000001"/>
    <n v="0.47"/>
    <n v="0.16420000000000001"/>
    <n v="7"/>
    <n v="50"/>
    <n v="57"/>
  </r>
  <r>
    <n v="370"/>
    <x v="15"/>
    <n v="1"/>
    <n v="2011"/>
    <s v="January"/>
    <x v="21"/>
    <b v="1"/>
    <x v="1"/>
    <x v="0"/>
    <x v="15"/>
    <n v="0.19700000000000001"/>
    <n v="0.51"/>
    <n v="0.16420000000000001"/>
    <n v="6"/>
    <n v="22"/>
    <n v="28"/>
  </r>
  <r>
    <n v="371"/>
    <x v="15"/>
    <n v="1"/>
    <n v="2011"/>
    <s v="January"/>
    <x v="22"/>
    <b v="1"/>
    <x v="1"/>
    <x v="1"/>
    <x v="2"/>
    <n v="0.21210000000000001"/>
    <n v="0.49"/>
    <n v="0.1343"/>
    <n v="2"/>
    <n v="19"/>
    <n v="21"/>
  </r>
  <r>
    <n v="372"/>
    <x v="15"/>
    <n v="1"/>
    <n v="2011"/>
    <s v="January"/>
    <x v="23"/>
    <b v="1"/>
    <x v="1"/>
    <x v="1"/>
    <x v="2"/>
    <n v="0.2273"/>
    <n v="0.4"/>
    <n v="0.1045"/>
    <n v="0"/>
    <n v="18"/>
    <n v="18"/>
  </r>
  <r>
    <n v="373"/>
    <x v="16"/>
    <n v="1"/>
    <n v="2011"/>
    <s v="January"/>
    <x v="0"/>
    <b v="0"/>
    <x v="2"/>
    <x v="1"/>
    <x v="2"/>
    <n v="0.19700000000000001"/>
    <n v="0.47"/>
    <n v="0.22389999999999999"/>
    <n v="1"/>
    <n v="16"/>
    <n v="17"/>
  </r>
  <r>
    <n v="374"/>
    <x v="16"/>
    <n v="1"/>
    <n v="2011"/>
    <s v="January"/>
    <x v="1"/>
    <b v="0"/>
    <x v="2"/>
    <x v="1"/>
    <x v="2"/>
    <n v="0.19700000000000001"/>
    <n v="0.44"/>
    <n v="0.19400000000000001"/>
    <n v="1"/>
    <n v="15"/>
    <n v="16"/>
  </r>
  <r>
    <n v="375"/>
    <x v="16"/>
    <n v="1"/>
    <n v="2011"/>
    <s v="January"/>
    <x v="2"/>
    <b v="0"/>
    <x v="2"/>
    <x v="1"/>
    <x v="15"/>
    <n v="0.16669999999999999"/>
    <n v="0.43"/>
    <n v="0.25369999999999998"/>
    <n v="0"/>
    <n v="8"/>
    <n v="8"/>
  </r>
  <r>
    <n v="376"/>
    <x v="16"/>
    <n v="1"/>
    <n v="2011"/>
    <s v="January"/>
    <x v="3"/>
    <b v="0"/>
    <x v="2"/>
    <x v="1"/>
    <x v="15"/>
    <n v="0.18179999999999999"/>
    <n v="0.43"/>
    <n v="0.19400000000000001"/>
    <n v="0"/>
    <n v="2"/>
    <n v="2"/>
  </r>
  <r>
    <n v="377"/>
    <x v="16"/>
    <n v="1"/>
    <n v="2011"/>
    <s v="January"/>
    <x v="4"/>
    <b v="0"/>
    <x v="2"/>
    <x v="1"/>
    <x v="15"/>
    <n v="0.19700000000000001"/>
    <n v="0.43"/>
    <n v="0.1343"/>
    <n v="1"/>
    <n v="2"/>
    <n v="3"/>
  </r>
  <r>
    <n v="378"/>
    <x v="16"/>
    <n v="1"/>
    <n v="2011"/>
    <s v="January"/>
    <x v="5"/>
    <b v="0"/>
    <x v="2"/>
    <x v="1"/>
    <x v="15"/>
    <n v="0.19700000000000001"/>
    <n v="0.43"/>
    <n v="0.16420000000000001"/>
    <n v="0"/>
    <n v="1"/>
    <n v="1"/>
  </r>
  <r>
    <n v="379"/>
    <x v="16"/>
    <n v="1"/>
    <n v="2011"/>
    <s v="January"/>
    <x v="6"/>
    <b v="0"/>
    <x v="2"/>
    <x v="1"/>
    <x v="15"/>
    <n v="0.18179999999999999"/>
    <n v="0.43"/>
    <n v="0.19400000000000001"/>
    <n v="0"/>
    <n v="5"/>
    <n v="5"/>
  </r>
  <r>
    <n v="380"/>
    <x v="16"/>
    <n v="1"/>
    <n v="2011"/>
    <s v="January"/>
    <x v="7"/>
    <b v="0"/>
    <x v="2"/>
    <x v="1"/>
    <x v="13"/>
    <n v="0.18179999999999999"/>
    <n v="0.5"/>
    <n v="0.1343"/>
    <n v="4"/>
    <n v="9"/>
    <n v="13"/>
  </r>
  <r>
    <n v="381"/>
    <x v="16"/>
    <n v="1"/>
    <n v="2011"/>
    <s v="January"/>
    <x v="8"/>
    <b v="0"/>
    <x v="2"/>
    <x v="1"/>
    <x v="13"/>
    <n v="0.1515"/>
    <n v="0.47"/>
    <n v="0.22389999999999999"/>
    <n v="3"/>
    <n v="30"/>
    <n v="33"/>
  </r>
  <r>
    <n v="382"/>
    <x v="16"/>
    <n v="1"/>
    <n v="2011"/>
    <s v="January"/>
    <x v="9"/>
    <b v="0"/>
    <x v="2"/>
    <x v="1"/>
    <x v="13"/>
    <n v="0.1515"/>
    <n v="0.47"/>
    <n v="0.22389999999999999"/>
    <n v="8"/>
    <n v="39"/>
    <n v="47"/>
  </r>
  <r>
    <n v="383"/>
    <x v="16"/>
    <n v="1"/>
    <n v="2011"/>
    <s v="January"/>
    <x v="10"/>
    <b v="0"/>
    <x v="2"/>
    <x v="1"/>
    <x v="13"/>
    <n v="0.1515"/>
    <n v="0.5"/>
    <n v="0.25369999999999998"/>
    <n v="7"/>
    <n v="50"/>
    <n v="57"/>
  </r>
  <r>
    <n v="384"/>
    <x v="16"/>
    <n v="1"/>
    <n v="2011"/>
    <s v="January"/>
    <x v="11"/>
    <b v="0"/>
    <x v="2"/>
    <x v="1"/>
    <x v="13"/>
    <n v="0.1515"/>
    <n v="0.55000000000000004"/>
    <n v="0.19400000000000001"/>
    <n v="9"/>
    <n v="55"/>
    <n v="64"/>
  </r>
  <r>
    <n v="385"/>
    <x v="16"/>
    <n v="1"/>
    <n v="2011"/>
    <s v="January"/>
    <x v="12"/>
    <b v="0"/>
    <x v="2"/>
    <x v="1"/>
    <x v="15"/>
    <n v="0.19700000000000001"/>
    <n v="0.47"/>
    <n v="0.1343"/>
    <n v="10"/>
    <n v="70"/>
    <n v="80"/>
  </r>
  <r>
    <n v="386"/>
    <x v="16"/>
    <n v="1"/>
    <n v="2011"/>
    <s v="January"/>
    <x v="13"/>
    <b v="0"/>
    <x v="2"/>
    <x v="1"/>
    <x v="15"/>
    <n v="0.19700000000000001"/>
    <n v="0.47"/>
    <n v="0.1343"/>
    <n v="13"/>
    <n v="80"/>
    <n v="93"/>
  </r>
  <r>
    <n v="387"/>
    <x v="16"/>
    <n v="1"/>
    <n v="2011"/>
    <s v="January"/>
    <x v="14"/>
    <b v="0"/>
    <x v="2"/>
    <x v="1"/>
    <x v="15"/>
    <n v="0.21210000000000001"/>
    <n v="0.43"/>
    <n v="0.1045"/>
    <n v="12"/>
    <n v="74"/>
    <n v="86"/>
  </r>
  <r>
    <n v="388"/>
    <x v="16"/>
    <n v="1"/>
    <n v="2011"/>
    <s v="January"/>
    <x v="15"/>
    <b v="0"/>
    <x v="2"/>
    <x v="1"/>
    <x v="2"/>
    <n v="0.21210000000000001"/>
    <n v="0.47"/>
    <n v="0.16420000000000001"/>
    <n v="21"/>
    <n v="72"/>
    <n v="93"/>
  </r>
  <r>
    <n v="389"/>
    <x v="16"/>
    <n v="1"/>
    <n v="2011"/>
    <s v="January"/>
    <x v="16"/>
    <b v="0"/>
    <x v="2"/>
    <x v="1"/>
    <x v="2"/>
    <n v="0.21210000000000001"/>
    <n v="0.47"/>
    <n v="0.16420000000000001"/>
    <n v="6"/>
    <n v="76"/>
    <n v="82"/>
  </r>
  <r>
    <n v="390"/>
    <x v="16"/>
    <n v="1"/>
    <n v="2011"/>
    <s v="January"/>
    <x v="17"/>
    <b v="0"/>
    <x v="2"/>
    <x v="0"/>
    <x v="2"/>
    <n v="0.19700000000000001"/>
    <n v="0.51"/>
    <n v="0.19400000000000001"/>
    <n v="4"/>
    <n v="67"/>
    <n v="71"/>
  </r>
  <r>
    <n v="391"/>
    <x v="16"/>
    <n v="1"/>
    <n v="2011"/>
    <s v="January"/>
    <x v="18"/>
    <b v="0"/>
    <x v="2"/>
    <x v="1"/>
    <x v="15"/>
    <n v="0.16669999999999999"/>
    <n v="0.55000000000000004"/>
    <n v="0.25369999999999998"/>
    <n v="7"/>
    <n v="85"/>
    <n v="92"/>
  </r>
  <r>
    <n v="392"/>
    <x v="16"/>
    <n v="1"/>
    <n v="2011"/>
    <s v="January"/>
    <x v="19"/>
    <b v="0"/>
    <x v="2"/>
    <x v="2"/>
    <x v="15"/>
    <n v="0.18179999999999999"/>
    <n v="0.59"/>
    <n v="0.19400000000000001"/>
    <n v="2"/>
    <n v="58"/>
    <n v="60"/>
  </r>
  <r>
    <n v="393"/>
    <x v="16"/>
    <n v="1"/>
    <n v="2011"/>
    <s v="January"/>
    <x v="20"/>
    <b v="0"/>
    <x v="2"/>
    <x v="2"/>
    <x v="13"/>
    <n v="0.1515"/>
    <n v="0.8"/>
    <n v="0.19400000000000001"/>
    <n v="4"/>
    <n v="29"/>
    <n v="33"/>
  </r>
  <r>
    <n v="394"/>
    <x v="16"/>
    <n v="1"/>
    <n v="2011"/>
    <s v="January"/>
    <x v="21"/>
    <b v="0"/>
    <x v="2"/>
    <x v="2"/>
    <x v="13"/>
    <n v="0.1515"/>
    <n v="0.8"/>
    <n v="0.19400000000000001"/>
    <n v="3"/>
    <n v="24"/>
    <n v="27"/>
  </r>
  <r>
    <n v="395"/>
    <x v="16"/>
    <n v="1"/>
    <n v="2011"/>
    <s v="January"/>
    <x v="22"/>
    <b v="0"/>
    <x v="2"/>
    <x v="2"/>
    <x v="14"/>
    <n v="0.1212"/>
    <n v="0.93"/>
    <n v="0.25369999999999998"/>
    <n v="0"/>
    <n v="13"/>
    <n v="13"/>
  </r>
  <r>
    <n v="396"/>
    <x v="16"/>
    <n v="1"/>
    <n v="2011"/>
    <s v="January"/>
    <x v="23"/>
    <b v="0"/>
    <x v="2"/>
    <x v="2"/>
    <x v="13"/>
    <n v="0.13639999999999999"/>
    <n v="0.86"/>
    <n v="0.28360000000000002"/>
    <n v="1"/>
    <n v="3"/>
    <n v="4"/>
  </r>
  <r>
    <n v="397"/>
    <x v="17"/>
    <n v="1"/>
    <n v="2011"/>
    <s v="January"/>
    <x v="12"/>
    <b v="0"/>
    <x v="3"/>
    <x v="1"/>
    <x v="2"/>
    <n v="0.18179999999999999"/>
    <n v="0.86"/>
    <n v="0.32840000000000003"/>
    <n v="0"/>
    <n v="3"/>
    <n v="3"/>
  </r>
  <r>
    <n v="398"/>
    <x v="17"/>
    <n v="1"/>
    <n v="2011"/>
    <s v="January"/>
    <x v="13"/>
    <b v="0"/>
    <x v="3"/>
    <x v="1"/>
    <x v="2"/>
    <n v="0.19700000000000001"/>
    <n v="0.86"/>
    <n v="0.22389999999999999"/>
    <n v="0"/>
    <n v="22"/>
    <n v="22"/>
  </r>
  <r>
    <n v="399"/>
    <x v="17"/>
    <n v="1"/>
    <n v="2011"/>
    <s v="January"/>
    <x v="14"/>
    <b v="0"/>
    <x v="3"/>
    <x v="1"/>
    <x v="1"/>
    <n v="0.2273"/>
    <n v="0.8"/>
    <n v="0.16420000000000001"/>
    <n v="2"/>
    <n v="26"/>
    <n v="28"/>
  </r>
  <r>
    <n v="400"/>
    <x v="17"/>
    <n v="1"/>
    <n v="2011"/>
    <s v="January"/>
    <x v="15"/>
    <b v="0"/>
    <x v="3"/>
    <x v="1"/>
    <x v="1"/>
    <n v="0.2273"/>
    <n v="0.87"/>
    <n v="0.16420000000000001"/>
    <n v="3"/>
    <n v="32"/>
    <n v="35"/>
  </r>
  <r>
    <n v="401"/>
    <x v="17"/>
    <n v="1"/>
    <n v="2011"/>
    <s v="January"/>
    <x v="16"/>
    <b v="0"/>
    <x v="3"/>
    <x v="1"/>
    <x v="1"/>
    <n v="0.2273"/>
    <n v="0.87"/>
    <n v="0.19400000000000001"/>
    <n v="0"/>
    <n v="61"/>
    <n v="61"/>
  </r>
  <r>
    <n v="402"/>
    <x v="17"/>
    <n v="1"/>
    <n v="2011"/>
    <s v="January"/>
    <x v="17"/>
    <b v="0"/>
    <x v="3"/>
    <x v="1"/>
    <x v="1"/>
    <n v="0.2273"/>
    <n v="0.82"/>
    <n v="0.19400000000000001"/>
    <n v="1"/>
    <n v="124"/>
    <n v="125"/>
  </r>
  <r>
    <n v="403"/>
    <x v="17"/>
    <n v="1"/>
    <n v="2011"/>
    <s v="January"/>
    <x v="18"/>
    <b v="0"/>
    <x v="3"/>
    <x v="1"/>
    <x v="1"/>
    <n v="0.2273"/>
    <n v="0.8"/>
    <n v="0.16420000000000001"/>
    <n v="1"/>
    <n v="132"/>
    <n v="133"/>
  </r>
  <r>
    <n v="404"/>
    <x v="17"/>
    <n v="1"/>
    <n v="2011"/>
    <s v="January"/>
    <x v="19"/>
    <b v="0"/>
    <x v="3"/>
    <x v="1"/>
    <x v="1"/>
    <n v="0.2273"/>
    <n v="0.8"/>
    <n v="0.1343"/>
    <n v="1"/>
    <n v="98"/>
    <n v="99"/>
  </r>
  <r>
    <n v="405"/>
    <x v="17"/>
    <n v="1"/>
    <n v="2011"/>
    <s v="January"/>
    <x v="20"/>
    <b v="0"/>
    <x v="3"/>
    <x v="1"/>
    <x v="1"/>
    <n v="0.2727"/>
    <n v="0.87"/>
    <n v="0"/>
    <n v="0"/>
    <n v="83"/>
    <n v="83"/>
  </r>
  <r>
    <n v="406"/>
    <x v="17"/>
    <n v="1"/>
    <n v="2011"/>
    <s v="January"/>
    <x v="21"/>
    <b v="0"/>
    <x v="3"/>
    <x v="1"/>
    <x v="1"/>
    <n v="0.2424"/>
    <n v="0.93"/>
    <n v="0.1045"/>
    <n v="0"/>
    <n v="41"/>
    <n v="41"/>
  </r>
  <r>
    <n v="407"/>
    <x v="17"/>
    <n v="1"/>
    <n v="2011"/>
    <s v="January"/>
    <x v="22"/>
    <b v="0"/>
    <x v="3"/>
    <x v="1"/>
    <x v="1"/>
    <n v="0.2576"/>
    <n v="0.93"/>
    <n v="8.9599999999999999E-2"/>
    <n v="0"/>
    <n v="33"/>
    <n v="33"/>
  </r>
  <r>
    <n v="408"/>
    <x v="17"/>
    <n v="1"/>
    <n v="2011"/>
    <s v="January"/>
    <x v="23"/>
    <b v="0"/>
    <x v="3"/>
    <x v="1"/>
    <x v="1"/>
    <n v="0.2727"/>
    <n v="0.93"/>
    <n v="0"/>
    <n v="1"/>
    <n v="19"/>
    <n v="20"/>
  </r>
  <r>
    <n v="409"/>
    <x v="18"/>
    <n v="1"/>
    <n v="2011"/>
    <s v="January"/>
    <x v="0"/>
    <b v="0"/>
    <x v="4"/>
    <x v="1"/>
    <x v="1"/>
    <n v="0.2727"/>
    <n v="0.93"/>
    <n v="0"/>
    <n v="0"/>
    <n v="3"/>
    <n v="3"/>
  </r>
  <r>
    <n v="410"/>
    <x v="18"/>
    <n v="1"/>
    <n v="2011"/>
    <s v="January"/>
    <x v="1"/>
    <b v="0"/>
    <x v="4"/>
    <x v="2"/>
    <x v="1"/>
    <n v="0.2273"/>
    <n v="0.93"/>
    <n v="0.1343"/>
    <n v="1"/>
    <n v="6"/>
    <n v="7"/>
  </r>
  <r>
    <n v="411"/>
    <x v="18"/>
    <n v="1"/>
    <n v="2011"/>
    <s v="January"/>
    <x v="2"/>
    <b v="0"/>
    <x v="4"/>
    <x v="2"/>
    <x v="1"/>
    <n v="0.2273"/>
    <n v="0.93"/>
    <n v="0.1343"/>
    <n v="0"/>
    <n v="3"/>
    <n v="3"/>
  </r>
  <r>
    <n v="412"/>
    <x v="18"/>
    <n v="1"/>
    <n v="2011"/>
    <s v="January"/>
    <x v="4"/>
    <b v="0"/>
    <x v="4"/>
    <x v="2"/>
    <x v="1"/>
    <n v="0.2273"/>
    <n v="0.93"/>
    <n v="0.1343"/>
    <n v="1"/>
    <n v="1"/>
    <n v="2"/>
  </r>
  <r>
    <n v="413"/>
    <x v="18"/>
    <n v="1"/>
    <n v="2011"/>
    <s v="January"/>
    <x v="5"/>
    <b v="0"/>
    <x v="4"/>
    <x v="1"/>
    <x v="1"/>
    <n v="0.2576"/>
    <n v="0.93"/>
    <n v="8.9599999999999999E-2"/>
    <n v="0"/>
    <n v="7"/>
    <n v="7"/>
  </r>
  <r>
    <n v="414"/>
    <x v="18"/>
    <n v="1"/>
    <n v="2011"/>
    <s v="January"/>
    <x v="6"/>
    <b v="0"/>
    <x v="4"/>
    <x v="1"/>
    <x v="1"/>
    <n v="0.2576"/>
    <n v="0.93"/>
    <n v="8.9599999999999999E-2"/>
    <n v="0"/>
    <n v="32"/>
    <n v="32"/>
  </r>
  <r>
    <n v="415"/>
    <x v="18"/>
    <n v="1"/>
    <n v="2011"/>
    <s v="January"/>
    <x v="7"/>
    <b v="0"/>
    <x v="4"/>
    <x v="1"/>
    <x v="0"/>
    <n v="0.2576"/>
    <n v="0.92"/>
    <n v="0.1045"/>
    <n v="1"/>
    <n v="89"/>
    <n v="90"/>
  </r>
  <r>
    <n v="416"/>
    <x v="18"/>
    <n v="1"/>
    <n v="2011"/>
    <s v="January"/>
    <x v="8"/>
    <b v="0"/>
    <x v="4"/>
    <x v="1"/>
    <x v="0"/>
    <n v="0.2576"/>
    <n v="0.93"/>
    <n v="0.1045"/>
    <n v="1"/>
    <n v="196"/>
    <n v="197"/>
  </r>
  <r>
    <n v="417"/>
    <x v="18"/>
    <n v="1"/>
    <n v="2011"/>
    <s v="January"/>
    <x v="9"/>
    <b v="0"/>
    <x v="4"/>
    <x v="1"/>
    <x v="0"/>
    <n v="0.2576"/>
    <n v="0.93"/>
    <n v="0.1045"/>
    <n v="2"/>
    <n v="107"/>
    <n v="109"/>
  </r>
  <r>
    <n v="418"/>
    <x v="18"/>
    <n v="1"/>
    <n v="2011"/>
    <s v="January"/>
    <x v="10"/>
    <b v="0"/>
    <x v="4"/>
    <x v="1"/>
    <x v="12"/>
    <n v="0.2727"/>
    <n v="0.93"/>
    <n v="0.1343"/>
    <n v="1"/>
    <n v="46"/>
    <n v="47"/>
  </r>
  <r>
    <n v="419"/>
    <x v="18"/>
    <n v="1"/>
    <n v="2011"/>
    <s v="January"/>
    <x v="11"/>
    <b v="0"/>
    <x v="4"/>
    <x v="1"/>
    <x v="17"/>
    <n v="0.30299999999999999"/>
    <n v="0.87"/>
    <n v="8.9599999999999999E-2"/>
    <n v="5"/>
    <n v="47"/>
    <n v="52"/>
  </r>
  <r>
    <n v="420"/>
    <x v="18"/>
    <n v="1"/>
    <n v="2011"/>
    <s v="January"/>
    <x v="12"/>
    <b v="0"/>
    <x v="4"/>
    <x v="1"/>
    <x v="11"/>
    <n v="0.31819999999999998"/>
    <n v="0.81"/>
    <n v="8.9599999999999999E-2"/>
    <n v="5"/>
    <n v="65"/>
    <n v="70"/>
  </r>
  <r>
    <n v="421"/>
    <x v="18"/>
    <n v="1"/>
    <n v="2011"/>
    <s v="January"/>
    <x v="13"/>
    <b v="0"/>
    <x v="4"/>
    <x v="0"/>
    <x v="9"/>
    <n v="0.40910000000000002"/>
    <n v="0.62"/>
    <n v="0.28360000000000002"/>
    <n v="11"/>
    <n v="67"/>
    <n v="78"/>
  </r>
  <r>
    <n v="422"/>
    <x v="18"/>
    <n v="1"/>
    <n v="2011"/>
    <s v="January"/>
    <x v="14"/>
    <b v="0"/>
    <x v="4"/>
    <x v="0"/>
    <x v="9"/>
    <n v="0.40910000000000002"/>
    <n v="0.57999999999999996"/>
    <n v="0.25369999999999998"/>
    <n v="7"/>
    <n v="68"/>
    <n v="75"/>
  </r>
  <r>
    <n v="423"/>
    <x v="18"/>
    <n v="1"/>
    <n v="2011"/>
    <s v="January"/>
    <x v="15"/>
    <b v="0"/>
    <x v="4"/>
    <x v="0"/>
    <x v="9"/>
    <n v="0.40910000000000002"/>
    <n v="0.54"/>
    <n v="0.28360000000000002"/>
    <n v="4"/>
    <n v="78"/>
    <n v="82"/>
  </r>
  <r>
    <n v="424"/>
    <x v="18"/>
    <n v="1"/>
    <n v="2011"/>
    <s v="January"/>
    <x v="16"/>
    <b v="0"/>
    <x v="4"/>
    <x v="0"/>
    <x v="4"/>
    <n v="0.39389999999999997"/>
    <n v="0.57999999999999996"/>
    <n v="0.3881"/>
    <n v="10"/>
    <n v="94"/>
    <n v="104"/>
  </r>
  <r>
    <n v="425"/>
    <x v="18"/>
    <n v="1"/>
    <n v="2011"/>
    <s v="January"/>
    <x v="17"/>
    <b v="0"/>
    <x v="4"/>
    <x v="0"/>
    <x v="5"/>
    <n v="0.33329999999999999"/>
    <n v="0.56999999999999995"/>
    <n v="0.32840000000000003"/>
    <n v="7"/>
    <n v="190"/>
    <n v="197"/>
  </r>
  <r>
    <n v="426"/>
    <x v="18"/>
    <n v="1"/>
    <n v="2011"/>
    <s v="January"/>
    <x v="18"/>
    <b v="0"/>
    <x v="4"/>
    <x v="0"/>
    <x v="10"/>
    <n v="0.31819999999999998"/>
    <n v="0.61"/>
    <n v="0.28360000000000002"/>
    <n v="5"/>
    <n v="156"/>
    <n v="161"/>
  </r>
  <r>
    <n v="427"/>
    <x v="18"/>
    <n v="1"/>
    <n v="2011"/>
    <s v="January"/>
    <x v="19"/>
    <b v="0"/>
    <x v="4"/>
    <x v="0"/>
    <x v="3"/>
    <n v="0.28789999999999999"/>
    <n v="0.56999999999999995"/>
    <n v="0.41789999999999999"/>
    <n v="4"/>
    <n v="108"/>
    <n v="112"/>
  </r>
  <r>
    <n v="428"/>
    <x v="18"/>
    <n v="1"/>
    <n v="2011"/>
    <s v="January"/>
    <x v="20"/>
    <b v="0"/>
    <x v="4"/>
    <x v="0"/>
    <x v="3"/>
    <n v="0.30299999999999999"/>
    <n v="0.49"/>
    <n v="0.29849999999999999"/>
    <n v="2"/>
    <n v="74"/>
    <n v="76"/>
  </r>
  <r>
    <n v="429"/>
    <x v="18"/>
    <n v="1"/>
    <n v="2011"/>
    <s v="January"/>
    <x v="21"/>
    <b v="0"/>
    <x v="4"/>
    <x v="0"/>
    <x v="3"/>
    <n v="0.28789999999999999"/>
    <n v="0.49"/>
    <n v="0.41789999999999999"/>
    <n v="4"/>
    <n v="55"/>
    <n v="59"/>
  </r>
  <r>
    <n v="430"/>
    <x v="18"/>
    <n v="1"/>
    <n v="2011"/>
    <s v="January"/>
    <x v="22"/>
    <b v="0"/>
    <x v="4"/>
    <x v="0"/>
    <x v="11"/>
    <n v="0.30299999999999999"/>
    <n v="0.52"/>
    <n v="0.16420000000000001"/>
    <n v="6"/>
    <n v="53"/>
    <n v="59"/>
  </r>
  <r>
    <n v="431"/>
    <x v="18"/>
    <n v="1"/>
    <n v="2011"/>
    <s v="January"/>
    <x v="23"/>
    <b v="0"/>
    <x v="4"/>
    <x v="0"/>
    <x v="11"/>
    <n v="0.2727"/>
    <n v="0.52"/>
    <n v="0.4627"/>
    <n v="1"/>
    <n v="27"/>
    <n v="28"/>
  </r>
  <r>
    <n v="432"/>
    <x v="19"/>
    <n v="1"/>
    <n v="2011"/>
    <s v="January"/>
    <x v="0"/>
    <b v="0"/>
    <x v="5"/>
    <x v="0"/>
    <x v="12"/>
    <n v="0.2273"/>
    <n v="0.56000000000000005"/>
    <n v="0.3881"/>
    <n v="5"/>
    <n v="8"/>
    <n v="13"/>
  </r>
  <r>
    <n v="433"/>
    <x v="19"/>
    <n v="1"/>
    <n v="2011"/>
    <s v="January"/>
    <x v="1"/>
    <b v="0"/>
    <x v="5"/>
    <x v="0"/>
    <x v="12"/>
    <n v="0.2727"/>
    <n v="0.56000000000000005"/>
    <n v="0"/>
    <n v="2"/>
    <n v="3"/>
    <n v="5"/>
  </r>
  <r>
    <n v="434"/>
    <x v="19"/>
    <n v="1"/>
    <n v="2011"/>
    <s v="January"/>
    <x v="2"/>
    <b v="0"/>
    <x v="5"/>
    <x v="0"/>
    <x v="12"/>
    <n v="0.2727"/>
    <n v="0.56000000000000005"/>
    <n v="0"/>
    <n v="0"/>
    <n v="2"/>
    <n v="2"/>
  </r>
  <r>
    <n v="435"/>
    <x v="19"/>
    <n v="1"/>
    <n v="2011"/>
    <s v="January"/>
    <x v="3"/>
    <b v="0"/>
    <x v="5"/>
    <x v="0"/>
    <x v="12"/>
    <n v="0.2576"/>
    <n v="0.56000000000000005"/>
    <n v="0.16420000000000001"/>
    <n v="0"/>
    <n v="1"/>
    <n v="1"/>
  </r>
  <r>
    <n v="436"/>
    <x v="19"/>
    <n v="1"/>
    <n v="2011"/>
    <s v="January"/>
    <x v="4"/>
    <b v="0"/>
    <x v="5"/>
    <x v="0"/>
    <x v="12"/>
    <n v="0.2576"/>
    <n v="0.56000000000000005"/>
    <n v="0.16420000000000001"/>
    <n v="0"/>
    <n v="1"/>
    <n v="1"/>
  </r>
  <r>
    <n v="437"/>
    <x v="19"/>
    <n v="1"/>
    <n v="2011"/>
    <s v="January"/>
    <x v="5"/>
    <b v="0"/>
    <x v="5"/>
    <x v="0"/>
    <x v="0"/>
    <n v="0.2273"/>
    <n v="0.6"/>
    <n v="0.22389999999999999"/>
    <n v="0"/>
    <n v="6"/>
    <n v="6"/>
  </r>
  <r>
    <n v="438"/>
    <x v="19"/>
    <n v="1"/>
    <n v="2011"/>
    <s v="January"/>
    <x v="6"/>
    <b v="0"/>
    <x v="5"/>
    <x v="0"/>
    <x v="1"/>
    <n v="0.21210000000000001"/>
    <n v="0.6"/>
    <n v="0.22389999999999999"/>
    <n v="0"/>
    <n v="35"/>
    <n v="35"/>
  </r>
  <r>
    <n v="439"/>
    <x v="19"/>
    <n v="1"/>
    <n v="2011"/>
    <s v="January"/>
    <x v="7"/>
    <b v="0"/>
    <x v="5"/>
    <x v="0"/>
    <x v="1"/>
    <n v="0.21210000000000001"/>
    <n v="0.55000000000000004"/>
    <n v="0.22389999999999999"/>
    <n v="1"/>
    <n v="100"/>
    <n v="101"/>
  </r>
  <r>
    <n v="440"/>
    <x v="19"/>
    <n v="1"/>
    <n v="2011"/>
    <s v="January"/>
    <x v="8"/>
    <b v="0"/>
    <x v="5"/>
    <x v="0"/>
    <x v="1"/>
    <n v="0.21210000000000001"/>
    <n v="0.55000000000000004"/>
    <n v="0.28360000000000002"/>
    <n v="2"/>
    <n v="247"/>
    <n v="249"/>
  </r>
  <r>
    <n v="441"/>
    <x v="19"/>
    <n v="1"/>
    <n v="2011"/>
    <s v="January"/>
    <x v="9"/>
    <b v="0"/>
    <x v="5"/>
    <x v="1"/>
    <x v="0"/>
    <n v="0.2273"/>
    <n v="0.52"/>
    <n v="0.22389999999999999"/>
    <n v="3"/>
    <n v="140"/>
    <n v="143"/>
  </r>
  <r>
    <n v="442"/>
    <x v="19"/>
    <n v="1"/>
    <n v="2011"/>
    <s v="January"/>
    <x v="10"/>
    <b v="0"/>
    <x v="5"/>
    <x v="0"/>
    <x v="12"/>
    <n v="0.2273"/>
    <n v="0.48"/>
    <n v="0.29849999999999999"/>
    <n v="1"/>
    <n v="56"/>
    <n v="57"/>
  </r>
  <r>
    <n v="443"/>
    <x v="19"/>
    <n v="1"/>
    <n v="2011"/>
    <s v="January"/>
    <x v="11"/>
    <b v="0"/>
    <x v="5"/>
    <x v="1"/>
    <x v="17"/>
    <n v="0.2727"/>
    <n v="0.45"/>
    <n v="0.16420000000000001"/>
    <n v="5"/>
    <n v="63"/>
    <n v="68"/>
  </r>
  <r>
    <n v="444"/>
    <x v="19"/>
    <n v="1"/>
    <n v="2011"/>
    <s v="January"/>
    <x v="12"/>
    <b v="0"/>
    <x v="5"/>
    <x v="1"/>
    <x v="11"/>
    <n v="0.33329999999999999"/>
    <n v="0.42"/>
    <n v="0"/>
    <n v="7"/>
    <n v="77"/>
    <n v="84"/>
  </r>
  <r>
    <n v="445"/>
    <x v="19"/>
    <n v="1"/>
    <n v="2011"/>
    <s v="January"/>
    <x v="13"/>
    <b v="0"/>
    <x v="5"/>
    <x v="1"/>
    <x v="17"/>
    <n v="0.28789999999999999"/>
    <n v="0.45"/>
    <n v="0.1045"/>
    <n v="12"/>
    <n v="86"/>
    <n v="98"/>
  </r>
  <r>
    <n v="446"/>
    <x v="19"/>
    <n v="1"/>
    <n v="2011"/>
    <s v="January"/>
    <x v="14"/>
    <b v="0"/>
    <x v="5"/>
    <x v="1"/>
    <x v="11"/>
    <n v="0.30299999999999999"/>
    <n v="0.45"/>
    <n v="0.1343"/>
    <n v="6"/>
    <n v="75"/>
    <n v="81"/>
  </r>
  <r>
    <n v="447"/>
    <x v="19"/>
    <n v="1"/>
    <n v="2011"/>
    <s v="January"/>
    <x v="15"/>
    <b v="0"/>
    <x v="5"/>
    <x v="1"/>
    <x v="3"/>
    <n v="0.31819999999999998"/>
    <n v="0.45"/>
    <n v="0.19400000000000001"/>
    <n v="8"/>
    <n v="62"/>
    <n v="70"/>
  </r>
  <r>
    <n v="448"/>
    <x v="19"/>
    <n v="1"/>
    <n v="2011"/>
    <s v="January"/>
    <x v="16"/>
    <b v="0"/>
    <x v="5"/>
    <x v="1"/>
    <x v="11"/>
    <n v="0.30299999999999999"/>
    <n v="0.49"/>
    <n v="0.1343"/>
    <n v="8"/>
    <n v="83"/>
    <n v="91"/>
  </r>
  <r>
    <n v="449"/>
    <x v="19"/>
    <n v="1"/>
    <n v="2011"/>
    <s v="January"/>
    <x v="17"/>
    <b v="0"/>
    <x v="5"/>
    <x v="1"/>
    <x v="11"/>
    <n v="0.31819999999999998"/>
    <n v="0.49"/>
    <n v="0.1045"/>
    <n v="8"/>
    <n v="207"/>
    <n v="215"/>
  </r>
  <r>
    <n v="450"/>
    <x v="19"/>
    <n v="1"/>
    <n v="2011"/>
    <s v="January"/>
    <x v="18"/>
    <b v="0"/>
    <x v="5"/>
    <x v="1"/>
    <x v="12"/>
    <n v="0.2576"/>
    <n v="0.56000000000000005"/>
    <n v="0.19400000000000001"/>
    <n v="1"/>
    <n v="184"/>
    <n v="185"/>
  </r>
  <r>
    <n v="451"/>
    <x v="19"/>
    <n v="1"/>
    <n v="2011"/>
    <s v="January"/>
    <x v="19"/>
    <b v="0"/>
    <x v="5"/>
    <x v="0"/>
    <x v="12"/>
    <n v="0.2273"/>
    <n v="0.56000000000000005"/>
    <n v="0.32840000000000003"/>
    <n v="6"/>
    <n v="146"/>
    <n v="152"/>
  </r>
  <r>
    <n v="452"/>
    <x v="19"/>
    <n v="1"/>
    <n v="2011"/>
    <s v="January"/>
    <x v="20"/>
    <b v="0"/>
    <x v="5"/>
    <x v="1"/>
    <x v="12"/>
    <n v="0.2424"/>
    <n v="0.6"/>
    <n v="0.28360000000000002"/>
    <n v="2"/>
    <n v="124"/>
    <n v="126"/>
  </r>
  <r>
    <n v="453"/>
    <x v="19"/>
    <n v="1"/>
    <n v="2011"/>
    <s v="January"/>
    <x v="21"/>
    <b v="0"/>
    <x v="5"/>
    <x v="1"/>
    <x v="0"/>
    <n v="0.2273"/>
    <n v="0.6"/>
    <n v="0.25369999999999998"/>
    <n v="3"/>
    <n v="54"/>
    <n v="57"/>
  </r>
  <r>
    <n v="454"/>
    <x v="19"/>
    <n v="1"/>
    <n v="2011"/>
    <s v="January"/>
    <x v="22"/>
    <b v="0"/>
    <x v="5"/>
    <x v="1"/>
    <x v="0"/>
    <n v="0.21210000000000001"/>
    <n v="0.65"/>
    <n v="0.28360000000000002"/>
    <n v="0"/>
    <n v="56"/>
    <n v="56"/>
  </r>
  <r>
    <n v="455"/>
    <x v="19"/>
    <n v="1"/>
    <n v="2011"/>
    <s v="January"/>
    <x v="23"/>
    <b v="0"/>
    <x v="5"/>
    <x v="1"/>
    <x v="0"/>
    <n v="0.21210000000000001"/>
    <n v="0.65"/>
    <n v="0.32840000000000003"/>
    <n v="3"/>
    <n v="28"/>
    <n v="31"/>
  </r>
  <r>
    <n v="456"/>
    <x v="20"/>
    <n v="1"/>
    <n v="2011"/>
    <s v="January"/>
    <x v="0"/>
    <b v="0"/>
    <x v="6"/>
    <x v="1"/>
    <x v="0"/>
    <n v="0.2273"/>
    <n v="0.7"/>
    <n v="0.25369999999999998"/>
    <n v="1"/>
    <n v="20"/>
    <n v="21"/>
  </r>
  <r>
    <n v="457"/>
    <x v="20"/>
    <n v="1"/>
    <n v="2011"/>
    <s v="January"/>
    <x v="1"/>
    <b v="0"/>
    <x v="6"/>
    <x v="1"/>
    <x v="0"/>
    <n v="0.2273"/>
    <n v="0.7"/>
    <n v="0.25369999999999998"/>
    <n v="0"/>
    <n v="6"/>
    <n v="6"/>
  </r>
  <r>
    <n v="458"/>
    <x v="20"/>
    <n v="1"/>
    <n v="2011"/>
    <s v="January"/>
    <x v="2"/>
    <b v="0"/>
    <x v="6"/>
    <x v="2"/>
    <x v="0"/>
    <n v="0.2424"/>
    <n v="0.75"/>
    <n v="0.16420000000000001"/>
    <n v="0"/>
    <n v="2"/>
    <n v="2"/>
  </r>
  <r>
    <n v="459"/>
    <x v="20"/>
    <n v="1"/>
    <n v="2011"/>
    <s v="January"/>
    <x v="3"/>
    <b v="0"/>
    <x v="6"/>
    <x v="2"/>
    <x v="1"/>
    <n v="0.21210000000000001"/>
    <n v="0.8"/>
    <n v="0.29849999999999999"/>
    <n v="0"/>
    <n v="1"/>
    <n v="1"/>
  </r>
  <r>
    <n v="460"/>
    <x v="20"/>
    <n v="1"/>
    <n v="2011"/>
    <s v="January"/>
    <x v="4"/>
    <b v="0"/>
    <x v="6"/>
    <x v="1"/>
    <x v="1"/>
    <n v="0.2576"/>
    <n v="0.87"/>
    <n v="8.9599999999999999E-2"/>
    <n v="0"/>
    <n v="1"/>
    <n v="1"/>
  </r>
  <r>
    <n v="461"/>
    <x v="20"/>
    <n v="1"/>
    <n v="2011"/>
    <s v="January"/>
    <x v="5"/>
    <b v="0"/>
    <x v="6"/>
    <x v="0"/>
    <x v="0"/>
    <n v="0.19700000000000001"/>
    <n v="0.6"/>
    <n v="0.41789999999999999"/>
    <n v="1"/>
    <n v="4"/>
    <n v="5"/>
  </r>
  <r>
    <n v="462"/>
    <x v="20"/>
    <n v="1"/>
    <n v="2011"/>
    <s v="January"/>
    <x v="6"/>
    <b v="0"/>
    <x v="6"/>
    <x v="0"/>
    <x v="1"/>
    <n v="0.21210000000000001"/>
    <n v="0.55000000000000004"/>
    <n v="0.25369999999999998"/>
    <n v="0"/>
    <n v="27"/>
    <n v="27"/>
  </r>
  <r>
    <n v="463"/>
    <x v="20"/>
    <n v="1"/>
    <n v="2011"/>
    <s v="January"/>
    <x v="7"/>
    <b v="0"/>
    <x v="6"/>
    <x v="0"/>
    <x v="2"/>
    <n v="0.18179999999999999"/>
    <n v="0.51"/>
    <n v="0.28360000000000002"/>
    <n v="2"/>
    <n v="66"/>
    <n v="68"/>
  </r>
  <r>
    <n v="464"/>
    <x v="20"/>
    <n v="1"/>
    <n v="2011"/>
    <s v="January"/>
    <x v="8"/>
    <b v="0"/>
    <x v="6"/>
    <x v="0"/>
    <x v="2"/>
    <n v="0.18179999999999999"/>
    <n v="0.47"/>
    <n v="0.32840000000000003"/>
    <n v="7"/>
    <n v="210"/>
    <n v="217"/>
  </r>
  <r>
    <n v="465"/>
    <x v="20"/>
    <n v="1"/>
    <n v="2011"/>
    <s v="January"/>
    <x v="9"/>
    <b v="0"/>
    <x v="6"/>
    <x v="0"/>
    <x v="2"/>
    <n v="0.18179999999999999"/>
    <n v="0.51"/>
    <n v="0.35820000000000002"/>
    <n v="7"/>
    <n v="159"/>
    <n v="166"/>
  </r>
  <r>
    <n v="466"/>
    <x v="20"/>
    <n v="1"/>
    <n v="2011"/>
    <s v="January"/>
    <x v="10"/>
    <b v="0"/>
    <x v="6"/>
    <x v="0"/>
    <x v="2"/>
    <n v="0.16669999999999999"/>
    <n v="0.47"/>
    <n v="0.4627"/>
    <n v="6"/>
    <n v="57"/>
    <n v="63"/>
  </r>
  <r>
    <n v="467"/>
    <x v="20"/>
    <n v="1"/>
    <n v="2011"/>
    <s v="January"/>
    <x v="11"/>
    <b v="0"/>
    <x v="6"/>
    <x v="0"/>
    <x v="1"/>
    <n v="0.18179999999999999"/>
    <n v="0.41"/>
    <n v="0.4627"/>
    <n v="6"/>
    <n v="53"/>
    <n v="59"/>
  </r>
  <r>
    <n v="468"/>
    <x v="20"/>
    <n v="1"/>
    <n v="2011"/>
    <s v="January"/>
    <x v="12"/>
    <b v="0"/>
    <x v="6"/>
    <x v="0"/>
    <x v="1"/>
    <n v="0.18179999999999999"/>
    <n v="0.27"/>
    <n v="0.58209999999999995"/>
    <n v="11"/>
    <n v="67"/>
    <n v="78"/>
  </r>
  <r>
    <n v="469"/>
    <x v="20"/>
    <n v="1"/>
    <n v="2011"/>
    <s v="January"/>
    <x v="13"/>
    <b v="0"/>
    <x v="6"/>
    <x v="0"/>
    <x v="2"/>
    <n v="0.1515"/>
    <n v="0.21"/>
    <n v="0.58209999999999995"/>
    <n v="8"/>
    <n v="65"/>
    <n v="73"/>
  </r>
  <r>
    <n v="470"/>
    <x v="20"/>
    <n v="1"/>
    <n v="2011"/>
    <s v="January"/>
    <x v="14"/>
    <b v="0"/>
    <x v="6"/>
    <x v="0"/>
    <x v="2"/>
    <n v="0.1515"/>
    <n v="0.25"/>
    <n v="0.52239999999999998"/>
    <n v="6"/>
    <n v="56"/>
    <n v="62"/>
  </r>
  <r>
    <n v="471"/>
    <x v="20"/>
    <n v="1"/>
    <n v="2011"/>
    <s v="January"/>
    <x v="15"/>
    <b v="0"/>
    <x v="6"/>
    <x v="0"/>
    <x v="13"/>
    <n v="0.1212"/>
    <n v="0.26"/>
    <n v="0.44779999999999998"/>
    <n v="4"/>
    <n v="61"/>
    <n v="65"/>
  </r>
  <r>
    <n v="472"/>
    <x v="20"/>
    <n v="1"/>
    <n v="2011"/>
    <s v="January"/>
    <x v="16"/>
    <b v="0"/>
    <x v="6"/>
    <x v="0"/>
    <x v="13"/>
    <n v="0.13639999999999999"/>
    <n v="0.26"/>
    <n v="0.35820000000000002"/>
    <n v="0"/>
    <n v="97"/>
    <n v="97"/>
  </r>
  <r>
    <n v="473"/>
    <x v="20"/>
    <n v="1"/>
    <n v="2011"/>
    <s v="January"/>
    <x v="17"/>
    <b v="0"/>
    <x v="6"/>
    <x v="0"/>
    <x v="14"/>
    <n v="0.1212"/>
    <n v="0.28000000000000003"/>
    <n v="0.35820000000000002"/>
    <n v="10"/>
    <n v="151"/>
    <n v="161"/>
  </r>
  <r>
    <n v="474"/>
    <x v="20"/>
    <n v="1"/>
    <n v="2011"/>
    <s v="January"/>
    <x v="18"/>
    <b v="0"/>
    <x v="6"/>
    <x v="0"/>
    <x v="16"/>
    <n v="0.1212"/>
    <n v="0.3"/>
    <n v="0.25369999999999998"/>
    <n v="1"/>
    <n v="119"/>
    <n v="120"/>
  </r>
  <r>
    <n v="475"/>
    <x v="20"/>
    <n v="1"/>
    <n v="2011"/>
    <s v="January"/>
    <x v="19"/>
    <b v="0"/>
    <x v="6"/>
    <x v="0"/>
    <x v="16"/>
    <n v="0.1061"/>
    <n v="0.3"/>
    <n v="0.32840000000000003"/>
    <n v="3"/>
    <n v="93"/>
    <n v="96"/>
  </r>
  <r>
    <n v="476"/>
    <x v="20"/>
    <n v="1"/>
    <n v="2011"/>
    <s v="January"/>
    <x v="20"/>
    <b v="0"/>
    <x v="6"/>
    <x v="0"/>
    <x v="18"/>
    <n v="7.5800000000000006E-2"/>
    <n v="0.33"/>
    <n v="0.41789999999999999"/>
    <n v="1"/>
    <n v="52"/>
    <n v="53"/>
  </r>
  <r>
    <n v="477"/>
    <x v="20"/>
    <n v="1"/>
    <n v="2011"/>
    <s v="January"/>
    <x v="21"/>
    <b v="0"/>
    <x v="6"/>
    <x v="0"/>
    <x v="19"/>
    <n v="7.5800000000000006E-2"/>
    <n v="0.38"/>
    <n v="0.28360000000000002"/>
    <n v="0"/>
    <n v="41"/>
    <n v="41"/>
  </r>
  <r>
    <n v="478"/>
    <x v="20"/>
    <n v="1"/>
    <n v="2011"/>
    <s v="January"/>
    <x v="22"/>
    <b v="0"/>
    <x v="6"/>
    <x v="0"/>
    <x v="20"/>
    <n v="3.0300000000000001E-2"/>
    <n v="0.41"/>
    <n v="0.3881"/>
    <n v="1"/>
    <n v="33"/>
    <n v="34"/>
  </r>
  <r>
    <n v="479"/>
    <x v="20"/>
    <n v="1"/>
    <n v="2011"/>
    <s v="January"/>
    <x v="23"/>
    <b v="0"/>
    <x v="6"/>
    <x v="0"/>
    <x v="20"/>
    <n v="4.5499999999999999E-2"/>
    <n v="0.38"/>
    <n v="0.32840000000000003"/>
    <n v="0"/>
    <n v="27"/>
    <n v="27"/>
  </r>
  <r>
    <n v="480"/>
    <x v="21"/>
    <n v="1"/>
    <n v="2011"/>
    <s v="January"/>
    <x v="0"/>
    <b v="0"/>
    <x v="0"/>
    <x v="0"/>
    <x v="21"/>
    <n v="3.0300000000000001E-2"/>
    <n v="0.45"/>
    <n v="0.25369999999999998"/>
    <n v="0"/>
    <n v="13"/>
    <n v="13"/>
  </r>
  <r>
    <n v="481"/>
    <x v="21"/>
    <n v="1"/>
    <n v="2011"/>
    <s v="January"/>
    <x v="1"/>
    <b v="0"/>
    <x v="0"/>
    <x v="1"/>
    <x v="21"/>
    <n v="0"/>
    <n v="0.41"/>
    <n v="0.3881"/>
    <n v="3"/>
    <n v="9"/>
    <n v="12"/>
  </r>
  <r>
    <n v="482"/>
    <x v="21"/>
    <n v="1"/>
    <n v="2011"/>
    <s v="January"/>
    <x v="2"/>
    <b v="0"/>
    <x v="0"/>
    <x v="1"/>
    <x v="21"/>
    <n v="3.0300000000000001E-2"/>
    <n v="0.41"/>
    <n v="0.25369999999999998"/>
    <n v="0"/>
    <n v="11"/>
    <n v="11"/>
  </r>
  <r>
    <n v="483"/>
    <x v="21"/>
    <n v="1"/>
    <n v="2011"/>
    <s v="January"/>
    <x v="3"/>
    <b v="0"/>
    <x v="0"/>
    <x v="1"/>
    <x v="21"/>
    <n v="3.0300000000000001E-2"/>
    <n v="0.41"/>
    <n v="0.28360000000000002"/>
    <n v="1"/>
    <n v="6"/>
    <n v="7"/>
  </r>
  <r>
    <n v="484"/>
    <x v="21"/>
    <n v="1"/>
    <n v="2011"/>
    <s v="January"/>
    <x v="4"/>
    <b v="0"/>
    <x v="0"/>
    <x v="1"/>
    <x v="22"/>
    <n v="1.52E-2"/>
    <n v="0.48"/>
    <n v="0.29849999999999999"/>
    <n v="0"/>
    <n v="3"/>
    <n v="3"/>
  </r>
  <r>
    <n v="485"/>
    <x v="21"/>
    <n v="1"/>
    <n v="2011"/>
    <s v="January"/>
    <x v="6"/>
    <b v="0"/>
    <x v="0"/>
    <x v="1"/>
    <x v="22"/>
    <n v="3.0300000000000001E-2"/>
    <n v="0.44"/>
    <n v="0.22389999999999999"/>
    <n v="0"/>
    <n v="2"/>
    <n v="2"/>
  </r>
  <r>
    <n v="486"/>
    <x v="21"/>
    <n v="1"/>
    <n v="2011"/>
    <s v="January"/>
    <x v="7"/>
    <b v="0"/>
    <x v="0"/>
    <x v="0"/>
    <x v="22"/>
    <n v="1.52E-2"/>
    <n v="0.44"/>
    <n v="0.28360000000000002"/>
    <n v="0"/>
    <n v="8"/>
    <n v="8"/>
  </r>
  <r>
    <n v="487"/>
    <x v="21"/>
    <n v="1"/>
    <n v="2011"/>
    <s v="January"/>
    <x v="8"/>
    <b v="0"/>
    <x v="0"/>
    <x v="0"/>
    <x v="22"/>
    <n v="0"/>
    <n v="0.44"/>
    <n v="0.32840000000000003"/>
    <n v="1"/>
    <n v="26"/>
    <n v="27"/>
  </r>
  <r>
    <n v="488"/>
    <x v="21"/>
    <n v="1"/>
    <n v="2011"/>
    <s v="January"/>
    <x v="9"/>
    <b v="0"/>
    <x v="0"/>
    <x v="0"/>
    <x v="21"/>
    <n v="3.0300000000000001E-2"/>
    <n v="0.41"/>
    <n v="0.25369999999999998"/>
    <n v="3"/>
    <n v="37"/>
    <n v="40"/>
  </r>
  <r>
    <n v="489"/>
    <x v="21"/>
    <n v="1"/>
    <n v="2011"/>
    <s v="January"/>
    <x v="10"/>
    <b v="0"/>
    <x v="0"/>
    <x v="1"/>
    <x v="21"/>
    <n v="6.0600000000000001E-2"/>
    <n v="0.41"/>
    <n v="0.16420000000000001"/>
    <n v="3"/>
    <n v="50"/>
    <n v="53"/>
  </r>
  <r>
    <n v="490"/>
    <x v="21"/>
    <n v="1"/>
    <n v="2011"/>
    <s v="January"/>
    <x v="11"/>
    <b v="0"/>
    <x v="0"/>
    <x v="1"/>
    <x v="20"/>
    <n v="7.5800000000000006E-2"/>
    <n v="0.38"/>
    <n v="0.1343"/>
    <n v="4"/>
    <n v="59"/>
    <n v="63"/>
  </r>
  <r>
    <n v="491"/>
    <x v="21"/>
    <n v="1"/>
    <n v="2011"/>
    <s v="January"/>
    <x v="12"/>
    <b v="0"/>
    <x v="0"/>
    <x v="1"/>
    <x v="20"/>
    <n v="0.1061"/>
    <n v="0.38"/>
    <n v="0.1045"/>
    <n v="10"/>
    <n v="60"/>
    <n v="70"/>
  </r>
  <r>
    <n v="492"/>
    <x v="21"/>
    <n v="1"/>
    <n v="2011"/>
    <s v="January"/>
    <x v="13"/>
    <b v="0"/>
    <x v="0"/>
    <x v="0"/>
    <x v="19"/>
    <n v="0.16669999999999999"/>
    <n v="0.35"/>
    <n v="0"/>
    <n v="12"/>
    <n v="72"/>
    <n v="84"/>
  </r>
  <r>
    <n v="493"/>
    <x v="21"/>
    <n v="1"/>
    <n v="2011"/>
    <s v="January"/>
    <x v="14"/>
    <b v="0"/>
    <x v="0"/>
    <x v="0"/>
    <x v="18"/>
    <n v="0.13639999999999999"/>
    <n v="0.33"/>
    <n v="0.1045"/>
    <n v="11"/>
    <n v="64"/>
    <n v="75"/>
  </r>
  <r>
    <n v="494"/>
    <x v="21"/>
    <n v="1"/>
    <n v="2011"/>
    <s v="January"/>
    <x v="15"/>
    <b v="0"/>
    <x v="0"/>
    <x v="0"/>
    <x v="16"/>
    <n v="0.1515"/>
    <n v="0.28000000000000003"/>
    <n v="0"/>
    <n v="10"/>
    <n v="93"/>
    <n v="103"/>
  </r>
  <r>
    <n v="495"/>
    <x v="21"/>
    <n v="1"/>
    <n v="2011"/>
    <s v="January"/>
    <x v="16"/>
    <b v="0"/>
    <x v="0"/>
    <x v="0"/>
    <x v="16"/>
    <n v="0.13639999999999999"/>
    <n v="0.28000000000000003"/>
    <n v="0.19400000000000001"/>
    <n v="11"/>
    <n v="72"/>
    <n v="83"/>
  </r>
  <r>
    <n v="496"/>
    <x v="21"/>
    <n v="1"/>
    <n v="2011"/>
    <s v="January"/>
    <x v="17"/>
    <b v="0"/>
    <x v="0"/>
    <x v="0"/>
    <x v="16"/>
    <n v="0.19700000000000001"/>
    <n v="0.28000000000000003"/>
    <n v="0"/>
    <n v="8"/>
    <n v="59"/>
    <n v="67"/>
  </r>
  <r>
    <n v="497"/>
    <x v="21"/>
    <n v="1"/>
    <n v="2011"/>
    <s v="January"/>
    <x v="18"/>
    <b v="0"/>
    <x v="0"/>
    <x v="0"/>
    <x v="19"/>
    <n v="9.0899999999999995E-2"/>
    <n v="0.35"/>
    <n v="0.19400000000000001"/>
    <n v="0"/>
    <n v="54"/>
    <n v="54"/>
  </r>
  <r>
    <n v="498"/>
    <x v="21"/>
    <n v="1"/>
    <n v="2011"/>
    <s v="January"/>
    <x v="19"/>
    <b v="0"/>
    <x v="0"/>
    <x v="0"/>
    <x v="19"/>
    <n v="0.1061"/>
    <n v="0.35"/>
    <n v="0.1343"/>
    <n v="6"/>
    <n v="53"/>
    <n v="59"/>
  </r>
  <r>
    <n v="499"/>
    <x v="21"/>
    <n v="1"/>
    <n v="2011"/>
    <s v="January"/>
    <x v="20"/>
    <b v="0"/>
    <x v="0"/>
    <x v="0"/>
    <x v="20"/>
    <n v="7.5800000000000006E-2"/>
    <n v="0.45"/>
    <n v="0.16420000000000001"/>
    <n v="1"/>
    <n v="44"/>
    <n v="45"/>
  </r>
  <r>
    <n v="500"/>
    <x v="21"/>
    <n v="1"/>
    <n v="2011"/>
    <s v="January"/>
    <x v="21"/>
    <b v="0"/>
    <x v="0"/>
    <x v="0"/>
    <x v="20"/>
    <n v="0.1061"/>
    <n v="0.41"/>
    <n v="8.9599999999999999E-2"/>
    <n v="0"/>
    <n v="39"/>
    <n v="39"/>
  </r>
  <r>
    <n v="501"/>
    <x v="21"/>
    <n v="1"/>
    <n v="2011"/>
    <s v="January"/>
    <x v="22"/>
    <b v="0"/>
    <x v="0"/>
    <x v="0"/>
    <x v="20"/>
    <n v="0.1515"/>
    <n v="0.49"/>
    <n v="0"/>
    <n v="7"/>
    <n v="23"/>
    <n v="30"/>
  </r>
  <r>
    <n v="502"/>
    <x v="21"/>
    <n v="1"/>
    <n v="2011"/>
    <s v="January"/>
    <x v="23"/>
    <b v="0"/>
    <x v="0"/>
    <x v="0"/>
    <x v="21"/>
    <n v="7.5800000000000006E-2"/>
    <n v="0.56999999999999995"/>
    <n v="0.1045"/>
    <n v="2"/>
    <n v="31"/>
    <n v="33"/>
  </r>
  <r>
    <n v="503"/>
    <x v="22"/>
    <n v="1"/>
    <n v="2011"/>
    <s v="January"/>
    <x v="0"/>
    <b v="1"/>
    <x v="1"/>
    <x v="0"/>
    <x v="21"/>
    <n v="7.5800000000000006E-2"/>
    <n v="0.56999999999999995"/>
    <n v="0.1045"/>
    <n v="2"/>
    <n v="20"/>
    <n v="22"/>
  </r>
  <r>
    <n v="504"/>
    <x v="22"/>
    <n v="1"/>
    <n v="2011"/>
    <s v="January"/>
    <x v="1"/>
    <b v="1"/>
    <x v="1"/>
    <x v="0"/>
    <x v="21"/>
    <n v="7.5800000000000006E-2"/>
    <n v="0.56999999999999995"/>
    <n v="0.1045"/>
    <n v="1"/>
    <n v="12"/>
    <n v="13"/>
  </r>
  <r>
    <n v="505"/>
    <x v="22"/>
    <n v="1"/>
    <n v="2011"/>
    <s v="January"/>
    <x v="2"/>
    <b v="1"/>
    <x v="1"/>
    <x v="0"/>
    <x v="22"/>
    <n v="6.0600000000000001E-2"/>
    <n v="0.62"/>
    <n v="0.1343"/>
    <n v="3"/>
    <n v="15"/>
    <n v="18"/>
  </r>
  <r>
    <n v="506"/>
    <x v="22"/>
    <n v="1"/>
    <n v="2011"/>
    <s v="January"/>
    <x v="3"/>
    <b v="1"/>
    <x v="1"/>
    <x v="0"/>
    <x v="22"/>
    <n v="6.0600000000000001E-2"/>
    <n v="0.62"/>
    <n v="0.1343"/>
    <n v="1"/>
    <n v="4"/>
    <n v="5"/>
  </r>
  <r>
    <n v="507"/>
    <x v="22"/>
    <n v="1"/>
    <n v="2011"/>
    <s v="January"/>
    <x v="5"/>
    <b v="1"/>
    <x v="1"/>
    <x v="1"/>
    <x v="21"/>
    <n v="7.5800000000000006E-2"/>
    <n v="0.56999999999999995"/>
    <n v="0.1045"/>
    <n v="0"/>
    <n v="3"/>
    <n v="3"/>
  </r>
  <r>
    <n v="508"/>
    <x v="22"/>
    <n v="1"/>
    <n v="2011"/>
    <s v="January"/>
    <x v="6"/>
    <b v="1"/>
    <x v="1"/>
    <x v="1"/>
    <x v="21"/>
    <n v="7.5800000000000006E-2"/>
    <n v="0.56999999999999995"/>
    <n v="0.1045"/>
    <n v="0"/>
    <n v="1"/>
    <n v="1"/>
  </r>
  <r>
    <n v="509"/>
    <x v="22"/>
    <n v="1"/>
    <n v="2011"/>
    <s v="January"/>
    <x v="7"/>
    <b v="1"/>
    <x v="1"/>
    <x v="0"/>
    <x v="19"/>
    <n v="0.1061"/>
    <n v="0.57999999999999996"/>
    <n v="0.16420000000000001"/>
    <n v="1"/>
    <n v="1"/>
    <n v="2"/>
  </r>
  <r>
    <n v="510"/>
    <x v="22"/>
    <n v="1"/>
    <n v="2011"/>
    <s v="January"/>
    <x v="8"/>
    <b v="1"/>
    <x v="1"/>
    <x v="0"/>
    <x v="20"/>
    <n v="7.5800000000000006E-2"/>
    <n v="0.62"/>
    <n v="0.16420000000000001"/>
    <n v="2"/>
    <n v="17"/>
    <n v="19"/>
  </r>
  <r>
    <n v="511"/>
    <x v="22"/>
    <n v="1"/>
    <n v="2011"/>
    <s v="January"/>
    <x v="9"/>
    <b v="1"/>
    <x v="1"/>
    <x v="0"/>
    <x v="18"/>
    <n v="7.5800000000000006E-2"/>
    <n v="0.54"/>
    <n v="0.35820000000000002"/>
    <n v="3"/>
    <n v="25"/>
    <n v="28"/>
  </r>
  <r>
    <n v="512"/>
    <x v="22"/>
    <n v="1"/>
    <n v="2011"/>
    <s v="January"/>
    <x v="10"/>
    <b v="1"/>
    <x v="1"/>
    <x v="0"/>
    <x v="14"/>
    <n v="0.1061"/>
    <n v="0.46"/>
    <n v="0.3881"/>
    <n v="7"/>
    <n v="51"/>
    <n v="58"/>
  </r>
  <r>
    <n v="513"/>
    <x v="22"/>
    <n v="1"/>
    <n v="2011"/>
    <s v="January"/>
    <x v="11"/>
    <b v="1"/>
    <x v="1"/>
    <x v="0"/>
    <x v="14"/>
    <n v="0.13639999999999999"/>
    <n v="0.43"/>
    <n v="0.22389999999999999"/>
    <n v="22"/>
    <n v="77"/>
    <n v="99"/>
  </r>
  <r>
    <n v="514"/>
    <x v="22"/>
    <n v="1"/>
    <n v="2011"/>
    <s v="January"/>
    <x v="12"/>
    <b v="1"/>
    <x v="1"/>
    <x v="0"/>
    <x v="13"/>
    <n v="0.1212"/>
    <n v="0.37"/>
    <n v="0.4627"/>
    <n v="24"/>
    <n v="92"/>
    <n v="116"/>
  </r>
  <r>
    <n v="515"/>
    <x v="22"/>
    <n v="1"/>
    <n v="2011"/>
    <s v="January"/>
    <x v="13"/>
    <b v="1"/>
    <x v="1"/>
    <x v="0"/>
    <x v="14"/>
    <n v="0.1061"/>
    <n v="0.33"/>
    <n v="0.3881"/>
    <n v="12"/>
    <n v="75"/>
    <n v="87"/>
  </r>
  <r>
    <n v="516"/>
    <x v="22"/>
    <n v="1"/>
    <n v="2011"/>
    <s v="January"/>
    <x v="14"/>
    <b v="1"/>
    <x v="1"/>
    <x v="0"/>
    <x v="13"/>
    <n v="0.13639999999999999"/>
    <n v="0.28000000000000003"/>
    <n v="0.35820000000000002"/>
    <n v="17"/>
    <n v="93"/>
    <n v="110"/>
  </r>
  <r>
    <n v="517"/>
    <x v="22"/>
    <n v="1"/>
    <n v="2011"/>
    <s v="January"/>
    <x v="15"/>
    <b v="1"/>
    <x v="1"/>
    <x v="0"/>
    <x v="13"/>
    <n v="0.13639999999999999"/>
    <n v="0.28000000000000003"/>
    <n v="0.35820000000000002"/>
    <n v="13"/>
    <n v="64"/>
    <n v="77"/>
  </r>
  <r>
    <n v="518"/>
    <x v="22"/>
    <n v="1"/>
    <n v="2011"/>
    <s v="January"/>
    <x v="16"/>
    <b v="1"/>
    <x v="1"/>
    <x v="0"/>
    <x v="13"/>
    <n v="0.13639999999999999"/>
    <n v="0.26"/>
    <n v="0.32840000000000003"/>
    <n v="9"/>
    <n v="56"/>
    <n v="65"/>
  </r>
  <r>
    <n v="519"/>
    <x v="22"/>
    <n v="1"/>
    <n v="2011"/>
    <s v="January"/>
    <x v="17"/>
    <b v="1"/>
    <x v="1"/>
    <x v="0"/>
    <x v="14"/>
    <n v="0.1061"/>
    <n v="0.26"/>
    <n v="0.3881"/>
    <n v="5"/>
    <n v="50"/>
    <n v="55"/>
  </r>
  <r>
    <n v="520"/>
    <x v="22"/>
    <n v="1"/>
    <n v="2011"/>
    <s v="January"/>
    <x v="18"/>
    <b v="1"/>
    <x v="1"/>
    <x v="0"/>
    <x v="16"/>
    <n v="0.1212"/>
    <n v="0.3"/>
    <n v="0.25369999999999998"/>
    <n v="5"/>
    <n v="44"/>
    <n v="49"/>
  </r>
  <r>
    <n v="521"/>
    <x v="22"/>
    <n v="1"/>
    <n v="2011"/>
    <s v="January"/>
    <x v="19"/>
    <b v="1"/>
    <x v="1"/>
    <x v="0"/>
    <x v="16"/>
    <n v="0.1212"/>
    <n v="0.3"/>
    <n v="0.28360000000000002"/>
    <n v="5"/>
    <n v="45"/>
    <n v="50"/>
  </r>
  <r>
    <n v="522"/>
    <x v="22"/>
    <n v="1"/>
    <n v="2011"/>
    <s v="January"/>
    <x v="20"/>
    <b v="1"/>
    <x v="1"/>
    <x v="0"/>
    <x v="18"/>
    <n v="0.1061"/>
    <n v="0.36"/>
    <n v="0.25369999999999998"/>
    <n v="4"/>
    <n v="31"/>
    <n v="35"/>
  </r>
  <r>
    <n v="523"/>
    <x v="22"/>
    <n v="1"/>
    <n v="2011"/>
    <s v="January"/>
    <x v="21"/>
    <b v="1"/>
    <x v="1"/>
    <x v="0"/>
    <x v="18"/>
    <n v="0.1061"/>
    <n v="0.36"/>
    <n v="0.19400000000000001"/>
    <n v="5"/>
    <n v="20"/>
    <n v="25"/>
  </r>
  <r>
    <n v="524"/>
    <x v="22"/>
    <n v="1"/>
    <n v="2011"/>
    <s v="January"/>
    <x v="22"/>
    <b v="1"/>
    <x v="1"/>
    <x v="0"/>
    <x v="19"/>
    <n v="9.0899999999999995E-2"/>
    <n v="0.38"/>
    <n v="0.19400000000000001"/>
    <n v="5"/>
    <n v="23"/>
    <n v="28"/>
  </r>
  <r>
    <n v="525"/>
    <x v="22"/>
    <n v="1"/>
    <n v="2011"/>
    <s v="January"/>
    <x v="23"/>
    <b v="1"/>
    <x v="1"/>
    <x v="0"/>
    <x v="20"/>
    <n v="6.0600000000000001E-2"/>
    <n v="0.41"/>
    <n v="0.22389999999999999"/>
    <n v="4"/>
    <n v="17"/>
    <n v="21"/>
  </r>
  <r>
    <n v="526"/>
    <x v="23"/>
    <n v="1"/>
    <n v="2011"/>
    <s v="January"/>
    <x v="0"/>
    <b v="0"/>
    <x v="2"/>
    <x v="0"/>
    <x v="20"/>
    <n v="6.0600000000000001E-2"/>
    <n v="0.41"/>
    <n v="0.19400000000000001"/>
    <n v="0"/>
    <n v="7"/>
    <n v="7"/>
  </r>
  <r>
    <n v="527"/>
    <x v="23"/>
    <n v="1"/>
    <n v="2011"/>
    <s v="January"/>
    <x v="1"/>
    <b v="0"/>
    <x v="2"/>
    <x v="0"/>
    <x v="21"/>
    <n v="4.5499999999999999E-2"/>
    <n v="0.45"/>
    <n v="0.19400000000000001"/>
    <n v="0"/>
    <n v="1"/>
    <n v="1"/>
  </r>
  <r>
    <n v="528"/>
    <x v="23"/>
    <n v="1"/>
    <n v="2011"/>
    <s v="January"/>
    <x v="3"/>
    <b v="0"/>
    <x v="2"/>
    <x v="0"/>
    <x v="21"/>
    <n v="3.0300000000000001E-2"/>
    <n v="0.45"/>
    <n v="0.25369999999999998"/>
    <n v="0"/>
    <n v="1"/>
    <n v="1"/>
  </r>
  <r>
    <n v="529"/>
    <x v="23"/>
    <n v="1"/>
    <n v="2011"/>
    <s v="January"/>
    <x v="4"/>
    <b v="0"/>
    <x v="2"/>
    <x v="0"/>
    <x v="22"/>
    <n v="6.0600000000000001E-2"/>
    <n v="0.48"/>
    <n v="0.1343"/>
    <n v="0"/>
    <n v="1"/>
    <n v="1"/>
  </r>
  <r>
    <n v="530"/>
    <x v="23"/>
    <n v="1"/>
    <n v="2011"/>
    <s v="January"/>
    <x v="5"/>
    <b v="0"/>
    <x v="2"/>
    <x v="0"/>
    <x v="22"/>
    <n v="6.0600000000000001E-2"/>
    <n v="0.48"/>
    <n v="0.1343"/>
    <n v="0"/>
    <n v="5"/>
    <n v="5"/>
  </r>
  <r>
    <n v="531"/>
    <x v="23"/>
    <n v="1"/>
    <n v="2011"/>
    <s v="January"/>
    <x v="6"/>
    <b v="0"/>
    <x v="2"/>
    <x v="0"/>
    <x v="22"/>
    <n v="7.5800000000000006E-2"/>
    <n v="0.48"/>
    <n v="8.9599999999999999E-2"/>
    <n v="0"/>
    <n v="15"/>
    <n v="15"/>
  </r>
  <r>
    <n v="532"/>
    <x v="23"/>
    <n v="1"/>
    <n v="2011"/>
    <s v="January"/>
    <x v="7"/>
    <b v="0"/>
    <x v="2"/>
    <x v="0"/>
    <x v="22"/>
    <n v="0.1212"/>
    <n v="0.48"/>
    <n v="0"/>
    <n v="5"/>
    <n v="79"/>
    <n v="84"/>
  </r>
  <r>
    <n v="533"/>
    <x v="23"/>
    <n v="1"/>
    <n v="2011"/>
    <s v="January"/>
    <x v="8"/>
    <b v="0"/>
    <x v="2"/>
    <x v="0"/>
    <x v="21"/>
    <n v="0.13639999999999999"/>
    <n v="0.49"/>
    <n v="0"/>
    <n v="6"/>
    <n v="171"/>
    <n v="177"/>
  </r>
  <r>
    <n v="534"/>
    <x v="23"/>
    <n v="1"/>
    <n v="2011"/>
    <s v="January"/>
    <x v="9"/>
    <b v="0"/>
    <x v="2"/>
    <x v="0"/>
    <x v="20"/>
    <n v="0.1515"/>
    <n v="0.41"/>
    <n v="0"/>
    <n v="4"/>
    <n v="98"/>
    <n v="102"/>
  </r>
  <r>
    <n v="535"/>
    <x v="23"/>
    <n v="1"/>
    <n v="2011"/>
    <s v="January"/>
    <x v="10"/>
    <b v="0"/>
    <x v="2"/>
    <x v="0"/>
    <x v="18"/>
    <n v="0.13639999999999999"/>
    <n v="0.42"/>
    <n v="0"/>
    <n v="6"/>
    <n v="34"/>
    <n v="40"/>
  </r>
  <r>
    <n v="536"/>
    <x v="23"/>
    <n v="1"/>
    <n v="2011"/>
    <s v="January"/>
    <x v="11"/>
    <b v="0"/>
    <x v="2"/>
    <x v="0"/>
    <x v="18"/>
    <n v="0.1212"/>
    <n v="0.46"/>
    <n v="0.1343"/>
    <n v="3"/>
    <n v="43"/>
    <n v="46"/>
  </r>
  <r>
    <n v="537"/>
    <x v="23"/>
    <n v="1"/>
    <n v="2011"/>
    <s v="January"/>
    <x v="12"/>
    <b v="0"/>
    <x v="2"/>
    <x v="1"/>
    <x v="16"/>
    <n v="0.13639999999999999"/>
    <n v="0.42"/>
    <n v="0.19400000000000001"/>
    <n v="11"/>
    <n v="52"/>
    <n v="63"/>
  </r>
  <r>
    <n v="538"/>
    <x v="23"/>
    <n v="1"/>
    <n v="2011"/>
    <s v="January"/>
    <x v="13"/>
    <b v="0"/>
    <x v="2"/>
    <x v="1"/>
    <x v="14"/>
    <n v="0.13639999999999999"/>
    <n v="0.43"/>
    <n v="0.22389999999999999"/>
    <n v="6"/>
    <n v="54"/>
    <n v="60"/>
  </r>
  <r>
    <n v="539"/>
    <x v="23"/>
    <n v="1"/>
    <n v="2011"/>
    <s v="January"/>
    <x v="14"/>
    <b v="0"/>
    <x v="2"/>
    <x v="1"/>
    <x v="14"/>
    <n v="0.13639999999999999"/>
    <n v="0.46"/>
    <n v="0.22389999999999999"/>
    <n v="2"/>
    <n v="43"/>
    <n v="45"/>
  </r>
  <r>
    <n v="540"/>
    <x v="23"/>
    <n v="1"/>
    <n v="2011"/>
    <s v="January"/>
    <x v="15"/>
    <b v="0"/>
    <x v="2"/>
    <x v="0"/>
    <x v="13"/>
    <n v="0.16669999999999999"/>
    <n v="0.4"/>
    <n v="0.16420000000000001"/>
    <n v="7"/>
    <n v="50"/>
    <n v="57"/>
  </r>
  <r>
    <n v="541"/>
    <x v="23"/>
    <n v="1"/>
    <n v="2011"/>
    <s v="January"/>
    <x v="16"/>
    <b v="0"/>
    <x v="2"/>
    <x v="0"/>
    <x v="13"/>
    <n v="0.1515"/>
    <n v="0.47"/>
    <n v="0.25369999999999998"/>
    <n v="4"/>
    <n v="66"/>
    <n v="70"/>
  </r>
  <r>
    <n v="542"/>
    <x v="23"/>
    <n v="1"/>
    <n v="2011"/>
    <s v="January"/>
    <x v="17"/>
    <b v="0"/>
    <x v="2"/>
    <x v="0"/>
    <x v="14"/>
    <n v="0.1212"/>
    <n v="0.5"/>
    <n v="0.25369999999999998"/>
    <n v="6"/>
    <n v="178"/>
    <n v="184"/>
  </r>
  <r>
    <n v="543"/>
    <x v="23"/>
    <n v="1"/>
    <n v="2011"/>
    <s v="January"/>
    <x v="18"/>
    <b v="0"/>
    <x v="2"/>
    <x v="0"/>
    <x v="14"/>
    <n v="0.13639999999999999"/>
    <n v="0.59"/>
    <n v="0.19400000000000001"/>
    <n v="8"/>
    <n v="145"/>
    <n v="153"/>
  </r>
  <r>
    <n v="544"/>
    <x v="23"/>
    <n v="1"/>
    <n v="2011"/>
    <s v="January"/>
    <x v="19"/>
    <b v="0"/>
    <x v="2"/>
    <x v="0"/>
    <x v="14"/>
    <n v="0.1515"/>
    <n v="0.54"/>
    <n v="0.16420000000000001"/>
    <n v="5"/>
    <n v="101"/>
    <n v="106"/>
  </r>
  <r>
    <n v="545"/>
    <x v="23"/>
    <n v="1"/>
    <n v="2011"/>
    <s v="January"/>
    <x v="20"/>
    <b v="0"/>
    <x v="2"/>
    <x v="0"/>
    <x v="14"/>
    <n v="0.13639999999999999"/>
    <n v="0.59"/>
    <n v="0.19400000000000001"/>
    <n v="1"/>
    <n v="80"/>
    <n v="81"/>
  </r>
  <r>
    <n v="546"/>
    <x v="23"/>
    <n v="1"/>
    <n v="2011"/>
    <s v="January"/>
    <x v="21"/>
    <b v="0"/>
    <x v="2"/>
    <x v="0"/>
    <x v="14"/>
    <n v="0.1515"/>
    <n v="0.63"/>
    <n v="0.16420000000000001"/>
    <n v="6"/>
    <n v="53"/>
    <n v="59"/>
  </r>
  <r>
    <n v="547"/>
    <x v="23"/>
    <n v="1"/>
    <n v="2011"/>
    <s v="January"/>
    <x v="22"/>
    <b v="0"/>
    <x v="2"/>
    <x v="1"/>
    <x v="14"/>
    <n v="0.13639999999999999"/>
    <n v="0.63"/>
    <n v="0.22389999999999999"/>
    <n v="3"/>
    <n v="32"/>
    <n v="35"/>
  </r>
  <r>
    <n v="548"/>
    <x v="23"/>
    <n v="1"/>
    <n v="2011"/>
    <s v="January"/>
    <x v="23"/>
    <b v="0"/>
    <x v="2"/>
    <x v="1"/>
    <x v="13"/>
    <n v="0.1515"/>
    <n v="0.64"/>
    <n v="0.25369999999999998"/>
    <n v="3"/>
    <n v="21"/>
    <n v="24"/>
  </r>
  <r>
    <n v="549"/>
    <x v="24"/>
    <n v="1"/>
    <n v="2011"/>
    <s v="January"/>
    <x v="0"/>
    <b v="0"/>
    <x v="3"/>
    <x v="1"/>
    <x v="13"/>
    <n v="0.13639999999999999"/>
    <n v="0.69"/>
    <n v="0.28360000000000002"/>
    <n v="3"/>
    <n v="6"/>
    <n v="9"/>
  </r>
  <r>
    <n v="550"/>
    <x v="24"/>
    <n v="1"/>
    <n v="2011"/>
    <s v="January"/>
    <x v="1"/>
    <b v="0"/>
    <x v="3"/>
    <x v="1"/>
    <x v="13"/>
    <n v="0.16669999999999999"/>
    <n v="0.69"/>
    <n v="0.16420000000000001"/>
    <n v="0"/>
    <n v="5"/>
    <n v="5"/>
  </r>
  <r>
    <n v="551"/>
    <x v="24"/>
    <n v="1"/>
    <n v="2011"/>
    <s v="January"/>
    <x v="2"/>
    <b v="0"/>
    <x v="3"/>
    <x v="0"/>
    <x v="13"/>
    <n v="0.1515"/>
    <n v="0.69"/>
    <n v="0.22389999999999999"/>
    <n v="0"/>
    <n v="2"/>
    <n v="2"/>
  </r>
  <r>
    <n v="552"/>
    <x v="24"/>
    <n v="1"/>
    <n v="2011"/>
    <s v="January"/>
    <x v="4"/>
    <b v="0"/>
    <x v="3"/>
    <x v="0"/>
    <x v="14"/>
    <n v="0.16669999999999999"/>
    <n v="0.74"/>
    <n v="0.1045"/>
    <n v="0"/>
    <n v="1"/>
    <n v="1"/>
  </r>
  <r>
    <n v="553"/>
    <x v="24"/>
    <n v="1"/>
    <n v="2011"/>
    <s v="January"/>
    <x v="5"/>
    <b v="0"/>
    <x v="3"/>
    <x v="0"/>
    <x v="14"/>
    <n v="0.13639999999999999"/>
    <n v="0.74"/>
    <n v="0.22389999999999999"/>
    <n v="0"/>
    <n v="9"/>
    <n v="9"/>
  </r>
  <r>
    <n v="554"/>
    <x v="24"/>
    <n v="1"/>
    <n v="2011"/>
    <s v="January"/>
    <x v="6"/>
    <b v="0"/>
    <x v="3"/>
    <x v="0"/>
    <x v="13"/>
    <n v="0.18179999999999999"/>
    <n v="0.74"/>
    <n v="0.1045"/>
    <n v="1"/>
    <n v="35"/>
    <n v="36"/>
  </r>
  <r>
    <n v="555"/>
    <x v="24"/>
    <n v="1"/>
    <n v="2011"/>
    <s v="January"/>
    <x v="7"/>
    <b v="0"/>
    <x v="3"/>
    <x v="0"/>
    <x v="13"/>
    <n v="0.1515"/>
    <n v="0.74"/>
    <n v="0.22389999999999999"/>
    <n v="5"/>
    <n v="103"/>
    <n v="108"/>
  </r>
  <r>
    <n v="556"/>
    <x v="24"/>
    <n v="1"/>
    <n v="2011"/>
    <s v="January"/>
    <x v="8"/>
    <b v="0"/>
    <x v="3"/>
    <x v="1"/>
    <x v="13"/>
    <n v="0.18179999999999999"/>
    <n v="0.74"/>
    <n v="0.1343"/>
    <n v="5"/>
    <n v="233"/>
    <n v="238"/>
  </r>
  <r>
    <n v="557"/>
    <x v="24"/>
    <n v="1"/>
    <n v="2011"/>
    <s v="January"/>
    <x v="9"/>
    <b v="0"/>
    <x v="3"/>
    <x v="1"/>
    <x v="2"/>
    <n v="0.2273"/>
    <n v="0.64"/>
    <n v="8.9599999999999999E-2"/>
    <n v="10"/>
    <n v="134"/>
    <n v="144"/>
  </r>
  <r>
    <n v="558"/>
    <x v="24"/>
    <n v="1"/>
    <n v="2011"/>
    <s v="January"/>
    <x v="10"/>
    <b v="0"/>
    <x v="3"/>
    <x v="1"/>
    <x v="1"/>
    <n v="0.2424"/>
    <n v="0.6"/>
    <n v="0.1045"/>
    <n v="6"/>
    <n v="49"/>
    <n v="55"/>
  </r>
  <r>
    <n v="559"/>
    <x v="24"/>
    <n v="1"/>
    <n v="2011"/>
    <s v="January"/>
    <x v="11"/>
    <b v="0"/>
    <x v="3"/>
    <x v="1"/>
    <x v="0"/>
    <n v="0.2424"/>
    <n v="0.6"/>
    <n v="0.1343"/>
    <n v="6"/>
    <n v="55"/>
    <n v="61"/>
  </r>
  <r>
    <n v="560"/>
    <x v="24"/>
    <n v="1"/>
    <n v="2011"/>
    <s v="January"/>
    <x v="12"/>
    <b v="0"/>
    <x v="3"/>
    <x v="1"/>
    <x v="12"/>
    <n v="0.28789999999999999"/>
    <n v="0.56000000000000005"/>
    <n v="8.9599999999999999E-2"/>
    <n v="21"/>
    <n v="85"/>
    <n v="106"/>
  </r>
  <r>
    <n v="561"/>
    <x v="24"/>
    <n v="1"/>
    <n v="2011"/>
    <s v="January"/>
    <x v="13"/>
    <b v="0"/>
    <x v="3"/>
    <x v="1"/>
    <x v="12"/>
    <n v="0.2727"/>
    <n v="0.56000000000000005"/>
    <n v="0.1343"/>
    <n v="21"/>
    <n v="72"/>
    <n v="93"/>
  </r>
  <r>
    <n v="562"/>
    <x v="24"/>
    <n v="1"/>
    <n v="2011"/>
    <s v="January"/>
    <x v="14"/>
    <b v="0"/>
    <x v="3"/>
    <x v="1"/>
    <x v="11"/>
    <n v="0.33329999999999999"/>
    <n v="0.45"/>
    <n v="0"/>
    <n v="11"/>
    <n v="57"/>
    <n v="68"/>
  </r>
  <r>
    <n v="563"/>
    <x v="24"/>
    <n v="1"/>
    <n v="2011"/>
    <s v="January"/>
    <x v="15"/>
    <b v="0"/>
    <x v="3"/>
    <x v="1"/>
    <x v="3"/>
    <n v="0.34849999999999998"/>
    <n v="0.42"/>
    <n v="0"/>
    <n v="21"/>
    <n v="63"/>
    <n v="84"/>
  </r>
  <r>
    <n v="564"/>
    <x v="24"/>
    <n v="1"/>
    <n v="2011"/>
    <s v="January"/>
    <x v="16"/>
    <b v="0"/>
    <x v="3"/>
    <x v="1"/>
    <x v="3"/>
    <n v="0.34849999999999998"/>
    <n v="0.42"/>
    <n v="0"/>
    <n v="14"/>
    <n v="102"/>
    <n v="116"/>
  </r>
  <r>
    <n v="565"/>
    <x v="24"/>
    <n v="1"/>
    <n v="2011"/>
    <s v="January"/>
    <x v="17"/>
    <b v="0"/>
    <x v="3"/>
    <x v="0"/>
    <x v="11"/>
    <n v="0.33329999999999999"/>
    <n v="0.45"/>
    <n v="0"/>
    <n v="14"/>
    <n v="208"/>
    <n v="222"/>
  </r>
  <r>
    <n v="566"/>
    <x v="24"/>
    <n v="1"/>
    <n v="2011"/>
    <s v="January"/>
    <x v="18"/>
    <b v="0"/>
    <x v="3"/>
    <x v="1"/>
    <x v="11"/>
    <n v="0.31819999999999998"/>
    <n v="0.49"/>
    <n v="8.9599999999999999E-2"/>
    <n v="7"/>
    <n v="218"/>
    <n v="225"/>
  </r>
  <r>
    <n v="567"/>
    <x v="24"/>
    <n v="1"/>
    <n v="2011"/>
    <s v="January"/>
    <x v="19"/>
    <b v="0"/>
    <x v="3"/>
    <x v="1"/>
    <x v="12"/>
    <n v="0.2576"/>
    <n v="0.65"/>
    <n v="0.16420000000000001"/>
    <n v="13"/>
    <n v="133"/>
    <n v="146"/>
  </r>
  <r>
    <n v="568"/>
    <x v="24"/>
    <n v="1"/>
    <n v="2011"/>
    <s v="January"/>
    <x v="20"/>
    <b v="0"/>
    <x v="3"/>
    <x v="0"/>
    <x v="0"/>
    <n v="0.2273"/>
    <n v="0.65"/>
    <n v="0.19400000000000001"/>
    <n v="16"/>
    <n v="103"/>
    <n v="119"/>
  </r>
  <r>
    <n v="569"/>
    <x v="24"/>
    <n v="1"/>
    <n v="2011"/>
    <s v="January"/>
    <x v="21"/>
    <b v="0"/>
    <x v="3"/>
    <x v="0"/>
    <x v="0"/>
    <n v="0.2273"/>
    <n v="0.65"/>
    <n v="0.19400000000000001"/>
    <n v="5"/>
    <n v="40"/>
    <n v="45"/>
  </r>
  <r>
    <n v="570"/>
    <x v="24"/>
    <n v="1"/>
    <n v="2011"/>
    <s v="January"/>
    <x v="22"/>
    <b v="0"/>
    <x v="3"/>
    <x v="0"/>
    <x v="1"/>
    <n v="0.2273"/>
    <n v="0.64"/>
    <n v="0.16420000000000001"/>
    <n v="4"/>
    <n v="49"/>
    <n v="53"/>
  </r>
  <r>
    <n v="571"/>
    <x v="24"/>
    <n v="1"/>
    <n v="2011"/>
    <s v="January"/>
    <x v="23"/>
    <b v="0"/>
    <x v="3"/>
    <x v="1"/>
    <x v="1"/>
    <n v="0.2273"/>
    <n v="0.64"/>
    <n v="0.16420000000000001"/>
    <n v="3"/>
    <n v="37"/>
    <n v="40"/>
  </r>
  <r>
    <n v="572"/>
    <x v="25"/>
    <n v="1"/>
    <n v="2011"/>
    <s v="January"/>
    <x v="0"/>
    <b v="0"/>
    <x v="4"/>
    <x v="1"/>
    <x v="1"/>
    <n v="0.2273"/>
    <n v="0.69"/>
    <n v="0.1343"/>
    <n v="3"/>
    <n v="14"/>
    <n v="17"/>
  </r>
  <r>
    <n v="573"/>
    <x v="25"/>
    <n v="1"/>
    <n v="2011"/>
    <s v="January"/>
    <x v="1"/>
    <b v="0"/>
    <x v="4"/>
    <x v="1"/>
    <x v="0"/>
    <n v="0.2424"/>
    <n v="0.65"/>
    <n v="0.1343"/>
    <n v="0"/>
    <n v="5"/>
    <n v="5"/>
  </r>
  <r>
    <n v="574"/>
    <x v="25"/>
    <n v="1"/>
    <n v="2011"/>
    <s v="January"/>
    <x v="2"/>
    <b v="0"/>
    <x v="4"/>
    <x v="2"/>
    <x v="1"/>
    <n v="0.2273"/>
    <n v="0.69"/>
    <n v="0.19400000000000001"/>
    <n v="3"/>
    <n v="7"/>
    <n v="10"/>
  </r>
  <r>
    <n v="575"/>
    <x v="25"/>
    <n v="1"/>
    <n v="2011"/>
    <s v="January"/>
    <x v="5"/>
    <b v="0"/>
    <x v="4"/>
    <x v="2"/>
    <x v="2"/>
    <n v="0.18179999999999999"/>
    <n v="0.86"/>
    <n v="0.28360000000000002"/>
    <n v="0"/>
    <n v="1"/>
    <n v="1"/>
  </r>
  <r>
    <n v="576"/>
    <x v="25"/>
    <n v="1"/>
    <n v="2011"/>
    <s v="January"/>
    <x v="6"/>
    <b v="0"/>
    <x v="4"/>
    <x v="2"/>
    <x v="2"/>
    <n v="0.18179999999999999"/>
    <n v="0.86"/>
    <n v="0.28360000000000002"/>
    <n v="0"/>
    <n v="8"/>
    <n v="8"/>
  </r>
  <r>
    <n v="577"/>
    <x v="25"/>
    <n v="1"/>
    <n v="2011"/>
    <s v="January"/>
    <x v="7"/>
    <b v="0"/>
    <x v="4"/>
    <x v="2"/>
    <x v="1"/>
    <n v="0.21210000000000001"/>
    <n v="0.87"/>
    <n v="0.29849999999999999"/>
    <n v="1"/>
    <n v="29"/>
    <n v="30"/>
  </r>
  <r>
    <n v="578"/>
    <x v="25"/>
    <n v="1"/>
    <n v="2011"/>
    <s v="January"/>
    <x v="8"/>
    <b v="0"/>
    <x v="4"/>
    <x v="2"/>
    <x v="1"/>
    <n v="0.21210000000000001"/>
    <n v="0.87"/>
    <n v="0.29849999999999999"/>
    <n v="3"/>
    <n v="69"/>
    <n v="72"/>
  </r>
  <r>
    <n v="579"/>
    <x v="25"/>
    <n v="1"/>
    <n v="2011"/>
    <s v="January"/>
    <x v="9"/>
    <b v="0"/>
    <x v="4"/>
    <x v="2"/>
    <x v="1"/>
    <n v="0.21210000000000001"/>
    <n v="0.87"/>
    <n v="0.29849999999999999"/>
    <n v="3"/>
    <n v="55"/>
    <n v="58"/>
  </r>
  <r>
    <n v="580"/>
    <x v="25"/>
    <n v="1"/>
    <n v="2011"/>
    <s v="January"/>
    <x v="10"/>
    <b v="0"/>
    <x v="4"/>
    <x v="2"/>
    <x v="1"/>
    <n v="0.21210000000000001"/>
    <n v="0.93"/>
    <n v="0.28360000000000002"/>
    <n v="2"/>
    <n v="26"/>
    <n v="28"/>
  </r>
  <r>
    <n v="581"/>
    <x v="25"/>
    <n v="1"/>
    <n v="2011"/>
    <s v="January"/>
    <x v="11"/>
    <b v="0"/>
    <x v="4"/>
    <x v="2"/>
    <x v="1"/>
    <n v="0.19700000000000001"/>
    <n v="0.93"/>
    <n v="0.32840000000000003"/>
    <n v="6"/>
    <n v="35"/>
    <n v="41"/>
  </r>
  <r>
    <n v="582"/>
    <x v="25"/>
    <n v="1"/>
    <n v="2011"/>
    <s v="January"/>
    <x v="12"/>
    <b v="0"/>
    <x v="4"/>
    <x v="2"/>
    <x v="1"/>
    <n v="0.19700000000000001"/>
    <n v="0.93"/>
    <n v="0.32840000000000003"/>
    <n v="7"/>
    <n v="41"/>
    <n v="48"/>
  </r>
  <r>
    <n v="583"/>
    <x v="25"/>
    <n v="1"/>
    <n v="2011"/>
    <s v="January"/>
    <x v="13"/>
    <b v="0"/>
    <x v="4"/>
    <x v="2"/>
    <x v="1"/>
    <n v="0.19700000000000001"/>
    <n v="0.93"/>
    <n v="0.32840000000000003"/>
    <n v="4"/>
    <n v="43"/>
    <n v="47"/>
  </r>
  <r>
    <n v="584"/>
    <x v="25"/>
    <n v="1"/>
    <n v="2011"/>
    <s v="January"/>
    <x v="14"/>
    <b v="0"/>
    <x v="4"/>
    <x v="2"/>
    <x v="1"/>
    <n v="0.19700000000000001"/>
    <n v="0.93"/>
    <n v="0.35820000000000002"/>
    <n v="0"/>
    <n v="36"/>
    <n v="36"/>
  </r>
  <r>
    <n v="585"/>
    <x v="25"/>
    <n v="1"/>
    <n v="2011"/>
    <s v="January"/>
    <x v="15"/>
    <b v="0"/>
    <x v="4"/>
    <x v="2"/>
    <x v="1"/>
    <n v="0.18179999999999999"/>
    <n v="0.93"/>
    <n v="0.4627"/>
    <n v="1"/>
    <n v="42"/>
    <n v="43"/>
  </r>
  <r>
    <n v="586"/>
    <x v="25"/>
    <n v="1"/>
    <n v="2011"/>
    <s v="January"/>
    <x v="16"/>
    <b v="0"/>
    <x v="4"/>
    <x v="3"/>
    <x v="1"/>
    <n v="0.19700000000000001"/>
    <n v="0.93"/>
    <n v="0.32840000000000003"/>
    <n v="1"/>
    <n v="35"/>
    <n v="36"/>
  </r>
  <r>
    <n v="587"/>
    <x v="25"/>
    <n v="1"/>
    <n v="2011"/>
    <s v="January"/>
    <x v="17"/>
    <b v="0"/>
    <x v="4"/>
    <x v="2"/>
    <x v="2"/>
    <n v="0.18179999999999999"/>
    <n v="0.93"/>
    <n v="0.35820000000000002"/>
    <n v="0"/>
    <n v="26"/>
    <n v="26"/>
  </r>
  <r>
    <n v="588"/>
    <x v="26"/>
    <n v="1"/>
    <n v="2011"/>
    <s v="January"/>
    <x v="16"/>
    <b v="0"/>
    <x v="5"/>
    <x v="0"/>
    <x v="1"/>
    <n v="0.2273"/>
    <n v="0.55000000000000004"/>
    <n v="0.19400000000000001"/>
    <n v="1"/>
    <n v="23"/>
    <n v="24"/>
  </r>
  <r>
    <n v="589"/>
    <x v="26"/>
    <n v="1"/>
    <n v="2011"/>
    <s v="January"/>
    <x v="17"/>
    <b v="0"/>
    <x v="5"/>
    <x v="0"/>
    <x v="1"/>
    <n v="0.2424"/>
    <n v="0.55000000000000004"/>
    <n v="0.1045"/>
    <n v="2"/>
    <n v="82"/>
    <n v="84"/>
  </r>
  <r>
    <n v="590"/>
    <x v="26"/>
    <n v="1"/>
    <n v="2011"/>
    <s v="January"/>
    <x v="18"/>
    <b v="0"/>
    <x v="5"/>
    <x v="0"/>
    <x v="2"/>
    <n v="0.2273"/>
    <n v="0.69"/>
    <n v="8.9599999999999999E-2"/>
    <n v="3"/>
    <n v="101"/>
    <n v="104"/>
  </r>
  <r>
    <n v="591"/>
    <x v="26"/>
    <n v="1"/>
    <n v="2011"/>
    <s v="January"/>
    <x v="19"/>
    <b v="0"/>
    <x v="5"/>
    <x v="0"/>
    <x v="2"/>
    <n v="0.2273"/>
    <n v="0.69"/>
    <n v="8.9599999999999999E-2"/>
    <n v="3"/>
    <n v="76"/>
    <n v="79"/>
  </r>
  <r>
    <n v="592"/>
    <x v="26"/>
    <n v="1"/>
    <n v="2011"/>
    <s v="January"/>
    <x v="20"/>
    <b v="0"/>
    <x v="5"/>
    <x v="0"/>
    <x v="15"/>
    <n v="0.21210000000000001"/>
    <n v="0.74"/>
    <n v="8.9599999999999999E-2"/>
    <n v="4"/>
    <n v="55"/>
    <n v="59"/>
  </r>
  <r>
    <n v="593"/>
    <x v="26"/>
    <n v="1"/>
    <n v="2011"/>
    <s v="January"/>
    <x v="21"/>
    <b v="0"/>
    <x v="5"/>
    <x v="0"/>
    <x v="15"/>
    <n v="0.21210000000000001"/>
    <n v="0.74"/>
    <n v="8.9599999999999999E-2"/>
    <n v="2"/>
    <n v="36"/>
    <n v="38"/>
  </r>
  <r>
    <n v="594"/>
    <x v="26"/>
    <n v="1"/>
    <n v="2011"/>
    <s v="January"/>
    <x v="22"/>
    <b v="0"/>
    <x v="5"/>
    <x v="0"/>
    <x v="15"/>
    <n v="0.21210000000000001"/>
    <n v="0.74"/>
    <n v="8.9599999999999999E-2"/>
    <n v="0"/>
    <n v="27"/>
    <n v="27"/>
  </r>
  <r>
    <n v="595"/>
    <x v="26"/>
    <n v="1"/>
    <n v="2011"/>
    <s v="January"/>
    <x v="23"/>
    <b v="0"/>
    <x v="5"/>
    <x v="0"/>
    <x v="15"/>
    <n v="0.19700000000000001"/>
    <n v="0.8"/>
    <n v="0.16420000000000001"/>
    <n v="0"/>
    <n v="16"/>
    <n v="16"/>
  </r>
  <r>
    <n v="596"/>
    <x v="27"/>
    <n v="1"/>
    <n v="2011"/>
    <s v="January"/>
    <x v="0"/>
    <b v="0"/>
    <x v="6"/>
    <x v="1"/>
    <x v="2"/>
    <n v="0.21210000000000001"/>
    <n v="0.75"/>
    <n v="0.1343"/>
    <n v="0"/>
    <n v="9"/>
    <n v="9"/>
  </r>
  <r>
    <n v="597"/>
    <x v="27"/>
    <n v="1"/>
    <n v="2011"/>
    <s v="January"/>
    <x v="1"/>
    <b v="0"/>
    <x v="6"/>
    <x v="1"/>
    <x v="2"/>
    <n v="0.21210000000000001"/>
    <n v="0.75"/>
    <n v="0.1343"/>
    <n v="1"/>
    <n v="2"/>
    <n v="3"/>
  </r>
  <r>
    <n v="598"/>
    <x v="27"/>
    <n v="1"/>
    <n v="2011"/>
    <s v="January"/>
    <x v="2"/>
    <b v="0"/>
    <x v="6"/>
    <x v="1"/>
    <x v="2"/>
    <n v="0.21210000000000001"/>
    <n v="0.75"/>
    <n v="0.16420000000000001"/>
    <n v="0"/>
    <n v="2"/>
    <n v="2"/>
  </r>
  <r>
    <n v="599"/>
    <x v="27"/>
    <n v="1"/>
    <n v="2011"/>
    <s v="January"/>
    <x v="3"/>
    <b v="0"/>
    <x v="6"/>
    <x v="1"/>
    <x v="2"/>
    <n v="0.2273"/>
    <n v="0.75"/>
    <n v="0.1045"/>
    <n v="1"/>
    <n v="0"/>
    <n v="1"/>
  </r>
  <r>
    <n v="600"/>
    <x v="27"/>
    <n v="1"/>
    <n v="2011"/>
    <s v="January"/>
    <x v="5"/>
    <b v="0"/>
    <x v="6"/>
    <x v="1"/>
    <x v="15"/>
    <n v="0.21210000000000001"/>
    <n v="0.8"/>
    <n v="0.1045"/>
    <n v="0"/>
    <n v="4"/>
    <n v="4"/>
  </r>
  <r>
    <n v="601"/>
    <x v="27"/>
    <n v="1"/>
    <n v="2011"/>
    <s v="January"/>
    <x v="6"/>
    <b v="0"/>
    <x v="6"/>
    <x v="1"/>
    <x v="15"/>
    <n v="0.19700000000000001"/>
    <n v="0.8"/>
    <n v="0.1343"/>
    <n v="0"/>
    <n v="16"/>
    <n v="16"/>
  </r>
  <r>
    <n v="602"/>
    <x v="27"/>
    <n v="1"/>
    <n v="2011"/>
    <s v="January"/>
    <x v="7"/>
    <b v="0"/>
    <x v="6"/>
    <x v="1"/>
    <x v="13"/>
    <n v="0.19700000000000001"/>
    <n v="0.86"/>
    <n v="8.9599999999999999E-2"/>
    <n v="2"/>
    <n v="58"/>
    <n v="60"/>
  </r>
  <r>
    <n v="603"/>
    <x v="27"/>
    <n v="1"/>
    <n v="2011"/>
    <s v="January"/>
    <x v="8"/>
    <b v="0"/>
    <x v="6"/>
    <x v="1"/>
    <x v="13"/>
    <n v="0.19700000000000001"/>
    <n v="0.86"/>
    <n v="8.9599999999999999E-2"/>
    <n v="2"/>
    <n v="155"/>
    <n v="157"/>
  </r>
  <r>
    <n v="604"/>
    <x v="27"/>
    <n v="1"/>
    <n v="2011"/>
    <s v="January"/>
    <x v="9"/>
    <b v="0"/>
    <x v="6"/>
    <x v="2"/>
    <x v="15"/>
    <n v="0.21210000000000001"/>
    <n v="0.86"/>
    <n v="8.9599999999999999E-2"/>
    <n v="6"/>
    <n v="95"/>
    <n v="101"/>
  </r>
  <r>
    <n v="605"/>
    <x v="27"/>
    <n v="1"/>
    <n v="2011"/>
    <s v="January"/>
    <x v="10"/>
    <b v="0"/>
    <x v="6"/>
    <x v="2"/>
    <x v="15"/>
    <n v="0.21210000000000001"/>
    <n v="0.86"/>
    <n v="0.1045"/>
    <n v="0"/>
    <n v="49"/>
    <n v="49"/>
  </r>
  <r>
    <n v="606"/>
    <x v="27"/>
    <n v="1"/>
    <n v="2011"/>
    <s v="January"/>
    <x v="11"/>
    <b v="0"/>
    <x v="6"/>
    <x v="2"/>
    <x v="15"/>
    <n v="0.21210000000000001"/>
    <n v="0.93"/>
    <n v="0.1045"/>
    <n v="0"/>
    <n v="30"/>
    <n v="30"/>
  </r>
  <r>
    <n v="607"/>
    <x v="27"/>
    <n v="1"/>
    <n v="2011"/>
    <s v="January"/>
    <x v="12"/>
    <b v="0"/>
    <x v="6"/>
    <x v="2"/>
    <x v="15"/>
    <n v="0.21210000000000001"/>
    <n v="0.93"/>
    <n v="0.1045"/>
    <n v="1"/>
    <n v="28"/>
    <n v="29"/>
  </r>
  <r>
    <n v="608"/>
    <x v="27"/>
    <n v="1"/>
    <n v="2011"/>
    <s v="January"/>
    <x v="13"/>
    <b v="0"/>
    <x v="6"/>
    <x v="2"/>
    <x v="15"/>
    <n v="0.21210000000000001"/>
    <n v="0.93"/>
    <n v="0.1045"/>
    <n v="0"/>
    <n v="31"/>
    <n v="31"/>
  </r>
  <r>
    <n v="609"/>
    <x v="27"/>
    <n v="1"/>
    <n v="2011"/>
    <s v="January"/>
    <x v="14"/>
    <b v="0"/>
    <x v="6"/>
    <x v="2"/>
    <x v="1"/>
    <n v="0.2727"/>
    <n v="0.8"/>
    <n v="0"/>
    <n v="2"/>
    <n v="36"/>
    <n v="38"/>
  </r>
  <r>
    <n v="610"/>
    <x v="27"/>
    <n v="1"/>
    <n v="2011"/>
    <s v="January"/>
    <x v="15"/>
    <b v="0"/>
    <x v="6"/>
    <x v="1"/>
    <x v="2"/>
    <n v="0.2576"/>
    <n v="0.86"/>
    <n v="0"/>
    <n v="1"/>
    <n v="40"/>
    <n v="41"/>
  </r>
  <r>
    <n v="611"/>
    <x v="28"/>
    <n v="1"/>
    <n v="2011"/>
    <s v="January"/>
    <x v="1"/>
    <b v="0"/>
    <x v="0"/>
    <x v="0"/>
    <x v="1"/>
    <n v="0.2273"/>
    <n v="0.64"/>
    <n v="0.19400000000000001"/>
    <n v="0"/>
    <n v="20"/>
    <n v="20"/>
  </r>
  <r>
    <n v="612"/>
    <x v="28"/>
    <n v="1"/>
    <n v="2011"/>
    <s v="January"/>
    <x v="2"/>
    <b v="0"/>
    <x v="0"/>
    <x v="0"/>
    <x v="1"/>
    <n v="0.2273"/>
    <n v="0.64"/>
    <n v="0.16420000000000001"/>
    <n v="0"/>
    <n v="15"/>
    <n v="15"/>
  </r>
  <r>
    <n v="613"/>
    <x v="28"/>
    <n v="1"/>
    <n v="2011"/>
    <s v="January"/>
    <x v="3"/>
    <b v="0"/>
    <x v="0"/>
    <x v="0"/>
    <x v="2"/>
    <n v="0.21210000000000001"/>
    <n v="0.64"/>
    <n v="0.1343"/>
    <n v="3"/>
    <n v="5"/>
    <n v="8"/>
  </r>
  <r>
    <n v="614"/>
    <x v="28"/>
    <n v="1"/>
    <n v="2011"/>
    <s v="January"/>
    <x v="4"/>
    <b v="0"/>
    <x v="0"/>
    <x v="0"/>
    <x v="13"/>
    <n v="0.18179999999999999"/>
    <n v="0.69"/>
    <n v="0.1045"/>
    <n v="1"/>
    <n v="2"/>
    <n v="3"/>
  </r>
  <r>
    <n v="615"/>
    <x v="28"/>
    <n v="1"/>
    <n v="2011"/>
    <s v="January"/>
    <x v="6"/>
    <b v="0"/>
    <x v="0"/>
    <x v="0"/>
    <x v="13"/>
    <n v="0.18179999999999999"/>
    <n v="0.64"/>
    <n v="0.1343"/>
    <n v="0"/>
    <n v="2"/>
    <n v="2"/>
  </r>
  <r>
    <n v="616"/>
    <x v="28"/>
    <n v="1"/>
    <n v="2011"/>
    <s v="January"/>
    <x v="7"/>
    <b v="0"/>
    <x v="0"/>
    <x v="0"/>
    <x v="13"/>
    <n v="0.18179999999999999"/>
    <n v="0.59"/>
    <n v="0.1045"/>
    <n v="1"/>
    <n v="4"/>
    <n v="5"/>
  </r>
  <r>
    <n v="617"/>
    <x v="28"/>
    <n v="1"/>
    <n v="2011"/>
    <s v="January"/>
    <x v="8"/>
    <b v="0"/>
    <x v="0"/>
    <x v="0"/>
    <x v="15"/>
    <n v="0.19700000000000001"/>
    <n v="0.55000000000000004"/>
    <n v="0.16420000000000001"/>
    <n v="3"/>
    <n v="31"/>
    <n v="34"/>
  </r>
  <r>
    <n v="618"/>
    <x v="28"/>
    <n v="1"/>
    <n v="2011"/>
    <s v="January"/>
    <x v="9"/>
    <b v="0"/>
    <x v="0"/>
    <x v="0"/>
    <x v="15"/>
    <n v="0.21210000000000001"/>
    <n v="0.59"/>
    <n v="8.9599999999999999E-2"/>
    <n v="0"/>
    <n v="34"/>
    <n v="34"/>
  </r>
  <r>
    <n v="619"/>
    <x v="28"/>
    <n v="1"/>
    <n v="2011"/>
    <s v="January"/>
    <x v="10"/>
    <b v="0"/>
    <x v="0"/>
    <x v="1"/>
    <x v="15"/>
    <n v="0.21210000000000001"/>
    <n v="0.64"/>
    <n v="0.1045"/>
    <n v="4"/>
    <n v="51"/>
    <n v="55"/>
  </r>
  <r>
    <n v="620"/>
    <x v="28"/>
    <n v="1"/>
    <n v="2011"/>
    <s v="January"/>
    <x v="11"/>
    <b v="0"/>
    <x v="0"/>
    <x v="1"/>
    <x v="15"/>
    <n v="0.19700000000000001"/>
    <n v="0.64"/>
    <n v="0.1343"/>
    <n v="4"/>
    <n v="60"/>
    <n v="64"/>
  </r>
  <r>
    <n v="621"/>
    <x v="28"/>
    <n v="1"/>
    <n v="2011"/>
    <s v="January"/>
    <x v="12"/>
    <b v="0"/>
    <x v="0"/>
    <x v="1"/>
    <x v="2"/>
    <n v="0.19700000000000001"/>
    <n v="0.59"/>
    <n v="0.19400000000000001"/>
    <n v="12"/>
    <n v="66"/>
    <n v="78"/>
  </r>
  <r>
    <n v="622"/>
    <x v="28"/>
    <n v="1"/>
    <n v="2011"/>
    <s v="January"/>
    <x v="13"/>
    <b v="0"/>
    <x v="0"/>
    <x v="1"/>
    <x v="1"/>
    <n v="0.2273"/>
    <n v="0.55000000000000004"/>
    <n v="0.16420000000000001"/>
    <n v="9"/>
    <n v="56"/>
    <n v="65"/>
  </r>
  <r>
    <n v="623"/>
    <x v="28"/>
    <n v="1"/>
    <n v="2011"/>
    <s v="January"/>
    <x v="14"/>
    <b v="0"/>
    <x v="0"/>
    <x v="1"/>
    <x v="1"/>
    <n v="0.2273"/>
    <n v="0.6"/>
    <n v="0.1343"/>
    <n v="10"/>
    <n v="89"/>
    <n v="99"/>
  </r>
  <r>
    <n v="624"/>
    <x v="28"/>
    <n v="1"/>
    <n v="2011"/>
    <s v="January"/>
    <x v="15"/>
    <b v="0"/>
    <x v="0"/>
    <x v="0"/>
    <x v="1"/>
    <n v="0.21210000000000001"/>
    <n v="0.69"/>
    <n v="0.25369999999999998"/>
    <n v="22"/>
    <n v="98"/>
    <n v="120"/>
  </r>
  <r>
    <n v="625"/>
    <x v="28"/>
    <n v="1"/>
    <n v="2011"/>
    <s v="January"/>
    <x v="16"/>
    <b v="0"/>
    <x v="0"/>
    <x v="0"/>
    <x v="0"/>
    <n v="0.2424"/>
    <n v="0.6"/>
    <n v="0.16420000000000001"/>
    <n v="19"/>
    <n v="88"/>
    <n v="107"/>
  </r>
  <r>
    <n v="626"/>
    <x v="28"/>
    <n v="1"/>
    <n v="2011"/>
    <s v="January"/>
    <x v="17"/>
    <b v="0"/>
    <x v="0"/>
    <x v="0"/>
    <x v="0"/>
    <n v="0.28789999999999999"/>
    <n v="0.6"/>
    <n v="0"/>
    <n v="9"/>
    <n v="82"/>
    <n v="91"/>
  </r>
  <r>
    <n v="627"/>
    <x v="28"/>
    <n v="1"/>
    <n v="2011"/>
    <s v="January"/>
    <x v="18"/>
    <b v="0"/>
    <x v="0"/>
    <x v="0"/>
    <x v="1"/>
    <n v="0.2273"/>
    <n v="0.69"/>
    <n v="0.1343"/>
    <n v="9"/>
    <n v="59"/>
    <n v="68"/>
  </r>
  <r>
    <n v="628"/>
    <x v="28"/>
    <n v="1"/>
    <n v="2011"/>
    <s v="January"/>
    <x v="19"/>
    <b v="0"/>
    <x v="0"/>
    <x v="1"/>
    <x v="1"/>
    <n v="0.21210000000000001"/>
    <n v="0.69"/>
    <n v="0.25369999999999998"/>
    <n v="6"/>
    <n v="52"/>
    <n v="58"/>
  </r>
  <r>
    <n v="629"/>
    <x v="28"/>
    <n v="1"/>
    <n v="2011"/>
    <s v="January"/>
    <x v="20"/>
    <b v="0"/>
    <x v="0"/>
    <x v="0"/>
    <x v="15"/>
    <n v="0.21210000000000001"/>
    <n v="0.74"/>
    <n v="8.9599999999999999E-2"/>
    <n v="1"/>
    <n v="42"/>
    <n v="43"/>
  </r>
  <r>
    <n v="630"/>
    <x v="28"/>
    <n v="1"/>
    <n v="2011"/>
    <s v="January"/>
    <x v="21"/>
    <b v="0"/>
    <x v="0"/>
    <x v="0"/>
    <x v="15"/>
    <n v="0.21210000000000001"/>
    <n v="0.74"/>
    <n v="8.9599999999999999E-2"/>
    <n v="1"/>
    <n v="35"/>
    <n v="36"/>
  </r>
  <r>
    <n v="631"/>
    <x v="28"/>
    <n v="1"/>
    <n v="2011"/>
    <s v="January"/>
    <x v="22"/>
    <b v="0"/>
    <x v="0"/>
    <x v="0"/>
    <x v="13"/>
    <n v="0.19700000000000001"/>
    <n v="0.8"/>
    <n v="8.9599999999999999E-2"/>
    <n v="4"/>
    <n v="28"/>
    <n v="32"/>
  </r>
  <r>
    <n v="632"/>
    <x v="28"/>
    <n v="1"/>
    <n v="2011"/>
    <s v="January"/>
    <x v="23"/>
    <b v="0"/>
    <x v="0"/>
    <x v="0"/>
    <x v="13"/>
    <n v="0.19700000000000001"/>
    <n v="0.8"/>
    <n v="8.9599999999999999E-2"/>
    <n v="3"/>
    <n v="30"/>
    <n v="33"/>
  </r>
  <r>
    <n v="633"/>
    <x v="29"/>
    <n v="1"/>
    <n v="2011"/>
    <s v="January"/>
    <x v="0"/>
    <b v="1"/>
    <x v="1"/>
    <x v="0"/>
    <x v="13"/>
    <n v="0.18179999999999999"/>
    <n v="0.8"/>
    <n v="0.1045"/>
    <n v="0"/>
    <n v="33"/>
    <n v="33"/>
  </r>
  <r>
    <n v="634"/>
    <x v="29"/>
    <n v="1"/>
    <n v="2011"/>
    <s v="January"/>
    <x v="1"/>
    <b v="1"/>
    <x v="1"/>
    <x v="0"/>
    <x v="14"/>
    <n v="0.21210000000000001"/>
    <n v="0.8"/>
    <n v="0"/>
    <n v="7"/>
    <n v="22"/>
    <n v="29"/>
  </r>
  <r>
    <n v="635"/>
    <x v="29"/>
    <n v="1"/>
    <n v="2011"/>
    <s v="January"/>
    <x v="2"/>
    <b v="1"/>
    <x v="1"/>
    <x v="0"/>
    <x v="13"/>
    <n v="0.2273"/>
    <n v="0.8"/>
    <n v="0"/>
    <n v="1"/>
    <n v="10"/>
    <n v="11"/>
  </r>
  <r>
    <n v="636"/>
    <x v="29"/>
    <n v="1"/>
    <n v="2011"/>
    <s v="January"/>
    <x v="3"/>
    <b v="1"/>
    <x v="1"/>
    <x v="0"/>
    <x v="14"/>
    <n v="0.21210000000000001"/>
    <n v="0.93"/>
    <n v="0"/>
    <n v="1"/>
    <n v="7"/>
    <n v="8"/>
  </r>
  <r>
    <n v="637"/>
    <x v="29"/>
    <n v="1"/>
    <n v="2011"/>
    <s v="January"/>
    <x v="4"/>
    <b v="1"/>
    <x v="1"/>
    <x v="0"/>
    <x v="14"/>
    <n v="0.21210000000000001"/>
    <n v="0.93"/>
    <n v="0"/>
    <n v="0"/>
    <n v="1"/>
    <n v="1"/>
  </r>
  <r>
    <n v="638"/>
    <x v="29"/>
    <n v="1"/>
    <n v="2011"/>
    <s v="January"/>
    <x v="5"/>
    <b v="1"/>
    <x v="1"/>
    <x v="0"/>
    <x v="14"/>
    <n v="0.21210000000000001"/>
    <n v="0.86"/>
    <n v="0"/>
    <n v="0"/>
    <n v="3"/>
    <n v="3"/>
  </r>
  <r>
    <n v="639"/>
    <x v="29"/>
    <n v="1"/>
    <n v="2011"/>
    <s v="January"/>
    <x v="7"/>
    <b v="1"/>
    <x v="1"/>
    <x v="0"/>
    <x v="14"/>
    <n v="0.21210000000000001"/>
    <n v="0.86"/>
    <n v="0"/>
    <n v="0"/>
    <n v="3"/>
    <n v="3"/>
  </r>
  <r>
    <n v="640"/>
    <x v="29"/>
    <n v="1"/>
    <n v="2011"/>
    <s v="January"/>
    <x v="8"/>
    <b v="1"/>
    <x v="1"/>
    <x v="1"/>
    <x v="14"/>
    <n v="0.21210000000000001"/>
    <n v="0.86"/>
    <n v="0"/>
    <n v="1"/>
    <n v="11"/>
    <n v="12"/>
  </r>
  <r>
    <n v="641"/>
    <x v="29"/>
    <n v="1"/>
    <n v="2011"/>
    <s v="January"/>
    <x v="9"/>
    <b v="1"/>
    <x v="1"/>
    <x v="1"/>
    <x v="13"/>
    <n v="0.2273"/>
    <n v="0.8"/>
    <n v="0"/>
    <n v="4"/>
    <n v="34"/>
    <n v="38"/>
  </r>
  <r>
    <n v="642"/>
    <x v="29"/>
    <n v="1"/>
    <n v="2011"/>
    <s v="January"/>
    <x v="10"/>
    <b v="1"/>
    <x v="1"/>
    <x v="1"/>
    <x v="15"/>
    <n v="0.2424"/>
    <n v="0.8"/>
    <n v="0"/>
    <n v="7"/>
    <n v="57"/>
    <n v="64"/>
  </r>
  <r>
    <n v="643"/>
    <x v="29"/>
    <n v="1"/>
    <n v="2011"/>
    <s v="January"/>
    <x v="11"/>
    <b v="1"/>
    <x v="1"/>
    <x v="0"/>
    <x v="1"/>
    <n v="0.2727"/>
    <n v="0.75"/>
    <n v="0"/>
    <n v="9"/>
    <n v="50"/>
    <n v="59"/>
  </r>
  <r>
    <n v="644"/>
    <x v="29"/>
    <n v="1"/>
    <n v="2011"/>
    <s v="January"/>
    <x v="12"/>
    <b v="1"/>
    <x v="1"/>
    <x v="0"/>
    <x v="11"/>
    <n v="0.31819999999999998"/>
    <n v="0.52"/>
    <n v="0.1045"/>
    <n v="10"/>
    <n v="87"/>
    <n v="97"/>
  </r>
  <r>
    <n v="645"/>
    <x v="29"/>
    <n v="1"/>
    <n v="2011"/>
    <s v="January"/>
    <x v="13"/>
    <b v="1"/>
    <x v="1"/>
    <x v="0"/>
    <x v="17"/>
    <n v="0.28789999999999999"/>
    <n v="0.61"/>
    <n v="0.1045"/>
    <n v="13"/>
    <n v="71"/>
    <n v="84"/>
  </r>
  <r>
    <n v="646"/>
    <x v="29"/>
    <n v="1"/>
    <n v="2011"/>
    <s v="January"/>
    <x v="14"/>
    <b v="1"/>
    <x v="1"/>
    <x v="0"/>
    <x v="17"/>
    <n v="0.30299999999999999"/>
    <n v="0.61"/>
    <n v="8.9599999999999999E-2"/>
    <n v="18"/>
    <n v="104"/>
    <n v="122"/>
  </r>
  <r>
    <n v="647"/>
    <x v="29"/>
    <n v="1"/>
    <n v="2011"/>
    <s v="January"/>
    <x v="15"/>
    <b v="1"/>
    <x v="1"/>
    <x v="0"/>
    <x v="11"/>
    <n v="0.33329999999999999"/>
    <n v="0.56000000000000005"/>
    <n v="0"/>
    <n v="14"/>
    <n v="95"/>
    <n v="109"/>
  </r>
  <r>
    <n v="648"/>
    <x v="29"/>
    <n v="1"/>
    <n v="2011"/>
    <s v="January"/>
    <x v="16"/>
    <b v="1"/>
    <x v="1"/>
    <x v="0"/>
    <x v="11"/>
    <n v="0.33329999999999999"/>
    <n v="0.56000000000000005"/>
    <n v="0"/>
    <n v="19"/>
    <n v="104"/>
    <n v="123"/>
  </r>
  <r>
    <n v="649"/>
    <x v="29"/>
    <n v="1"/>
    <n v="2011"/>
    <s v="January"/>
    <x v="17"/>
    <b v="1"/>
    <x v="1"/>
    <x v="0"/>
    <x v="11"/>
    <n v="0.28789999999999999"/>
    <n v="0.56000000000000005"/>
    <n v="0.19400000000000001"/>
    <n v="6"/>
    <n v="71"/>
    <n v="77"/>
  </r>
  <r>
    <n v="650"/>
    <x v="29"/>
    <n v="1"/>
    <n v="2011"/>
    <s v="January"/>
    <x v="18"/>
    <b v="1"/>
    <x v="1"/>
    <x v="0"/>
    <x v="12"/>
    <n v="0.2576"/>
    <n v="0.65"/>
    <n v="0.16420000000000001"/>
    <n v="8"/>
    <n v="57"/>
    <n v="65"/>
  </r>
  <r>
    <n v="651"/>
    <x v="29"/>
    <n v="1"/>
    <n v="2011"/>
    <s v="January"/>
    <x v="19"/>
    <b v="1"/>
    <x v="1"/>
    <x v="0"/>
    <x v="12"/>
    <n v="0.2576"/>
    <n v="0.65"/>
    <n v="0.19400000000000001"/>
    <n v="9"/>
    <n v="46"/>
    <n v="55"/>
  </r>
  <r>
    <n v="652"/>
    <x v="29"/>
    <n v="1"/>
    <n v="2011"/>
    <s v="January"/>
    <x v="20"/>
    <b v="1"/>
    <x v="1"/>
    <x v="1"/>
    <x v="12"/>
    <n v="0.2727"/>
    <n v="0.65"/>
    <n v="0.1045"/>
    <n v="3"/>
    <n v="30"/>
    <n v="33"/>
  </r>
  <r>
    <n v="653"/>
    <x v="29"/>
    <n v="1"/>
    <n v="2011"/>
    <s v="January"/>
    <x v="21"/>
    <b v="1"/>
    <x v="1"/>
    <x v="1"/>
    <x v="0"/>
    <n v="0.2424"/>
    <n v="0.7"/>
    <n v="0.16420000000000001"/>
    <n v="3"/>
    <n v="25"/>
    <n v="28"/>
  </r>
  <r>
    <n v="654"/>
    <x v="29"/>
    <n v="1"/>
    <n v="2011"/>
    <s v="January"/>
    <x v="22"/>
    <b v="1"/>
    <x v="1"/>
    <x v="1"/>
    <x v="0"/>
    <n v="0.2273"/>
    <n v="0.7"/>
    <n v="0.19400000000000001"/>
    <n v="2"/>
    <n v="19"/>
    <n v="21"/>
  </r>
  <r>
    <n v="655"/>
    <x v="29"/>
    <n v="1"/>
    <n v="2011"/>
    <s v="January"/>
    <x v="23"/>
    <b v="1"/>
    <x v="1"/>
    <x v="1"/>
    <x v="0"/>
    <n v="0.21210000000000001"/>
    <n v="0.65"/>
    <n v="0.28360000000000002"/>
    <n v="5"/>
    <n v="16"/>
    <n v="21"/>
  </r>
  <r>
    <n v="656"/>
    <x v="30"/>
    <n v="1"/>
    <n v="2011"/>
    <s v="January"/>
    <x v="0"/>
    <b v="0"/>
    <x v="2"/>
    <x v="1"/>
    <x v="0"/>
    <n v="0.2273"/>
    <n v="0.65"/>
    <n v="0.22389999999999999"/>
    <n v="1"/>
    <n v="6"/>
    <n v="7"/>
  </r>
  <r>
    <n v="657"/>
    <x v="30"/>
    <n v="1"/>
    <n v="2011"/>
    <s v="January"/>
    <x v="1"/>
    <b v="0"/>
    <x v="2"/>
    <x v="0"/>
    <x v="1"/>
    <n v="0.21210000000000001"/>
    <n v="0.64"/>
    <n v="0.25369999999999998"/>
    <n v="2"/>
    <n v="5"/>
    <n v="7"/>
  </r>
  <r>
    <n v="658"/>
    <x v="30"/>
    <n v="1"/>
    <n v="2011"/>
    <s v="January"/>
    <x v="2"/>
    <b v="0"/>
    <x v="2"/>
    <x v="0"/>
    <x v="1"/>
    <n v="0.2273"/>
    <n v="0.64"/>
    <n v="0.19400000000000001"/>
    <n v="0"/>
    <n v="1"/>
    <n v="1"/>
  </r>
  <r>
    <n v="659"/>
    <x v="30"/>
    <n v="1"/>
    <n v="2011"/>
    <s v="January"/>
    <x v="3"/>
    <b v="0"/>
    <x v="2"/>
    <x v="0"/>
    <x v="1"/>
    <n v="0.2273"/>
    <n v="0.64"/>
    <n v="0.19400000000000001"/>
    <n v="0"/>
    <n v="2"/>
    <n v="2"/>
  </r>
  <r>
    <n v="660"/>
    <x v="30"/>
    <n v="1"/>
    <n v="2011"/>
    <s v="January"/>
    <x v="4"/>
    <b v="0"/>
    <x v="2"/>
    <x v="0"/>
    <x v="2"/>
    <n v="0.19700000000000001"/>
    <n v="0.59"/>
    <n v="0.22389999999999999"/>
    <n v="0"/>
    <n v="2"/>
    <n v="2"/>
  </r>
  <r>
    <n v="661"/>
    <x v="30"/>
    <n v="1"/>
    <n v="2011"/>
    <s v="January"/>
    <x v="5"/>
    <b v="0"/>
    <x v="2"/>
    <x v="0"/>
    <x v="15"/>
    <n v="0.16669999999999999"/>
    <n v="0.64"/>
    <n v="0.28360000000000002"/>
    <n v="0"/>
    <n v="8"/>
    <n v="8"/>
  </r>
  <r>
    <n v="662"/>
    <x v="30"/>
    <n v="1"/>
    <n v="2011"/>
    <s v="January"/>
    <x v="6"/>
    <b v="0"/>
    <x v="2"/>
    <x v="0"/>
    <x v="13"/>
    <n v="0.13639999999999999"/>
    <n v="0.69"/>
    <n v="0.32840000000000003"/>
    <n v="0"/>
    <n v="37"/>
    <n v="37"/>
  </r>
  <r>
    <n v="663"/>
    <x v="30"/>
    <n v="1"/>
    <n v="2011"/>
    <s v="January"/>
    <x v="7"/>
    <b v="0"/>
    <x v="2"/>
    <x v="1"/>
    <x v="13"/>
    <n v="0.13639999999999999"/>
    <n v="0.64"/>
    <n v="0.28360000000000002"/>
    <n v="1"/>
    <n v="71"/>
    <n v="72"/>
  </r>
  <r>
    <n v="664"/>
    <x v="30"/>
    <n v="1"/>
    <n v="2011"/>
    <s v="January"/>
    <x v="8"/>
    <b v="0"/>
    <x v="2"/>
    <x v="1"/>
    <x v="13"/>
    <n v="0.13639999999999999"/>
    <n v="0.59"/>
    <n v="0.28360000000000002"/>
    <n v="3"/>
    <n v="182"/>
    <n v="185"/>
  </r>
  <r>
    <n v="665"/>
    <x v="30"/>
    <n v="1"/>
    <n v="2011"/>
    <s v="January"/>
    <x v="9"/>
    <b v="0"/>
    <x v="2"/>
    <x v="1"/>
    <x v="13"/>
    <n v="0.13639999999999999"/>
    <n v="0.59"/>
    <n v="0.29849999999999999"/>
    <n v="0"/>
    <n v="112"/>
    <n v="112"/>
  </r>
  <r>
    <n v="666"/>
    <x v="30"/>
    <n v="1"/>
    <n v="2011"/>
    <s v="January"/>
    <x v="10"/>
    <b v="0"/>
    <x v="2"/>
    <x v="1"/>
    <x v="13"/>
    <n v="0.1515"/>
    <n v="0.59"/>
    <n v="0.19400000000000001"/>
    <n v="1"/>
    <n v="68"/>
    <n v="69"/>
  </r>
  <r>
    <n v="667"/>
    <x v="30"/>
    <n v="1"/>
    <n v="2011"/>
    <s v="January"/>
    <x v="11"/>
    <b v="0"/>
    <x v="2"/>
    <x v="1"/>
    <x v="13"/>
    <n v="0.1515"/>
    <n v="0.59"/>
    <n v="0.19400000000000001"/>
    <n v="2"/>
    <n v="46"/>
    <n v="48"/>
  </r>
  <r>
    <n v="668"/>
    <x v="30"/>
    <n v="1"/>
    <n v="2011"/>
    <s v="January"/>
    <x v="12"/>
    <b v="0"/>
    <x v="2"/>
    <x v="1"/>
    <x v="15"/>
    <n v="0.21210000000000001"/>
    <n v="0.55000000000000004"/>
    <n v="0.1045"/>
    <n v="6"/>
    <n v="62"/>
    <n v="68"/>
  </r>
  <r>
    <n v="669"/>
    <x v="30"/>
    <n v="1"/>
    <n v="2011"/>
    <s v="January"/>
    <x v="13"/>
    <b v="0"/>
    <x v="2"/>
    <x v="1"/>
    <x v="13"/>
    <n v="0.2273"/>
    <n v="0.59"/>
    <n v="0"/>
    <n v="2"/>
    <n v="52"/>
    <n v="54"/>
  </r>
  <r>
    <n v="670"/>
    <x v="30"/>
    <n v="1"/>
    <n v="2011"/>
    <s v="January"/>
    <x v="14"/>
    <b v="0"/>
    <x v="2"/>
    <x v="1"/>
    <x v="15"/>
    <n v="0.19700000000000001"/>
    <n v="0.55000000000000004"/>
    <n v="0.1343"/>
    <n v="1"/>
    <n v="85"/>
    <n v="86"/>
  </r>
  <r>
    <n v="671"/>
    <x v="30"/>
    <n v="1"/>
    <n v="2011"/>
    <s v="January"/>
    <x v="15"/>
    <b v="0"/>
    <x v="2"/>
    <x v="1"/>
    <x v="13"/>
    <n v="0.18179999999999999"/>
    <n v="0.59"/>
    <n v="0.1343"/>
    <n v="3"/>
    <n v="41"/>
    <n v="44"/>
  </r>
  <r>
    <n v="672"/>
    <x v="30"/>
    <n v="1"/>
    <n v="2011"/>
    <s v="January"/>
    <x v="16"/>
    <b v="0"/>
    <x v="2"/>
    <x v="1"/>
    <x v="13"/>
    <n v="0.18179999999999999"/>
    <n v="0.56000000000000005"/>
    <n v="0.19400000000000001"/>
    <n v="3"/>
    <n v="83"/>
    <n v="86"/>
  </r>
  <r>
    <n v="673"/>
    <x v="30"/>
    <n v="1"/>
    <n v="2011"/>
    <s v="January"/>
    <x v="17"/>
    <b v="0"/>
    <x v="2"/>
    <x v="1"/>
    <x v="13"/>
    <n v="0.1515"/>
    <n v="0.59"/>
    <n v="0.19400000000000001"/>
    <n v="6"/>
    <n v="155"/>
    <n v="161"/>
  </r>
  <r>
    <n v="674"/>
    <x v="30"/>
    <n v="1"/>
    <n v="2011"/>
    <s v="January"/>
    <x v="18"/>
    <b v="0"/>
    <x v="2"/>
    <x v="1"/>
    <x v="13"/>
    <n v="0.1515"/>
    <n v="0.55000000000000004"/>
    <n v="0.22389999999999999"/>
    <n v="3"/>
    <n v="153"/>
    <n v="156"/>
  </r>
  <r>
    <n v="675"/>
    <x v="30"/>
    <n v="1"/>
    <n v="2011"/>
    <s v="January"/>
    <x v="19"/>
    <b v="0"/>
    <x v="2"/>
    <x v="0"/>
    <x v="11"/>
    <n v="0.31819999999999998"/>
    <n v="0.61"/>
    <n v="0.1045"/>
    <n v="3"/>
    <n v="108"/>
    <n v="111"/>
  </r>
  <r>
    <n v="676"/>
    <x v="30"/>
    <n v="1"/>
    <n v="2011"/>
    <s v="January"/>
    <x v="20"/>
    <b v="0"/>
    <x v="2"/>
    <x v="2"/>
    <x v="13"/>
    <n v="0.16669999999999999"/>
    <n v="0.59"/>
    <n v="0.16420000000000001"/>
    <n v="0"/>
    <n v="78"/>
    <n v="78"/>
  </r>
  <r>
    <n v="677"/>
    <x v="30"/>
    <n v="1"/>
    <n v="2011"/>
    <s v="January"/>
    <x v="21"/>
    <b v="0"/>
    <x v="2"/>
    <x v="2"/>
    <x v="13"/>
    <n v="0.19700000000000001"/>
    <n v="0.59"/>
    <n v="8.9599999999999999E-2"/>
    <n v="3"/>
    <n v="53"/>
    <n v="56"/>
  </r>
  <r>
    <n v="678"/>
    <x v="30"/>
    <n v="1"/>
    <n v="2011"/>
    <s v="January"/>
    <x v="22"/>
    <b v="0"/>
    <x v="2"/>
    <x v="1"/>
    <x v="13"/>
    <n v="0.18179999999999999"/>
    <n v="0.59"/>
    <n v="0.1045"/>
    <n v="0"/>
    <n v="34"/>
    <n v="34"/>
  </r>
  <r>
    <n v="679"/>
    <x v="30"/>
    <n v="1"/>
    <n v="2011"/>
    <s v="January"/>
    <x v="23"/>
    <b v="0"/>
    <x v="2"/>
    <x v="1"/>
    <x v="13"/>
    <n v="0.19700000000000001"/>
    <n v="0.64"/>
    <n v="8.9599999999999999E-2"/>
    <n v="2"/>
    <n v="15"/>
    <n v="17"/>
  </r>
  <r>
    <n v="680"/>
    <x v="31"/>
    <n v="1"/>
    <n v="2011"/>
    <s v="February"/>
    <x v="0"/>
    <b v="0"/>
    <x v="3"/>
    <x v="1"/>
    <x v="13"/>
    <n v="0.18179999999999999"/>
    <n v="0.64"/>
    <n v="0.1045"/>
    <n v="2"/>
    <n v="6"/>
    <n v="8"/>
  </r>
  <r>
    <n v="681"/>
    <x v="31"/>
    <n v="1"/>
    <n v="2011"/>
    <s v="February"/>
    <x v="1"/>
    <b v="0"/>
    <x v="3"/>
    <x v="1"/>
    <x v="13"/>
    <n v="0.18179999999999999"/>
    <n v="0.69"/>
    <n v="0.1045"/>
    <n v="0"/>
    <n v="3"/>
    <n v="3"/>
  </r>
  <r>
    <n v="682"/>
    <x v="31"/>
    <n v="1"/>
    <n v="2011"/>
    <s v="February"/>
    <x v="2"/>
    <b v="0"/>
    <x v="3"/>
    <x v="1"/>
    <x v="13"/>
    <n v="0.2273"/>
    <n v="0.69"/>
    <n v="0"/>
    <n v="0"/>
    <n v="2"/>
    <n v="2"/>
  </r>
  <r>
    <n v="683"/>
    <x v="31"/>
    <n v="1"/>
    <n v="2011"/>
    <s v="February"/>
    <x v="3"/>
    <b v="0"/>
    <x v="3"/>
    <x v="1"/>
    <x v="13"/>
    <n v="0.2273"/>
    <n v="0.69"/>
    <n v="0"/>
    <n v="0"/>
    <n v="2"/>
    <n v="2"/>
  </r>
  <r>
    <n v="684"/>
    <x v="31"/>
    <n v="1"/>
    <n v="2011"/>
    <s v="February"/>
    <x v="5"/>
    <b v="0"/>
    <x v="3"/>
    <x v="2"/>
    <x v="14"/>
    <n v="0.21210000000000001"/>
    <n v="0.93"/>
    <n v="0"/>
    <n v="0"/>
    <n v="3"/>
    <n v="3"/>
  </r>
  <r>
    <n v="685"/>
    <x v="31"/>
    <n v="1"/>
    <n v="2011"/>
    <s v="February"/>
    <x v="6"/>
    <b v="0"/>
    <x v="3"/>
    <x v="2"/>
    <x v="14"/>
    <n v="0.21210000000000001"/>
    <n v="0.93"/>
    <n v="0"/>
    <n v="0"/>
    <n v="22"/>
    <n v="22"/>
  </r>
  <r>
    <n v="686"/>
    <x v="31"/>
    <n v="1"/>
    <n v="2011"/>
    <s v="February"/>
    <x v="7"/>
    <b v="0"/>
    <x v="3"/>
    <x v="2"/>
    <x v="13"/>
    <n v="0.2273"/>
    <n v="0.93"/>
    <n v="0"/>
    <n v="0"/>
    <n v="52"/>
    <n v="52"/>
  </r>
  <r>
    <n v="687"/>
    <x v="31"/>
    <n v="1"/>
    <n v="2011"/>
    <s v="February"/>
    <x v="8"/>
    <b v="0"/>
    <x v="3"/>
    <x v="2"/>
    <x v="13"/>
    <n v="0.2273"/>
    <n v="0.93"/>
    <n v="0"/>
    <n v="3"/>
    <n v="132"/>
    <n v="135"/>
  </r>
  <r>
    <n v="688"/>
    <x v="31"/>
    <n v="1"/>
    <n v="2011"/>
    <s v="February"/>
    <x v="9"/>
    <b v="0"/>
    <x v="3"/>
    <x v="1"/>
    <x v="13"/>
    <n v="0.2273"/>
    <n v="0.93"/>
    <n v="0"/>
    <n v="2"/>
    <n v="114"/>
    <n v="116"/>
  </r>
  <r>
    <n v="689"/>
    <x v="31"/>
    <n v="1"/>
    <n v="2011"/>
    <s v="February"/>
    <x v="10"/>
    <b v="0"/>
    <x v="3"/>
    <x v="1"/>
    <x v="13"/>
    <n v="0.2273"/>
    <n v="0.93"/>
    <n v="0"/>
    <n v="0"/>
    <n v="47"/>
    <n v="47"/>
  </r>
  <r>
    <n v="690"/>
    <x v="31"/>
    <n v="1"/>
    <n v="2011"/>
    <s v="February"/>
    <x v="11"/>
    <b v="0"/>
    <x v="3"/>
    <x v="1"/>
    <x v="15"/>
    <n v="0.2424"/>
    <n v="0.86"/>
    <n v="0"/>
    <n v="2"/>
    <n v="49"/>
    <n v="51"/>
  </r>
  <r>
    <n v="691"/>
    <x v="31"/>
    <n v="1"/>
    <n v="2011"/>
    <s v="February"/>
    <x v="12"/>
    <b v="0"/>
    <x v="3"/>
    <x v="1"/>
    <x v="2"/>
    <n v="0.2576"/>
    <n v="0.86"/>
    <n v="0"/>
    <n v="2"/>
    <n v="53"/>
    <n v="55"/>
  </r>
  <r>
    <n v="692"/>
    <x v="31"/>
    <n v="1"/>
    <n v="2011"/>
    <s v="February"/>
    <x v="13"/>
    <b v="0"/>
    <x v="3"/>
    <x v="1"/>
    <x v="2"/>
    <n v="0.2576"/>
    <n v="0.86"/>
    <n v="0"/>
    <n v="3"/>
    <n v="49"/>
    <n v="52"/>
  </r>
  <r>
    <n v="693"/>
    <x v="31"/>
    <n v="1"/>
    <n v="2011"/>
    <s v="February"/>
    <x v="14"/>
    <b v="0"/>
    <x v="3"/>
    <x v="1"/>
    <x v="1"/>
    <n v="0.2576"/>
    <n v="0.8"/>
    <n v="8.9599999999999999E-2"/>
    <n v="5"/>
    <n v="49"/>
    <n v="54"/>
  </r>
  <r>
    <n v="694"/>
    <x v="31"/>
    <n v="1"/>
    <n v="2011"/>
    <s v="February"/>
    <x v="15"/>
    <b v="0"/>
    <x v="3"/>
    <x v="1"/>
    <x v="0"/>
    <n v="0.28789999999999999"/>
    <n v="0.75"/>
    <n v="0"/>
    <n v="7"/>
    <n v="45"/>
    <n v="52"/>
  </r>
  <r>
    <n v="695"/>
    <x v="31"/>
    <n v="1"/>
    <n v="2011"/>
    <s v="February"/>
    <x v="16"/>
    <b v="0"/>
    <x v="3"/>
    <x v="1"/>
    <x v="0"/>
    <n v="0.2424"/>
    <n v="0.75"/>
    <n v="0.1343"/>
    <n v="3"/>
    <n v="61"/>
    <n v="64"/>
  </r>
  <r>
    <n v="696"/>
    <x v="31"/>
    <n v="1"/>
    <n v="2011"/>
    <s v="February"/>
    <x v="17"/>
    <b v="0"/>
    <x v="3"/>
    <x v="1"/>
    <x v="0"/>
    <n v="0.28789999999999999"/>
    <n v="0.75"/>
    <n v="0"/>
    <n v="4"/>
    <n v="172"/>
    <n v="176"/>
  </r>
  <r>
    <n v="697"/>
    <x v="31"/>
    <n v="1"/>
    <n v="2011"/>
    <s v="February"/>
    <x v="18"/>
    <b v="0"/>
    <x v="3"/>
    <x v="1"/>
    <x v="0"/>
    <n v="0.2576"/>
    <n v="0.81"/>
    <n v="0.1045"/>
    <n v="3"/>
    <n v="165"/>
    <n v="168"/>
  </r>
  <r>
    <n v="698"/>
    <x v="31"/>
    <n v="1"/>
    <n v="2011"/>
    <s v="February"/>
    <x v="19"/>
    <b v="0"/>
    <x v="3"/>
    <x v="1"/>
    <x v="0"/>
    <n v="0.2424"/>
    <n v="0.81"/>
    <n v="0.1343"/>
    <n v="3"/>
    <n v="105"/>
    <n v="108"/>
  </r>
  <r>
    <n v="699"/>
    <x v="31"/>
    <n v="1"/>
    <n v="2011"/>
    <s v="February"/>
    <x v="20"/>
    <b v="0"/>
    <x v="3"/>
    <x v="1"/>
    <x v="1"/>
    <n v="0.2273"/>
    <n v="0.87"/>
    <n v="0.1343"/>
    <n v="5"/>
    <n v="69"/>
    <n v="74"/>
  </r>
  <r>
    <n v="700"/>
    <x v="31"/>
    <n v="1"/>
    <n v="2011"/>
    <s v="February"/>
    <x v="21"/>
    <b v="0"/>
    <x v="3"/>
    <x v="1"/>
    <x v="1"/>
    <n v="0.2273"/>
    <n v="0.87"/>
    <n v="0.1343"/>
    <n v="0"/>
    <n v="64"/>
    <n v="64"/>
  </r>
  <r>
    <n v="701"/>
    <x v="31"/>
    <n v="1"/>
    <n v="2011"/>
    <s v="February"/>
    <x v="22"/>
    <b v="0"/>
    <x v="3"/>
    <x v="1"/>
    <x v="1"/>
    <n v="0.2576"/>
    <n v="0.87"/>
    <n v="8.9599999999999999E-2"/>
    <n v="2"/>
    <n v="34"/>
    <n v="36"/>
  </r>
  <r>
    <n v="702"/>
    <x v="31"/>
    <n v="1"/>
    <n v="2011"/>
    <s v="February"/>
    <x v="23"/>
    <b v="0"/>
    <x v="3"/>
    <x v="2"/>
    <x v="2"/>
    <n v="0.19700000000000001"/>
    <n v="0.93"/>
    <n v="0.19400000000000001"/>
    <n v="1"/>
    <n v="15"/>
    <n v="16"/>
  </r>
  <r>
    <n v="703"/>
    <x v="32"/>
    <n v="1"/>
    <n v="2011"/>
    <s v="February"/>
    <x v="0"/>
    <b v="0"/>
    <x v="4"/>
    <x v="2"/>
    <x v="1"/>
    <n v="0.2424"/>
    <n v="0.93"/>
    <n v="0.1045"/>
    <n v="0"/>
    <n v="2"/>
    <n v="2"/>
  </r>
  <r>
    <n v="704"/>
    <x v="32"/>
    <n v="1"/>
    <n v="2011"/>
    <s v="February"/>
    <x v="1"/>
    <b v="0"/>
    <x v="4"/>
    <x v="2"/>
    <x v="1"/>
    <n v="0.2273"/>
    <n v="0.93"/>
    <n v="0.19400000000000001"/>
    <n v="0"/>
    <n v="3"/>
    <n v="3"/>
  </r>
  <r>
    <n v="705"/>
    <x v="32"/>
    <n v="1"/>
    <n v="2011"/>
    <s v="February"/>
    <x v="2"/>
    <b v="0"/>
    <x v="4"/>
    <x v="2"/>
    <x v="1"/>
    <n v="0.2273"/>
    <n v="0.93"/>
    <n v="0.1343"/>
    <n v="4"/>
    <n v="0"/>
    <n v="4"/>
  </r>
  <r>
    <n v="706"/>
    <x v="32"/>
    <n v="1"/>
    <n v="2011"/>
    <s v="February"/>
    <x v="3"/>
    <b v="0"/>
    <x v="4"/>
    <x v="2"/>
    <x v="1"/>
    <n v="0.2273"/>
    <n v="0.93"/>
    <n v="0.1343"/>
    <n v="0"/>
    <n v="1"/>
    <n v="1"/>
  </r>
  <r>
    <n v="707"/>
    <x v="32"/>
    <n v="1"/>
    <n v="2011"/>
    <s v="February"/>
    <x v="4"/>
    <b v="0"/>
    <x v="4"/>
    <x v="2"/>
    <x v="1"/>
    <n v="0.21210000000000001"/>
    <n v="0.93"/>
    <n v="0.28360000000000002"/>
    <n v="0"/>
    <n v="1"/>
    <n v="1"/>
  </r>
  <r>
    <n v="708"/>
    <x v="32"/>
    <n v="1"/>
    <n v="2011"/>
    <s v="February"/>
    <x v="5"/>
    <b v="0"/>
    <x v="4"/>
    <x v="2"/>
    <x v="1"/>
    <n v="0.2424"/>
    <n v="0.93"/>
    <n v="0.1045"/>
    <n v="0"/>
    <n v="3"/>
    <n v="3"/>
  </r>
  <r>
    <n v="709"/>
    <x v="32"/>
    <n v="1"/>
    <n v="2011"/>
    <s v="February"/>
    <x v="6"/>
    <b v="0"/>
    <x v="4"/>
    <x v="2"/>
    <x v="1"/>
    <n v="0.2424"/>
    <n v="0.93"/>
    <n v="0.1045"/>
    <n v="1"/>
    <n v="17"/>
    <n v="18"/>
  </r>
  <r>
    <n v="710"/>
    <x v="32"/>
    <n v="1"/>
    <n v="2011"/>
    <s v="February"/>
    <x v="7"/>
    <b v="0"/>
    <x v="4"/>
    <x v="2"/>
    <x v="1"/>
    <n v="0.21210000000000001"/>
    <n v="0.93"/>
    <n v="0.22389999999999999"/>
    <n v="1"/>
    <n v="48"/>
    <n v="49"/>
  </r>
  <r>
    <n v="711"/>
    <x v="32"/>
    <n v="1"/>
    <n v="2011"/>
    <s v="February"/>
    <x v="8"/>
    <b v="0"/>
    <x v="4"/>
    <x v="2"/>
    <x v="1"/>
    <n v="0.21210000000000001"/>
    <n v="0.93"/>
    <n v="0.22389999999999999"/>
    <n v="1"/>
    <n v="154"/>
    <n v="155"/>
  </r>
  <r>
    <n v="712"/>
    <x v="32"/>
    <n v="1"/>
    <n v="2011"/>
    <s v="February"/>
    <x v="9"/>
    <b v="0"/>
    <x v="4"/>
    <x v="1"/>
    <x v="0"/>
    <n v="0.2576"/>
    <n v="0.93"/>
    <n v="8.9599999999999999E-2"/>
    <n v="4"/>
    <n v="119"/>
    <n v="123"/>
  </r>
  <r>
    <n v="713"/>
    <x v="32"/>
    <n v="1"/>
    <n v="2011"/>
    <s v="February"/>
    <x v="10"/>
    <b v="0"/>
    <x v="4"/>
    <x v="1"/>
    <x v="1"/>
    <n v="0.2727"/>
    <n v="1"/>
    <n v="0"/>
    <n v="2"/>
    <n v="59"/>
    <n v="61"/>
  </r>
  <r>
    <n v="714"/>
    <x v="32"/>
    <n v="1"/>
    <n v="2011"/>
    <s v="February"/>
    <x v="11"/>
    <b v="0"/>
    <x v="4"/>
    <x v="1"/>
    <x v="0"/>
    <n v="0.2273"/>
    <n v="0.93"/>
    <n v="0.19400000000000001"/>
    <n v="5"/>
    <n v="47"/>
    <n v="52"/>
  </r>
  <r>
    <n v="715"/>
    <x v="32"/>
    <n v="1"/>
    <n v="2011"/>
    <s v="February"/>
    <x v="12"/>
    <b v="0"/>
    <x v="4"/>
    <x v="1"/>
    <x v="0"/>
    <n v="0.2273"/>
    <n v="0.93"/>
    <n v="0.22389999999999999"/>
    <n v="3"/>
    <n v="61"/>
    <n v="64"/>
  </r>
  <r>
    <n v="716"/>
    <x v="32"/>
    <n v="1"/>
    <n v="2011"/>
    <s v="February"/>
    <x v="13"/>
    <b v="0"/>
    <x v="4"/>
    <x v="0"/>
    <x v="10"/>
    <n v="0.33329999999999999"/>
    <n v="0.93"/>
    <n v="0.16420000000000001"/>
    <n v="1"/>
    <n v="74"/>
    <n v="75"/>
  </r>
  <r>
    <n v="717"/>
    <x v="32"/>
    <n v="1"/>
    <n v="2011"/>
    <s v="February"/>
    <x v="14"/>
    <b v="0"/>
    <x v="4"/>
    <x v="0"/>
    <x v="4"/>
    <n v="0.39389999999999997"/>
    <n v="0.82"/>
    <n v="0.3881"/>
    <n v="2"/>
    <n v="61"/>
    <n v="63"/>
  </r>
  <r>
    <n v="718"/>
    <x v="32"/>
    <n v="1"/>
    <n v="2011"/>
    <s v="February"/>
    <x v="15"/>
    <b v="0"/>
    <x v="4"/>
    <x v="0"/>
    <x v="4"/>
    <n v="0.39389999999999997"/>
    <n v="0.76"/>
    <n v="0.32840000000000003"/>
    <n v="10"/>
    <n v="66"/>
    <n v="76"/>
  </r>
  <r>
    <n v="719"/>
    <x v="32"/>
    <n v="1"/>
    <n v="2011"/>
    <s v="February"/>
    <x v="16"/>
    <b v="0"/>
    <x v="4"/>
    <x v="0"/>
    <x v="5"/>
    <n v="0.33329999999999999"/>
    <n v="0.71"/>
    <n v="0.29849999999999999"/>
    <n v="8"/>
    <n v="95"/>
    <n v="103"/>
  </r>
  <r>
    <n v="720"/>
    <x v="32"/>
    <n v="1"/>
    <n v="2011"/>
    <s v="February"/>
    <x v="17"/>
    <b v="0"/>
    <x v="4"/>
    <x v="0"/>
    <x v="5"/>
    <n v="0.31819999999999998"/>
    <n v="0.53"/>
    <n v="0.52239999999999998"/>
    <n v="7"/>
    <n v="183"/>
    <n v="190"/>
  </r>
  <r>
    <n v="721"/>
    <x v="32"/>
    <n v="1"/>
    <n v="2011"/>
    <s v="February"/>
    <x v="18"/>
    <b v="0"/>
    <x v="4"/>
    <x v="0"/>
    <x v="10"/>
    <n v="0.28789999999999999"/>
    <n v="0.42"/>
    <n v="0.55220000000000002"/>
    <n v="7"/>
    <n v="175"/>
    <n v="182"/>
  </r>
  <r>
    <n v="722"/>
    <x v="32"/>
    <n v="1"/>
    <n v="2011"/>
    <s v="February"/>
    <x v="19"/>
    <b v="0"/>
    <x v="4"/>
    <x v="0"/>
    <x v="17"/>
    <n v="0.2424"/>
    <n v="0.45"/>
    <n v="0.49249999999999999"/>
    <n v="3"/>
    <n v="88"/>
    <n v="91"/>
  </r>
  <r>
    <n v="723"/>
    <x v="32"/>
    <n v="1"/>
    <n v="2011"/>
    <s v="February"/>
    <x v="20"/>
    <b v="0"/>
    <x v="4"/>
    <x v="0"/>
    <x v="0"/>
    <n v="0.19700000000000001"/>
    <n v="0.48"/>
    <n v="0.55220000000000002"/>
    <n v="4"/>
    <n v="71"/>
    <n v="75"/>
  </r>
  <r>
    <n v="724"/>
    <x v="32"/>
    <n v="1"/>
    <n v="2011"/>
    <s v="February"/>
    <x v="21"/>
    <b v="0"/>
    <x v="4"/>
    <x v="0"/>
    <x v="1"/>
    <n v="0.19700000000000001"/>
    <n v="0.47"/>
    <n v="0.32840000000000003"/>
    <n v="1"/>
    <n v="62"/>
    <n v="63"/>
  </r>
  <r>
    <n v="725"/>
    <x v="32"/>
    <n v="1"/>
    <n v="2011"/>
    <s v="February"/>
    <x v="22"/>
    <b v="0"/>
    <x v="4"/>
    <x v="0"/>
    <x v="1"/>
    <n v="0.21210000000000001"/>
    <n v="0.44"/>
    <n v="0.25369999999999998"/>
    <n v="5"/>
    <n v="35"/>
    <n v="40"/>
  </r>
  <r>
    <n v="726"/>
    <x v="32"/>
    <n v="1"/>
    <n v="2011"/>
    <s v="February"/>
    <x v="23"/>
    <b v="0"/>
    <x v="4"/>
    <x v="0"/>
    <x v="2"/>
    <n v="0.16669999999999999"/>
    <n v="0.44"/>
    <n v="0.44779999999999998"/>
    <n v="3"/>
    <n v="29"/>
    <n v="32"/>
  </r>
  <r>
    <n v="727"/>
    <x v="33"/>
    <n v="1"/>
    <n v="2011"/>
    <s v="February"/>
    <x v="0"/>
    <b v="0"/>
    <x v="5"/>
    <x v="0"/>
    <x v="2"/>
    <n v="0.16669999999999999"/>
    <n v="0.4"/>
    <n v="0.44779999999999998"/>
    <n v="1"/>
    <n v="11"/>
    <n v="12"/>
  </r>
  <r>
    <n v="728"/>
    <x v="33"/>
    <n v="1"/>
    <n v="2011"/>
    <s v="February"/>
    <x v="1"/>
    <b v="0"/>
    <x v="5"/>
    <x v="0"/>
    <x v="2"/>
    <n v="0.1515"/>
    <n v="0.44"/>
    <n v="0.52239999999999998"/>
    <n v="0"/>
    <n v="5"/>
    <n v="5"/>
  </r>
  <r>
    <n v="729"/>
    <x v="33"/>
    <n v="1"/>
    <n v="2011"/>
    <s v="February"/>
    <x v="2"/>
    <b v="0"/>
    <x v="5"/>
    <x v="0"/>
    <x v="15"/>
    <n v="0.16669999999999999"/>
    <n v="0.43"/>
    <n v="0.25369999999999998"/>
    <n v="0"/>
    <n v="2"/>
    <n v="2"/>
  </r>
  <r>
    <n v="730"/>
    <x v="33"/>
    <n v="1"/>
    <n v="2011"/>
    <s v="February"/>
    <x v="3"/>
    <b v="0"/>
    <x v="5"/>
    <x v="0"/>
    <x v="15"/>
    <n v="0.16669999999999999"/>
    <n v="0.43"/>
    <n v="0.25369999999999998"/>
    <n v="0"/>
    <n v="1"/>
    <n v="1"/>
  </r>
  <r>
    <n v="731"/>
    <x v="33"/>
    <n v="1"/>
    <n v="2011"/>
    <s v="February"/>
    <x v="5"/>
    <b v="0"/>
    <x v="5"/>
    <x v="0"/>
    <x v="13"/>
    <n v="0.13639999999999999"/>
    <n v="0.5"/>
    <n v="0.29849999999999999"/>
    <n v="0"/>
    <n v="2"/>
    <n v="2"/>
  </r>
  <r>
    <n v="732"/>
    <x v="33"/>
    <n v="1"/>
    <n v="2011"/>
    <s v="February"/>
    <x v="6"/>
    <b v="0"/>
    <x v="5"/>
    <x v="0"/>
    <x v="13"/>
    <n v="0.13639999999999999"/>
    <n v="0.43"/>
    <n v="0.35820000000000002"/>
    <n v="0"/>
    <n v="39"/>
    <n v="39"/>
  </r>
  <r>
    <n v="733"/>
    <x v="33"/>
    <n v="1"/>
    <n v="2011"/>
    <s v="February"/>
    <x v="7"/>
    <b v="0"/>
    <x v="5"/>
    <x v="0"/>
    <x v="14"/>
    <n v="0.1212"/>
    <n v="0.5"/>
    <n v="0.32840000000000003"/>
    <n v="1"/>
    <n v="86"/>
    <n v="87"/>
  </r>
  <r>
    <n v="734"/>
    <x v="33"/>
    <n v="1"/>
    <n v="2011"/>
    <s v="February"/>
    <x v="8"/>
    <b v="0"/>
    <x v="5"/>
    <x v="0"/>
    <x v="14"/>
    <n v="0.1212"/>
    <n v="0.5"/>
    <n v="0.35820000000000002"/>
    <n v="4"/>
    <n v="184"/>
    <n v="188"/>
  </r>
  <r>
    <n v="735"/>
    <x v="33"/>
    <n v="1"/>
    <n v="2011"/>
    <s v="February"/>
    <x v="9"/>
    <b v="0"/>
    <x v="5"/>
    <x v="0"/>
    <x v="13"/>
    <n v="0.13639999999999999"/>
    <n v="0.47"/>
    <n v="0.29849999999999999"/>
    <n v="6"/>
    <n v="127"/>
    <n v="133"/>
  </r>
  <r>
    <n v="736"/>
    <x v="33"/>
    <n v="1"/>
    <n v="2011"/>
    <s v="February"/>
    <x v="10"/>
    <b v="0"/>
    <x v="5"/>
    <x v="0"/>
    <x v="15"/>
    <n v="0.1515"/>
    <n v="0.43"/>
    <n v="0.32840000000000003"/>
    <n v="2"/>
    <n v="50"/>
    <n v="52"/>
  </r>
  <r>
    <n v="737"/>
    <x v="33"/>
    <n v="1"/>
    <n v="2011"/>
    <s v="February"/>
    <x v="11"/>
    <b v="0"/>
    <x v="5"/>
    <x v="0"/>
    <x v="15"/>
    <n v="0.13639999999999999"/>
    <n v="0.43"/>
    <n v="0.44779999999999998"/>
    <n v="9"/>
    <n v="55"/>
    <n v="64"/>
  </r>
  <r>
    <n v="738"/>
    <x v="33"/>
    <n v="1"/>
    <n v="2011"/>
    <s v="February"/>
    <x v="12"/>
    <b v="0"/>
    <x v="5"/>
    <x v="0"/>
    <x v="2"/>
    <n v="0.18179999999999999"/>
    <n v="0.4"/>
    <n v="0.35820000000000002"/>
    <n v="2"/>
    <n v="67"/>
    <n v="69"/>
  </r>
  <r>
    <n v="739"/>
    <x v="33"/>
    <n v="1"/>
    <n v="2011"/>
    <s v="February"/>
    <x v="13"/>
    <b v="0"/>
    <x v="5"/>
    <x v="0"/>
    <x v="2"/>
    <n v="0.16669999999999999"/>
    <n v="0.4"/>
    <n v="0.41789999999999999"/>
    <n v="4"/>
    <n v="47"/>
    <n v="51"/>
  </r>
  <r>
    <n v="740"/>
    <x v="33"/>
    <n v="1"/>
    <n v="2011"/>
    <s v="February"/>
    <x v="14"/>
    <b v="0"/>
    <x v="5"/>
    <x v="0"/>
    <x v="1"/>
    <n v="0.19700000000000001"/>
    <n v="0.37"/>
    <n v="0.3881"/>
    <n v="4"/>
    <n v="43"/>
    <n v="47"/>
  </r>
  <r>
    <n v="741"/>
    <x v="33"/>
    <n v="1"/>
    <n v="2011"/>
    <s v="February"/>
    <x v="15"/>
    <b v="0"/>
    <x v="5"/>
    <x v="0"/>
    <x v="1"/>
    <n v="0.19700000000000001"/>
    <n v="0.37"/>
    <n v="0.32840000000000003"/>
    <n v="4"/>
    <n v="56"/>
    <n v="60"/>
  </r>
  <r>
    <n v="742"/>
    <x v="33"/>
    <n v="1"/>
    <n v="2011"/>
    <s v="February"/>
    <x v="16"/>
    <b v="0"/>
    <x v="5"/>
    <x v="0"/>
    <x v="1"/>
    <n v="0.21210000000000001"/>
    <n v="0.37"/>
    <n v="0.25369999999999998"/>
    <n v="5"/>
    <n v="73"/>
    <n v="78"/>
  </r>
  <r>
    <n v="743"/>
    <x v="33"/>
    <n v="1"/>
    <n v="2011"/>
    <s v="February"/>
    <x v="17"/>
    <b v="0"/>
    <x v="5"/>
    <x v="0"/>
    <x v="2"/>
    <n v="0.19700000000000001"/>
    <n v="0.4"/>
    <n v="0.19400000000000001"/>
    <n v="5"/>
    <n v="170"/>
    <n v="175"/>
  </r>
  <r>
    <n v="744"/>
    <x v="33"/>
    <n v="1"/>
    <n v="2011"/>
    <s v="February"/>
    <x v="18"/>
    <b v="0"/>
    <x v="5"/>
    <x v="0"/>
    <x v="2"/>
    <n v="0.21210000000000001"/>
    <n v="0.4"/>
    <n v="0.16420000000000001"/>
    <n v="2"/>
    <n v="145"/>
    <n v="147"/>
  </r>
  <r>
    <n v="745"/>
    <x v="33"/>
    <n v="1"/>
    <n v="2011"/>
    <s v="February"/>
    <x v="19"/>
    <b v="0"/>
    <x v="5"/>
    <x v="0"/>
    <x v="2"/>
    <n v="0.2576"/>
    <n v="0.4"/>
    <n v="0"/>
    <n v="4"/>
    <n v="92"/>
    <n v="96"/>
  </r>
  <r>
    <n v="746"/>
    <x v="33"/>
    <n v="1"/>
    <n v="2011"/>
    <s v="February"/>
    <x v="20"/>
    <b v="0"/>
    <x v="5"/>
    <x v="0"/>
    <x v="2"/>
    <n v="0.2273"/>
    <n v="0.47"/>
    <n v="8.9599999999999999E-2"/>
    <n v="1"/>
    <n v="108"/>
    <n v="109"/>
  </r>
  <r>
    <n v="747"/>
    <x v="33"/>
    <n v="1"/>
    <n v="2011"/>
    <s v="February"/>
    <x v="21"/>
    <b v="0"/>
    <x v="5"/>
    <x v="0"/>
    <x v="15"/>
    <n v="0.21210000000000001"/>
    <n v="0.55000000000000004"/>
    <n v="0.1045"/>
    <n v="1"/>
    <n v="53"/>
    <n v="54"/>
  </r>
  <r>
    <n v="748"/>
    <x v="33"/>
    <n v="1"/>
    <n v="2011"/>
    <s v="February"/>
    <x v="22"/>
    <b v="0"/>
    <x v="5"/>
    <x v="0"/>
    <x v="15"/>
    <n v="0.21210000000000001"/>
    <n v="0.51"/>
    <n v="8.9599999999999999E-2"/>
    <n v="2"/>
    <n v="39"/>
    <n v="41"/>
  </r>
  <r>
    <n v="749"/>
    <x v="33"/>
    <n v="1"/>
    <n v="2011"/>
    <s v="February"/>
    <x v="23"/>
    <b v="0"/>
    <x v="5"/>
    <x v="0"/>
    <x v="2"/>
    <n v="0.2273"/>
    <n v="0.47"/>
    <n v="0.1045"/>
    <n v="4"/>
    <n v="34"/>
    <n v="38"/>
  </r>
  <r>
    <n v="750"/>
    <x v="34"/>
    <n v="1"/>
    <n v="2011"/>
    <s v="February"/>
    <x v="0"/>
    <b v="0"/>
    <x v="6"/>
    <x v="1"/>
    <x v="2"/>
    <n v="0.2576"/>
    <n v="0.44"/>
    <n v="0"/>
    <n v="3"/>
    <n v="10"/>
    <n v="13"/>
  </r>
  <r>
    <n v="751"/>
    <x v="34"/>
    <n v="1"/>
    <n v="2011"/>
    <s v="February"/>
    <x v="1"/>
    <b v="0"/>
    <x v="6"/>
    <x v="1"/>
    <x v="13"/>
    <n v="0.2273"/>
    <n v="0.59"/>
    <n v="0"/>
    <n v="0"/>
    <n v="7"/>
    <n v="7"/>
  </r>
  <r>
    <n v="752"/>
    <x v="34"/>
    <n v="1"/>
    <n v="2011"/>
    <s v="February"/>
    <x v="2"/>
    <b v="0"/>
    <x v="6"/>
    <x v="1"/>
    <x v="14"/>
    <n v="0.16669999999999999"/>
    <n v="0.63"/>
    <n v="0.1045"/>
    <n v="0"/>
    <n v="1"/>
    <n v="1"/>
  </r>
  <r>
    <n v="753"/>
    <x v="34"/>
    <n v="1"/>
    <n v="2011"/>
    <s v="February"/>
    <x v="3"/>
    <b v="0"/>
    <x v="6"/>
    <x v="1"/>
    <x v="14"/>
    <n v="0.16669999999999999"/>
    <n v="0.63"/>
    <n v="0.1045"/>
    <n v="0"/>
    <n v="1"/>
    <n v="1"/>
  </r>
  <r>
    <n v="754"/>
    <x v="34"/>
    <n v="1"/>
    <n v="2011"/>
    <s v="February"/>
    <x v="5"/>
    <b v="0"/>
    <x v="6"/>
    <x v="1"/>
    <x v="14"/>
    <n v="0.1515"/>
    <n v="0.63"/>
    <n v="0.1343"/>
    <n v="0"/>
    <n v="7"/>
    <n v="7"/>
  </r>
  <r>
    <n v="755"/>
    <x v="34"/>
    <n v="1"/>
    <n v="2011"/>
    <s v="February"/>
    <x v="6"/>
    <b v="0"/>
    <x v="6"/>
    <x v="1"/>
    <x v="13"/>
    <n v="0.2273"/>
    <n v="0.55000000000000004"/>
    <n v="0"/>
    <n v="2"/>
    <n v="26"/>
    <n v="28"/>
  </r>
  <r>
    <n v="756"/>
    <x v="34"/>
    <n v="1"/>
    <n v="2011"/>
    <s v="February"/>
    <x v="7"/>
    <b v="0"/>
    <x v="6"/>
    <x v="0"/>
    <x v="14"/>
    <n v="0.21210000000000001"/>
    <n v="0.59"/>
    <n v="0"/>
    <n v="0"/>
    <n v="87"/>
    <n v="87"/>
  </r>
  <r>
    <n v="757"/>
    <x v="34"/>
    <n v="1"/>
    <n v="2011"/>
    <s v="February"/>
    <x v="8"/>
    <b v="0"/>
    <x v="6"/>
    <x v="0"/>
    <x v="14"/>
    <n v="0.1515"/>
    <n v="0.74"/>
    <n v="0.1343"/>
    <n v="3"/>
    <n v="217"/>
    <n v="220"/>
  </r>
  <r>
    <n v="758"/>
    <x v="34"/>
    <n v="1"/>
    <n v="2011"/>
    <s v="February"/>
    <x v="9"/>
    <b v="0"/>
    <x v="6"/>
    <x v="1"/>
    <x v="13"/>
    <n v="0.18179999999999999"/>
    <n v="0.8"/>
    <n v="0.1343"/>
    <n v="3"/>
    <n v="124"/>
    <n v="127"/>
  </r>
  <r>
    <n v="759"/>
    <x v="34"/>
    <n v="1"/>
    <n v="2011"/>
    <s v="February"/>
    <x v="10"/>
    <b v="0"/>
    <x v="6"/>
    <x v="1"/>
    <x v="2"/>
    <n v="0.21210000000000001"/>
    <n v="0.51"/>
    <n v="0.1343"/>
    <n v="5"/>
    <n v="46"/>
    <n v="51"/>
  </r>
  <r>
    <n v="760"/>
    <x v="34"/>
    <n v="1"/>
    <n v="2011"/>
    <s v="February"/>
    <x v="11"/>
    <b v="0"/>
    <x v="6"/>
    <x v="0"/>
    <x v="1"/>
    <n v="0.2273"/>
    <n v="0.51"/>
    <n v="0.16420000000000001"/>
    <n v="3"/>
    <n v="61"/>
    <n v="64"/>
  </r>
  <r>
    <n v="761"/>
    <x v="34"/>
    <n v="1"/>
    <n v="2011"/>
    <s v="February"/>
    <x v="12"/>
    <b v="0"/>
    <x v="6"/>
    <x v="1"/>
    <x v="0"/>
    <n v="0.2424"/>
    <n v="0.48"/>
    <n v="0.16420000000000001"/>
    <n v="8"/>
    <n v="78"/>
    <n v="86"/>
  </r>
  <r>
    <n v="762"/>
    <x v="34"/>
    <n v="1"/>
    <n v="2011"/>
    <s v="February"/>
    <x v="13"/>
    <b v="0"/>
    <x v="6"/>
    <x v="1"/>
    <x v="12"/>
    <n v="0.2576"/>
    <n v="0.5"/>
    <n v="0.22389999999999999"/>
    <n v="9"/>
    <n v="73"/>
    <n v="82"/>
  </r>
  <r>
    <n v="763"/>
    <x v="34"/>
    <n v="1"/>
    <n v="2011"/>
    <s v="February"/>
    <x v="14"/>
    <b v="0"/>
    <x v="6"/>
    <x v="1"/>
    <x v="17"/>
    <n v="0.2727"/>
    <n v="0.45"/>
    <n v="0.16420000000000001"/>
    <n v="15"/>
    <n v="76"/>
    <n v="91"/>
  </r>
  <r>
    <n v="764"/>
    <x v="34"/>
    <n v="1"/>
    <n v="2011"/>
    <s v="February"/>
    <x v="15"/>
    <b v="0"/>
    <x v="6"/>
    <x v="1"/>
    <x v="17"/>
    <n v="0.2727"/>
    <n v="0.48"/>
    <n v="0.25369999999999998"/>
    <n v="9"/>
    <n v="81"/>
    <n v="90"/>
  </r>
  <r>
    <n v="765"/>
    <x v="34"/>
    <n v="1"/>
    <n v="2011"/>
    <s v="February"/>
    <x v="16"/>
    <b v="0"/>
    <x v="6"/>
    <x v="1"/>
    <x v="11"/>
    <n v="0.28789999999999999"/>
    <n v="0.42"/>
    <n v="0.22389999999999999"/>
    <n v="8"/>
    <n v="91"/>
    <n v="99"/>
  </r>
  <r>
    <n v="766"/>
    <x v="34"/>
    <n v="1"/>
    <n v="2011"/>
    <s v="February"/>
    <x v="17"/>
    <b v="0"/>
    <x v="6"/>
    <x v="1"/>
    <x v="12"/>
    <n v="0.2727"/>
    <n v="0.56000000000000005"/>
    <n v="0.1343"/>
    <n v="10"/>
    <n v="195"/>
    <n v="205"/>
  </r>
  <r>
    <n v="767"/>
    <x v="34"/>
    <n v="1"/>
    <n v="2011"/>
    <s v="February"/>
    <x v="18"/>
    <b v="0"/>
    <x v="6"/>
    <x v="1"/>
    <x v="0"/>
    <n v="0.2576"/>
    <n v="0.6"/>
    <n v="0.1045"/>
    <n v="3"/>
    <n v="152"/>
    <n v="155"/>
  </r>
  <r>
    <n v="768"/>
    <x v="34"/>
    <n v="1"/>
    <n v="2011"/>
    <s v="February"/>
    <x v="19"/>
    <b v="0"/>
    <x v="6"/>
    <x v="1"/>
    <x v="0"/>
    <n v="0.2424"/>
    <n v="0.65"/>
    <n v="0.1343"/>
    <n v="1"/>
    <n v="102"/>
    <n v="103"/>
  </r>
  <r>
    <n v="769"/>
    <x v="34"/>
    <n v="1"/>
    <n v="2011"/>
    <s v="February"/>
    <x v="20"/>
    <b v="0"/>
    <x v="6"/>
    <x v="1"/>
    <x v="0"/>
    <n v="0.2424"/>
    <n v="0.65"/>
    <n v="0.16420000000000001"/>
    <n v="2"/>
    <n v="69"/>
    <n v="71"/>
  </r>
  <r>
    <n v="770"/>
    <x v="34"/>
    <n v="1"/>
    <n v="2011"/>
    <s v="February"/>
    <x v="21"/>
    <b v="0"/>
    <x v="6"/>
    <x v="1"/>
    <x v="0"/>
    <n v="0.2424"/>
    <n v="0.7"/>
    <n v="0.16420000000000001"/>
    <n v="2"/>
    <n v="41"/>
    <n v="43"/>
  </r>
  <r>
    <n v="771"/>
    <x v="34"/>
    <n v="1"/>
    <n v="2011"/>
    <s v="February"/>
    <x v="22"/>
    <b v="0"/>
    <x v="6"/>
    <x v="1"/>
    <x v="0"/>
    <n v="0.2424"/>
    <n v="0.65"/>
    <n v="0.16420000000000001"/>
    <n v="1"/>
    <n v="45"/>
    <n v="46"/>
  </r>
  <r>
    <n v="772"/>
    <x v="34"/>
    <n v="1"/>
    <n v="2011"/>
    <s v="February"/>
    <x v="23"/>
    <b v="0"/>
    <x v="6"/>
    <x v="1"/>
    <x v="0"/>
    <n v="0.2424"/>
    <n v="0.7"/>
    <n v="0.1343"/>
    <n v="1"/>
    <n v="30"/>
    <n v="31"/>
  </r>
  <r>
    <n v="773"/>
    <x v="35"/>
    <n v="1"/>
    <n v="2011"/>
    <s v="February"/>
    <x v="0"/>
    <b v="0"/>
    <x v="0"/>
    <x v="1"/>
    <x v="0"/>
    <n v="0.2424"/>
    <n v="0.7"/>
    <n v="0.16420000000000001"/>
    <n v="3"/>
    <n v="36"/>
    <n v="39"/>
  </r>
  <r>
    <n v="774"/>
    <x v="35"/>
    <n v="1"/>
    <n v="2011"/>
    <s v="February"/>
    <x v="1"/>
    <b v="0"/>
    <x v="0"/>
    <x v="1"/>
    <x v="0"/>
    <n v="0.2424"/>
    <n v="0.65"/>
    <n v="0.16420000000000001"/>
    <n v="1"/>
    <n v="17"/>
    <n v="18"/>
  </r>
  <r>
    <n v="775"/>
    <x v="35"/>
    <n v="1"/>
    <n v="2011"/>
    <s v="February"/>
    <x v="2"/>
    <b v="0"/>
    <x v="0"/>
    <x v="1"/>
    <x v="0"/>
    <n v="0.2424"/>
    <n v="0.75"/>
    <n v="0.16420000000000001"/>
    <n v="5"/>
    <n v="12"/>
    <n v="17"/>
  </r>
  <r>
    <n v="776"/>
    <x v="35"/>
    <n v="1"/>
    <n v="2011"/>
    <s v="February"/>
    <x v="3"/>
    <b v="0"/>
    <x v="0"/>
    <x v="1"/>
    <x v="0"/>
    <n v="0.2424"/>
    <n v="0.75"/>
    <n v="0.16420000000000001"/>
    <n v="1"/>
    <n v="10"/>
    <n v="11"/>
  </r>
  <r>
    <n v="777"/>
    <x v="35"/>
    <n v="1"/>
    <n v="2011"/>
    <s v="February"/>
    <x v="4"/>
    <b v="0"/>
    <x v="0"/>
    <x v="2"/>
    <x v="1"/>
    <n v="0.2273"/>
    <n v="0.93"/>
    <n v="0.1343"/>
    <n v="0"/>
    <n v="8"/>
    <n v="8"/>
  </r>
  <r>
    <n v="778"/>
    <x v="35"/>
    <n v="1"/>
    <n v="2011"/>
    <s v="February"/>
    <x v="5"/>
    <b v="0"/>
    <x v="0"/>
    <x v="2"/>
    <x v="2"/>
    <n v="0.2273"/>
    <n v="1"/>
    <n v="8.9599999999999999E-2"/>
    <n v="0"/>
    <n v="9"/>
    <n v="9"/>
  </r>
  <r>
    <n v="779"/>
    <x v="35"/>
    <n v="1"/>
    <n v="2011"/>
    <s v="February"/>
    <x v="6"/>
    <b v="0"/>
    <x v="0"/>
    <x v="2"/>
    <x v="2"/>
    <n v="0.2576"/>
    <n v="1"/>
    <n v="0"/>
    <n v="0"/>
    <n v="4"/>
    <n v="4"/>
  </r>
  <r>
    <n v="780"/>
    <x v="35"/>
    <n v="1"/>
    <n v="2011"/>
    <s v="February"/>
    <x v="7"/>
    <b v="0"/>
    <x v="0"/>
    <x v="2"/>
    <x v="1"/>
    <n v="0.2576"/>
    <n v="0.93"/>
    <n v="8.9599999999999999E-2"/>
    <n v="0"/>
    <n v="4"/>
    <n v="4"/>
  </r>
  <r>
    <n v="781"/>
    <x v="35"/>
    <n v="1"/>
    <n v="2011"/>
    <s v="February"/>
    <x v="8"/>
    <b v="0"/>
    <x v="0"/>
    <x v="2"/>
    <x v="2"/>
    <n v="0.2273"/>
    <n v="1"/>
    <n v="8.9599999999999999E-2"/>
    <n v="0"/>
    <n v="10"/>
    <n v="10"/>
  </r>
  <r>
    <n v="782"/>
    <x v="35"/>
    <n v="1"/>
    <n v="2011"/>
    <s v="February"/>
    <x v="9"/>
    <b v="0"/>
    <x v="0"/>
    <x v="2"/>
    <x v="2"/>
    <n v="0.2273"/>
    <n v="1"/>
    <n v="8.9599999999999999E-2"/>
    <n v="3"/>
    <n v="17"/>
    <n v="20"/>
  </r>
  <r>
    <n v="783"/>
    <x v="35"/>
    <n v="1"/>
    <n v="2011"/>
    <s v="February"/>
    <x v="10"/>
    <b v="0"/>
    <x v="0"/>
    <x v="2"/>
    <x v="2"/>
    <n v="0.21210000000000001"/>
    <n v="1"/>
    <n v="0.1343"/>
    <n v="3"/>
    <n v="31"/>
    <n v="34"/>
  </r>
  <r>
    <n v="784"/>
    <x v="35"/>
    <n v="1"/>
    <n v="2011"/>
    <s v="February"/>
    <x v="11"/>
    <b v="0"/>
    <x v="0"/>
    <x v="2"/>
    <x v="1"/>
    <n v="0.2273"/>
    <n v="1"/>
    <n v="0.1343"/>
    <n v="1"/>
    <n v="46"/>
    <n v="47"/>
  </r>
  <r>
    <n v="785"/>
    <x v="35"/>
    <n v="1"/>
    <n v="2011"/>
    <s v="February"/>
    <x v="12"/>
    <b v="0"/>
    <x v="0"/>
    <x v="2"/>
    <x v="1"/>
    <n v="0.2273"/>
    <n v="1"/>
    <n v="0.16420000000000001"/>
    <n v="10"/>
    <n v="42"/>
    <n v="52"/>
  </r>
  <r>
    <n v="786"/>
    <x v="35"/>
    <n v="1"/>
    <n v="2011"/>
    <s v="February"/>
    <x v="13"/>
    <b v="0"/>
    <x v="0"/>
    <x v="2"/>
    <x v="1"/>
    <n v="0.2273"/>
    <n v="1"/>
    <n v="0.16420000000000001"/>
    <n v="10"/>
    <n v="62"/>
    <n v="72"/>
  </r>
  <r>
    <n v="787"/>
    <x v="35"/>
    <n v="1"/>
    <n v="2011"/>
    <s v="February"/>
    <x v="14"/>
    <b v="0"/>
    <x v="0"/>
    <x v="2"/>
    <x v="1"/>
    <n v="0.2727"/>
    <n v="1"/>
    <n v="0"/>
    <n v="5"/>
    <n v="50"/>
    <n v="55"/>
  </r>
  <r>
    <n v="788"/>
    <x v="35"/>
    <n v="1"/>
    <n v="2011"/>
    <s v="February"/>
    <x v="15"/>
    <b v="0"/>
    <x v="0"/>
    <x v="2"/>
    <x v="1"/>
    <n v="0.2727"/>
    <n v="1"/>
    <n v="0"/>
    <n v="11"/>
    <n v="49"/>
    <n v="60"/>
  </r>
  <r>
    <n v="789"/>
    <x v="35"/>
    <n v="1"/>
    <n v="2011"/>
    <s v="February"/>
    <x v="16"/>
    <b v="0"/>
    <x v="0"/>
    <x v="2"/>
    <x v="1"/>
    <n v="0.2273"/>
    <n v="1"/>
    <n v="0.1343"/>
    <n v="8"/>
    <n v="63"/>
    <n v="71"/>
  </r>
  <r>
    <n v="790"/>
    <x v="35"/>
    <n v="1"/>
    <n v="2011"/>
    <s v="February"/>
    <x v="17"/>
    <b v="0"/>
    <x v="0"/>
    <x v="1"/>
    <x v="0"/>
    <n v="0.21210000000000001"/>
    <n v="1"/>
    <n v="0.28360000000000002"/>
    <n v="14"/>
    <n v="64"/>
    <n v="78"/>
  </r>
  <r>
    <n v="791"/>
    <x v="35"/>
    <n v="1"/>
    <n v="2011"/>
    <s v="February"/>
    <x v="18"/>
    <b v="0"/>
    <x v="0"/>
    <x v="1"/>
    <x v="17"/>
    <n v="0.2424"/>
    <n v="0.93"/>
    <n v="0.44779999999999998"/>
    <n v="2"/>
    <n v="81"/>
    <n v="83"/>
  </r>
  <r>
    <n v="792"/>
    <x v="35"/>
    <n v="1"/>
    <n v="2011"/>
    <s v="February"/>
    <x v="19"/>
    <b v="0"/>
    <x v="0"/>
    <x v="1"/>
    <x v="17"/>
    <n v="0.2424"/>
    <n v="0.93"/>
    <n v="0.44779999999999998"/>
    <n v="6"/>
    <n v="78"/>
    <n v="84"/>
  </r>
  <r>
    <n v="793"/>
    <x v="35"/>
    <n v="1"/>
    <n v="2011"/>
    <s v="February"/>
    <x v="20"/>
    <b v="0"/>
    <x v="0"/>
    <x v="0"/>
    <x v="11"/>
    <n v="0.28789999999999999"/>
    <n v="0.87"/>
    <n v="0.25369999999999998"/>
    <n v="5"/>
    <n v="64"/>
    <n v="69"/>
  </r>
  <r>
    <n v="794"/>
    <x v="35"/>
    <n v="1"/>
    <n v="2011"/>
    <s v="February"/>
    <x v="21"/>
    <b v="0"/>
    <x v="0"/>
    <x v="0"/>
    <x v="12"/>
    <n v="0.2576"/>
    <n v="1"/>
    <n v="0.19400000000000001"/>
    <n v="3"/>
    <n v="53"/>
    <n v="56"/>
  </r>
  <r>
    <n v="795"/>
    <x v="35"/>
    <n v="1"/>
    <n v="2011"/>
    <s v="February"/>
    <x v="22"/>
    <b v="0"/>
    <x v="0"/>
    <x v="0"/>
    <x v="12"/>
    <n v="0.2727"/>
    <n v="0.93"/>
    <n v="0.1343"/>
    <n v="2"/>
    <n v="43"/>
    <n v="45"/>
  </r>
  <r>
    <n v="796"/>
    <x v="35"/>
    <n v="1"/>
    <n v="2011"/>
    <s v="February"/>
    <x v="23"/>
    <b v="0"/>
    <x v="0"/>
    <x v="0"/>
    <x v="12"/>
    <n v="0.2576"/>
    <n v="0.93"/>
    <n v="0.22389999999999999"/>
    <n v="7"/>
    <n v="52"/>
    <n v="59"/>
  </r>
  <r>
    <n v="797"/>
    <x v="36"/>
    <n v="1"/>
    <n v="2011"/>
    <s v="February"/>
    <x v="0"/>
    <b v="1"/>
    <x v="1"/>
    <x v="0"/>
    <x v="12"/>
    <n v="0.2576"/>
    <n v="0.7"/>
    <n v="0.19400000000000001"/>
    <n v="2"/>
    <n v="37"/>
    <n v="39"/>
  </r>
  <r>
    <n v="798"/>
    <x v="36"/>
    <n v="1"/>
    <n v="2011"/>
    <s v="February"/>
    <x v="1"/>
    <b v="1"/>
    <x v="1"/>
    <x v="0"/>
    <x v="12"/>
    <n v="0.2273"/>
    <n v="0.65"/>
    <n v="0.41789999999999999"/>
    <n v="4"/>
    <n v="40"/>
    <n v="44"/>
  </r>
  <r>
    <n v="799"/>
    <x v="36"/>
    <n v="1"/>
    <n v="2011"/>
    <s v="February"/>
    <x v="2"/>
    <b v="1"/>
    <x v="1"/>
    <x v="0"/>
    <x v="12"/>
    <n v="0.2273"/>
    <n v="0.6"/>
    <n v="0.32840000000000003"/>
    <n v="0"/>
    <n v="20"/>
    <n v="20"/>
  </r>
  <r>
    <n v="800"/>
    <x v="36"/>
    <n v="1"/>
    <n v="2011"/>
    <s v="February"/>
    <x v="3"/>
    <b v="1"/>
    <x v="1"/>
    <x v="0"/>
    <x v="12"/>
    <n v="0.28789999999999999"/>
    <n v="0.6"/>
    <n v="8.9599999999999999E-2"/>
    <n v="3"/>
    <n v="10"/>
    <n v="13"/>
  </r>
  <r>
    <n v="801"/>
    <x v="36"/>
    <n v="1"/>
    <n v="2011"/>
    <s v="February"/>
    <x v="4"/>
    <b v="1"/>
    <x v="1"/>
    <x v="0"/>
    <x v="12"/>
    <n v="0.2273"/>
    <n v="0.6"/>
    <n v="0.35820000000000002"/>
    <n v="0"/>
    <n v="2"/>
    <n v="2"/>
  </r>
  <r>
    <n v="802"/>
    <x v="36"/>
    <n v="1"/>
    <n v="2011"/>
    <s v="February"/>
    <x v="5"/>
    <b v="1"/>
    <x v="1"/>
    <x v="0"/>
    <x v="12"/>
    <n v="0.2576"/>
    <n v="0.6"/>
    <n v="0.22389999999999999"/>
    <n v="0"/>
    <n v="1"/>
    <n v="1"/>
  </r>
  <r>
    <n v="803"/>
    <x v="36"/>
    <n v="1"/>
    <n v="2011"/>
    <s v="February"/>
    <x v="6"/>
    <b v="1"/>
    <x v="1"/>
    <x v="0"/>
    <x v="12"/>
    <n v="0.2576"/>
    <n v="0.6"/>
    <n v="0.22389999999999999"/>
    <n v="0"/>
    <n v="1"/>
    <n v="1"/>
  </r>
  <r>
    <n v="804"/>
    <x v="36"/>
    <n v="1"/>
    <n v="2011"/>
    <s v="February"/>
    <x v="7"/>
    <b v="1"/>
    <x v="1"/>
    <x v="0"/>
    <x v="0"/>
    <n v="0.2424"/>
    <n v="0.65"/>
    <n v="0.16420000000000001"/>
    <n v="0"/>
    <n v="8"/>
    <n v="8"/>
  </r>
  <r>
    <n v="805"/>
    <x v="36"/>
    <n v="1"/>
    <n v="2011"/>
    <s v="February"/>
    <x v="8"/>
    <b v="1"/>
    <x v="1"/>
    <x v="0"/>
    <x v="0"/>
    <n v="0.2576"/>
    <n v="0.65"/>
    <n v="0.1045"/>
    <n v="2"/>
    <n v="21"/>
    <n v="23"/>
  </r>
  <r>
    <n v="806"/>
    <x v="36"/>
    <n v="1"/>
    <n v="2011"/>
    <s v="February"/>
    <x v="9"/>
    <b v="1"/>
    <x v="1"/>
    <x v="0"/>
    <x v="17"/>
    <n v="0.28789999999999999"/>
    <n v="0.56000000000000005"/>
    <n v="0.1045"/>
    <n v="7"/>
    <n v="38"/>
    <n v="45"/>
  </r>
  <r>
    <n v="807"/>
    <x v="36"/>
    <n v="1"/>
    <n v="2011"/>
    <s v="February"/>
    <x v="10"/>
    <b v="1"/>
    <x v="1"/>
    <x v="0"/>
    <x v="11"/>
    <n v="0.28789999999999999"/>
    <n v="0.52"/>
    <n v="0.25369999999999998"/>
    <n v="15"/>
    <n v="74"/>
    <n v="89"/>
  </r>
  <r>
    <n v="808"/>
    <x v="36"/>
    <n v="1"/>
    <n v="2011"/>
    <s v="February"/>
    <x v="11"/>
    <b v="1"/>
    <x v="1"/>
    <x v="0"/>
    <x v="3"/>
    <n v="0.30299999999999999"/>
    <n v="0.49"/>
    <n v="0.25369999999999998"/>
    <n v="28"/>
    <n v="89"/>
    <n v="117"/>
  </r>
  <r>
    <n v="809"/>
    <x v="36"/>
    <n v="1"/>
    <n v="2011"/>
    <s v="February"/>
    <x v="12"/>
    <b v="1"/>
    <x v="1"/>
    <x v="0"/>
    <x v="10"/>
    <n v="0.33329999999999999"/>
    <n v="0.46"/>
    <n v="0"/>
    <n v="48"/>
    <n v="126"/>
    <n v="174"/>
  </r>
  <r>
    <n v="810"/>
    <x v="36"/>
    <n v="1"/>
    <n v="2011"/>
    <s v="February"/>
    <x v="13"/>
    <b v="1"/>
    <x v="1"/>
    <x v="0"/>
    <x v="10"/>
    <n v="0.36359999999999998"/>
    <n v="0.46"/>
    <n v="0"/>
    <n v="47"/>
    <n v="135"/>
    <n v="182"/>
  </r>
  <r>
    <n v="811"/>
    <x v="36"/>
    <n v="1"/>
    <n v="2011"/>
    <s v="February"/>
    <x v="14"/>
    <b v="1"/>
    <x v="1"/>
    <x v="0"/>
    <x v="10"/>
    <n v="0.34849999999999998"/>
    <n v="0.46"/>
    <n v="8.9599999999999999E-2"/>
    <n v="47"/>
    <n v="114"/>
    <n v="161"/>
  </r>
  <r>
    <n v="812"/>
    <x v="36"/>
    <n v="1"/>
    <n v="2011"/>
    <s v="February"/>
    <x v="15"/>
    <b v="1"/>
    <x v="1"/>
    <x v="0"/>
    <x v="10"/>
    <n v="0.34849999999999998"/>
    <n v="0.46"/>
    <n v="8.9599999999999999E-2"/>
    <n v="52"/>
    <n v="130"/>
    <n v="182"/>
  </r>
  <r>
    <n v="813"/>
    <x v="36"/>
    <n v="1"/>
    <n v="2011"/>
    <s v="February"/>
    <x v="16"/>
    <b v="1"/>
    <x v="1"/>
    <x v="0"/>
    <x v="10"/>
    <n v="0.34849999999999998"/>
    <n v="0.49"/>
    <n v="0.1045"/>
    <n v="42"/>
    <n v="115"/>
    <n v="157"/>
  </r>
  <r>
    <n v="814"/>
    <x v="36"/>
    <n v="1"/>
    <n v="2011"/>
    <s v="February"/>
    <x v="17"/>
    <b v="1"/>
    <x v="1"/>
    <x v="0"/>
    <x v="10"/>
    <n v="0.36359999999999998"/>
    <n v="0.46"/>
    <n v="0"/>
    <n v="24"/>
    <n v="97"/>
    <n v="121"/>
  </r>
  <r>
    <n v="815"/>
    <x v="36"/>
    <n v="1"/>
    <n v="2011"/>
    <s v="February"/>
    <x v="18"/>
    <b v="1"/>
    <x v="1"/>
    <x v="0"/>
    <x v="11"/>
    <n v="0.30299999999999999"/>
    <n v="0.56000000000000005"/>
    <n v="0.16420000000000001"/>
    <n v="13"/>
    <n v="65"/>
    <n v="78"/>
  </r>
  <r>
    <n v="816"/>
    <x v="36"/>
    <n v="1"/>
    <n v="2011"/>
    <s v="February"/>
    <x v="19"/>
    <b v="1"/>
    <x v="1"/>
    <x v="0"/>
    <x v="17"/>
    <n v="0.28789999999999999"/>
    <n v="0.61"/>
    <n v="0.1343"/>
    <n v="1"/>
    <n v="20"/>
    <n v="21"/>
  </r>
  <r>
    <n v="817"/>
    <x v="36"/>
    <n v="1"/>
    <n v="2011"/>
    <s v="February"/>
    <x v="20"/>
    <b v="1"/>
    <x v="1"/>
    <x v="0"/>
    <x v="17"/>
    <n v="0.28789999999999999"/>
    <n v="0.61"/>
    <n v="0.1045"/>
    <n v="5"/>
    <n v="21"/>
    <n v="26"/>
  </r>
  <r>
    <n v="818"/>
    <x v="36"/>
    <n v="1"/>
    <n v="2011"/>
    <s v="February"/>
    <x v="21"/>
    <b v="1"/>
    <x v="1"/>
    <x v="0"/>
    <x v="12"/>
    <n v="0.30299999999999999"/>
    <n v="0.6"/>
    <n v="0"/>
    <n v="5"/>
    <n v="22"/>
    <n v="27"/>
  </r>
  <r>
    <n v="819"/>
    <x v="36"/>
    <n v="1"/>
    <n v="2011"/>
    <s v="February"/>
    <x v="22"/>
    <b v="1"/>
    <x v="1"/>
    <x v="0"/>
    <x v="12"/>
    <n v="0.30299999999999999"/>
    <n v="0.6"/>
    <n v="0"/>
    <n v="5"/>
    <n v="57"/>
    <n v="62"/>
  </r>
  <r>
    <n v="820"/>
    <x v="36"/>
    <n v="1"/>
    <n v="2011"/>
    <s v="February"/>
    <x v="23"/>
    <b v="1"/>
    <x v="1"/>
    <x v="0"/>
    <x v="0"/>
    <n v="0.28789999999999999"/>
    <n v="0.65"/>
    <n v="0"/>
    <n v="4"/>
    <n v="26"/>
    <n v="30"/>
  </r>
  <r>
    <n v="821"/>
    <x v="37"/>
    <n v="1"/>
    <n v="2011"/>
    <s v="February"/>
    <x v="0"/>
    <b v="0"/>
    <x v="2"/>
    <x v="0"/>
    <x v="0"/>
    <n v="0.28789999999999999"/>
    <n v="0.65"/>
    <n v="0"/>
    <n v="1"/>
    <n v="14"/>
    <n v="15"/>
  </r>
  <r>
    <n v="822"/>
    <x v="37"/>
    <n v="1"/>
    <n v="2011"/>
    <s v="February"/>
    <x v="1"/>
    <b v="0"/>
    <x v="2"/>
    <x v="0"/>
    <x v="1"/>
    <n v="0.2727"/>
    <n v="0.75"/>
    <n v="0"/>
    <n v="1"/>
    <n v="4"/>
    <n v="5"/>
  </r>
  <r>
    <n v="823"/>
    <x v="37"/>
    <n v="1"/>
    <n v="2011"/>
    <s v="February"/>
    <x v="2"/>
    <b v="0"/>
    <x v="2"/>
    <x v="0"/>
    <x v="2"/>
    <n v="0.2576"/>
    <n v="0.8"/>
    <n v="0"/>
    <n v="0"/>
    <n v="3"/>
    <n v="3"/>
  </r>
  <r>
    <n v="824"/>
    <x v="37"/>
    <n v="1"/>
    <n v="2011"/>
    <s v="February"/>
    <x v="3"/>
    <b v="0"/>
    <x v="2"/>
    <x v="0"/>
    <x v="2"/>
    <n v="0.2576"/>
    <n v="0.86"/>
    <n v="0"/>
    <n v="0"/>
    <n v="1"/>
    <n v="1"/>
  </r>
  <r>
    <n v="825"/>
    <x v="37"/>
    <n v="1"/>
    <n v="2011"/>
    <s v="February"/>
    <x v="4"/>
    <b v="0"/>
    <x v="2"/>
    <x v="0"/>
    <x v="2"/>
    <n v="0.2576"/>
    <n v="0.86"/>
    <n v="0"/>
    <n v="1"/>
    <n v="1"/>
    <n v="2"/>
  </r>
  <r>
    <n v="826"/>
    <x v="37"/>
    <n v="1"/>
    <n v="2011"/>
    <s v="February"/>
    <x v="5"/>
    <b v="0"/>
    <x v="2"/>
    <x v="0"/>
    <x v="2"/>
    <n v="0.2576"/>
    <n v="0.86"/>
    <n v="0"/>
    <n v="1"/>
    <n v="9"/>
    <n v="10"/>
  </r>
  <r>
    <n v="827"/>
    <x v="37"/>
    <n v="1"/>
    <n v="2011"/>
    <s v="February"/>
    <x v="6"/>
    <b v="0"/>
    <x v="2"/>
    <x v="0"/>
    <x v="15"/>
    <n v="0.2424"/>
    <n v="0.93"/>
    <n v="0"/>
    <n v="1"/>
    <n v="29"/>
    <n v="30"/>
  </r>
  <r>
    <n v="828"/>
    <x v="37"/>
    <n v="1"/>
    <n v="2011"/>
    <s v="February"/>
    <x v="7"/>
    <b v="0"/>
    <x v="2"/>
    <x v="0"/>
    <x v="15"/>
    <n v="0.2424"/>
    <n v="0.86"/>
    <n v="0"/>
    <n v="6"/>
    <n v="89"/>
    <n v="95"/>
  </r>
  <r>
    <n v="829"/>
    <x v="37"/>
    <n v="1"/>
    <n v="2011"/>
    <s v="February"/>
    <x v="8"/>
    <b v="0"/>
    <x v="2"/>
    <x v="1"/>
    <x v="13"/>
    <n v="0.2273"/>
    <n v="1"/>
    <n v="0"/>
    <n v="7"/>
    <n v="223"/>
    <n v="230"/>
  </r>
  <r>
    <n v="830"/>
    <x v="37"/>
    <n v="1"/>
    <n v="2011"/>
    <s v="February"/>
    <x v="9"/>
    <b v="0"/>
    <x v="2"/>
    <x v="0"/>
    <x v="1"/>
    <n v="0.2727"/>
    <n v="0.8"/>
    <n v="0"/>
    <n v="3"/>
    <n v="115"/>
    <n v="118"/>
  </r>
  <r>
    <n v="831"/>
    <x v="37"/>
    <n v="1"/>
    <n v="2011"/>
    <s v="February"/>
    <x v="10"/>
    <b v="0"/>
    <x v="2"/>
    <x v="0"/>
    <x v="0"/>
    <n v="0.2576"/>
    <n v="0.75"/>
    <n v="0.1045"/>
    <n v="6"/>
    <n v="49"/>
    <n v="55"/>
  </r>
  <r>
    <n v="832"/>
    <x v="37"/>
    <n v="1"/>
    <n v="2011"/>
    <s v="February"/>
    <x v="11"/>
    <b v="0"/>
    <x v="2"/>
    <x v="0"/>
    <x v="11"/>
    <n v="0.31819999999999998"/>
    <n v="0.65"/>
    <n v="8.9599999999999999E-2"/>
    <n v="11"/>
    <n v="36"/>
    <n v="47"/>
  </r>
  <r>
    <n v="833"/>
    <x v="37"/>
    <n v="1"/>
    <n v="2011"/>
    <s v="February"/>
    <x v="12"/>
    <b v="0"/>
    <x v="2"/>
    <x v="1"/>
    <x v="3"/>
    <n v="0.34849999999999998"/>
    <n v="0.62"/>
    <n v="0"/>
    <n v="7"/>
    <n v="59"/>
    <n v="66"/>
  </r>
  <r>
    <n v="834"/>
    <x v="37"/>
    <n v="1"/>
    <n v="2011"/>
    <s v="February"/>
    <x v="13"/>
    <b v="0"/>
    <x v="2"/>
    <x v="1"/>
    <x v="5"/>
    <n v="0.36359999999999998"/>
    <n v="0.56999999999999995"/>
    <n v="8.9599999999999999E-2"/>
    <n v="10"/>
    <n v="54"/>
    <n v="64"/>
  </r>
  <r>
    <n v="835"/>
    <x v="37"/>
    <n v="1"/>
    <n v="2011"/>
    <s v="February"/>
    <x v="14"/>
    <b v="0"/>
    <x v="2"/>
    <x v="1"/>
    <x v="5"/>
    <n v="0.36359999999999998"/>
    <n v="0.56999999999999995"/>
    <n v="8.9599999999999999E-2"/>
    <n v="8"/>
    <n v="52"/>
    <n v="60"/>
  </r>
  <r>
    <n v="836"/>
    <x v="37"/>
    <n v="1"/>
    <n v="2011"/>
    <s v="February"/>
    <x v="15"/>
    <b v="0"/>
    <x v="2"/>
    <x v="1"/>
    <x v="4"/>
    <n v="0.39389999999999997"/>
    <n v="0.54"/>
    <n v="8.9599999999999999E-2"/>
    <n v="4"/>
    <n v="46"/>
    <n v="50"/>
  </r>
  <r>
    <n v="837"/>
    <x v="37"/>
    <n v="1"/>
    <n v="2011"/>
    <s v="February"/>
    <x v="16"/>
    <b v="0"/>
    <x v="2"/>
    <x v="1"/>
    <x v="5"/>
    <n v="0.34849999999999998"/>
    <n v="0.56999999999999995"/>
    <n v="0.1343"/>
    <n v="16"/>
    <n v="98"/>
    <n v="114"/>
  </r>
  <r>
    <n v="838"/>
    <x v="37"/>
    <n v="1"/>
    <n v="2011"/>
    <s v="February"/>
    <x v="17"/>
    <b v="0"/>
    <x v="2"/>
    <x v="1"/>
    <x v="3"/>
    <n v="0.31819999999999998"/>
    <n v="0.7"/>
    <n v="0.16420000000000001"/>
    <n v="9"/>
    <n v="207"/>
    <n v="216"/>
  </r>
  <r>
    <n v="839"/>
    <x v="37"/>
    <n v="1"/>
    <n v="2011"/>
    <s v="February"/>
    <x v="18"/>
    <b v="0"/>
    <x v="2"/>
    <x v="1"/>
    <x v="10"/>
    <n v="0.33329999999999999"/>
    <n v="0.66"/>
    <n v="0.1343"/>
    <n v="5"/>
    <n v="170"/>
    <n v="175"/>
  </r>
  <r>
    <n v="840"/>
    <x v="37"/>
    <n v="1"/>
    <n v="2011"/>
    <s v="February"/>
    <x v="19"/>
    <b v="0"/>
    <x v="2"/>
    <x v="1"/>
    <x v="3"/>
    <n v="0.34849999999999998"/>
    <n v="0.7"/>
    <n v="0"/>
    <n v="5"/>
    <n v="123"/>
    <n v="128"/>
  </r>
  <r>
    <n v="841"/>
    <x v="37"/>
    <n v="1"/>
    <n v="2011"/>
    <s v="February"/>
    <x v="20"/>
    <b v="0"/>
    <x v="2"/>
    <x v="1"/>
    <x v="3"/>
    <n v="0.33329999999999999"/>
    <n v="0.7"/>
    <n v="0.1045"/>
    <n v="6"/>
    <n v="82"/>
    <n v="88"/>
  </r>
  <r>
    <n v="842"/>
    <x v="37"/>
    <n v="1"/>
    <n v="2011"/>
    <s v="February"/>
    <x v="21"/>
    <b v="0"/>
    <x v="2"/>
    <x v="0"/>
    <x v="3"/>
    <n v="0.34849999999999998"/>
    <n v="0.7"/>
    <n v="0"/>
    <n v="3"/>
    <n v="75"/>
    <n v="78"/>
  </r>
  <r>
    <n v="843"/>
    <x v="37"/>
    <n v="1"/>
    <n v="2011"/>
    <s v="February"/>
    <x v="22"/>
    <b v="0"/>
    <x v="2"/>
    <x v="0"/>
    <x v="17"/>
    <n v="0.30299999999999999"/>
    <n v="0.81"/>
    <n v="8.9599999999999999E-2"/>
    <n v="3"/>
    <n v="34"/>
    <n v="37"/>
  </r>
  <r>
    <n v="844"/>
    <x v="37"/>
    <n v="1"/>
    <n v="2011"/>
    <s v="February"/>
    <x v="23"/>
    <b v="0"/>
    <x v="2"/>
    <x v="1"/>
    <x v="11"/>
    <n v="0.33329999999999999"/>
    <n v="0.81"/>
    <n v="0"/>
    <n v="6"/>
    <n v="19"/>
    <n v="25"/>
  </r>
  <r>
    <n v="845"/>
    <x v="38"/>
    <n v="1"/>
    <n v="2011"/>
    <s v="February"/>
    <x v="0"/>
    <b v="0"/>
    <x v="3"/>
    <x v="1"/>
    <x v="17"/>
    <n v="0.31819999999999998"/>
    <n v="0.87"/>
    <n v="0"/>
    <n v="4"/>
    <n v="6"/>
    <n v="10"/>
  </r>
  <r>
    <n v="846"/>
    <x v="38"/>
    <n v="1"/>
    <n v="2011"/>
    <s v="February"/>
    <x v="1"/>
    <b v="0"/>
    <x v="3"/>
    <x v="1"/>
    <x v="17"/>
    <n v="0.31819999999999998"/>
    <n v="0.87"/>
    <n v="0"/>
    <n v="0"/>
    <n v="4"/>
    <n v="4"/>
  </r>
  <r>
    <n v="847"/>
    <x v="38"/>
    <n v="1"/>
    <n v="2011"/>
    <s v="February"/>
    <x v="2"/>
    <b v="0"/>
    <x v="3"/>
    <x v="1"/>
    <x v="12"/>
    <n v="0.2727"/>
    <n v="0.93"/>
    <n v="0.1045"/>
    <n v="1"/>
    <n v="1"/>
    <n v="2"/>
  </r>
  <r>
    <n v="848"/>
    <x v="38"/>
    <n v="1"/>
    <n v="2011"/>
    <s v="February"/>
    <x v="3"/>
    <b v="0"/>
    <x v="3"/>
    <x v="2"/>
    <x v="17"/>
    <n v="0.2727"/>
    <n v="0.93"/>
    <n v="0.16420000000000001"/>
    <n v="0"/>
    <n v="1"/>
    <n v="1"/>
  </r>
  <r>
    <n v="849"/>
    <x v="38"/>
    <n v="1"/>
    <n v="2011"/>
    <s v="February"/>
    <x v="4"/>
    <b v="0"/>
    <x v="3"/>
    <x v="0"/>
    <x v="12"/>
    <n v="0.2576"/>
    <n v="0.93"/>
    <n v="0.16420000000000001"/>
    <n v="0"/>
    <n v="3"/>
    <n v="3"/>
  </r>
  <r>
    <n v="850"/>
    <x v="38"/>
    <n v="1"/>
    <n v="2011"/>
    <s v="February"/>
    <x v="5"/>
    <b v="0"/>
    <x v="3"/>
    <x v="0"/>
    <x v="12"/>
    <n v="0.2273"/>
    <n v="0.81"/>
    <n v="0.32840000000000003"/>
    <n v="0"/>
    <n v="2"/>
    <n v="2"/>
  </r>
  <r>
    <n v="851"/>
    <x v="38"/>
    <n v="1"/>
    <n v="2011"/>
    <s v="February"/>
    <x v="6"/>
    <b v="0"/>
    <x v="3"/>
    <x v="0"/>
    <x v="12"/>
    <n v="0.2273"/>
    <n v="0.7"/>
    <n v="0.32840000000000003"/>
    <n v="0"/>
    <n v="39"/>
    <n v="39"/>
  </r>
  <r>
    <n v="852"/>
    <x v="38"/>
    <n v="1"/>
    <n v="2011"/>
    <s v="February"/>
    <x v="7"/>
    <b v="0"/>
    <x v="3"/>
    <x v="0"/>
    <x v="0"/>
    <n v="0.19700000000000001"/>
    <n v="0.65"/>
    <n v="0.41789999999999999"/>
    <n v="3"/>
    <n v="97"/>
    <n v="100"/>
  </r>
  <r>
    <n v="853"/>
    <x v="38"/>
    <n v="1"/>
    <n v="2011"/>
    <s v="February"/>
    <x v="8"/>
    <b v="0"/>
    <x v="3"/>
    <x v="0"/>
    <x v="0"/>
    <n v="0.19700000000000001"/>
    <n v="0.56000000000000005"/>
    <n v="0.49249999999999999"/>
    <n v="7"/>
    <n v="236"/>
    <n v="243"/>
  </r>
  <r>
    <n v="854"/>
    <x v="38"/>
    <n v="1"/>
    <n v="2011"/>
    <s v="February"/>
    <x v="9"/>
    <b v="0"/>
    <x v="3"/>
    <x v="0"/>
    <x v="0"/>
    <n v="0.19700000000000001"/>
    <n v="0.52"/>
    <n v="0.49249999999999999"/>
    <n v="7"/>
    <n v="128"/>
    <n v="135"/>
  </r>
  <r>
    <n v="855"/>
    <x v="38"/>
    <n v="1"/>
    <n v="2011"/>
    <s v="February"/>
    <x v="10"/>
    <b v="0"/>
    <x v="3"/>
    <x v="0"/>
    <x v="1"/>
    <n v="0.18179999999999999"/>
    <n v="0.47"/>
    <n v="0.55220000000000002"/>
    <n v="4"/>
    <n v="44"/>
    <n v="48"/>
  </r>
  <r>
    <n v="856"/>
    <x v="38"/>
    <n v="1"/>
    <n v="2011"/>
    <s v="February"/>
    <x v="11"/>
    <b v="0"/>
    <x v="3"/>
    <x v="0"/>
    <x v="1"/>
    <n v="0.18179999999999999"/>
    <n v="0.47"/>
    <n v="0.4627"/>
    <n v="1"/>
    <n v="49"/>
    <n v="50"/>
  </r>
  <r>
    <n v="857"/>
    <x v="38"/>
    <n v="1"/>
    <n v="2011"/>
    <s v="February"/>
    <x v="12"/>
    <b v="0"/>
    <x v="3"/>
    <x v="0"/>
    <x v="0"/>
    <n v="0.19700000000000001"/>
    <n v="0.38"/>
    <n v="0.49249999999999999"/>
    <n v="2"/>
    <n v="63"/>
    <n v="65"/>
  </r>
  <r>
    <n v="858"/>
    <x v="38"/>
    <n v="1"/>
    <n v="2011"/>
    <s v="February"/>
    <x v="13"/>
    <b v="0"/>
    <x v="3"/>
    <x v="1"/>
    <x v="0"/>
    <n v="0.19700000000000001"/>
    <n v="0.32"/>
    <n v="0.44779999999999998"/>
    <n v="2"/>
    <n v="48"/>
    <n v="50"/>
  </r>
  <r>
    <n v="859"/>
    <x v="38"/>
    <n v="1"/>
    <n v="2011"/>
    <s v="February"/>
    <x v="14"/>
    <b v="0"/>
    <x v="3"/>
    <x v="0"/>
    <x v="1"/>
    <n v="0.19700000000000001"/>
    <n v="0.37"/>
    <n v="0.41789999999999999"/>
    <n v="3"/>
    <n v="61"/>
    <n v="64"/>
  </r>
  <r>
    <n v="860"/>
    <x v="38"/>
    <n v="1"/>
    <n v="2011"/>
    <s v="February"/>
    <x v="15"/>
    <b v="0"/>
    <x v="3"/>
    <x v="0"/>
    <x v="1"/>
    <n v="0.19700000000000001"/>
    <n v="0.35"/>
    <n v="0.3881"/>
    <n v="6"/>
    <n v="45"/>
    <n v="51"/>
  </r>
  <r>
    <n v="861"/>
    <x v="38"/>
    <n v="1"/>
    <n v="2011"/>
    <s v="February"/>
    <x v="16"/>
    <b v="0"/>
    <x v="3"/>
    <x v="0"/>
    <x v="1"/>
    <n v="0.18179999999999999"/>
    <n v="0.35"/>
    <n v="0.52239999999999998"/>
    <n v="4"/>
    <n v="79"/>
    <n v="83"/>
  </r>
  <r>
    <n v="862"/>
    <x v="38"/>
    <n v="1"/>
    <n v="2011"/>
    <s v="February"/>
    <x v="17"/>
    <b v="0"/>
    <x v="3"/>
    <x v="0"/>
    <x v="1"/>
    <n v="0.18179999999999999"/>
    <n v="0.32"/>
    <n v="0.58209999999999995"/>
    <n v="4"/>
    <n v="172"/>
    <n v="176"/>
  </r>
  <r>
    <n v="863"/>
    <x v="38"/>
    <n v="1"/>
    <n v="2011"/>
    <s v="February"/>
    <x v="18"/>
    <b v="0"/>
    <x v="3"/>
    <x v="0"/>
    <x v="2"/>
    <n v="0.18179999999999999"/>
    <n v="0.32"/>
    <n v="0.3881"/>
    <n v="1"/>
    <n v="151"/>
    <n v="152"/>
  </r>
  <r>
    <n v="864"/>
    <x v="38"/>
    <n v="1"/>
    <n v="2011"/>
    <s v="February"/>
    <x v="19"/>
    <b v="0"/>
    <x v="3"/>
    <x v="0"/>
    <x v="13"/>
    <n v="0.1212"/>
    <n v="0.4"/>
    <n v="0.4627"/>
    <n v="1"/>
    <n v="100"/>
    <n v="101"/>
  </r>
  <r>
    <n v="865"/>
    <x v="38"/>
    <n v="1"/>
    <n v="2011"/>
    <s v="February"/>
    <x v="20"/>
    <b v="0"/>
    <x v="3"/>
    <x v="0"/>
    <x v="13"/>
    <n v="0.13639999999999999"/>
    <n v="0.4"/>
    <n v="0.32840000000000003"/>
    <n v="3"/>
    <n v="53"/>
    <n v="56"/>
  </r>
  <r>
    <n v="866"/>
    <x v="38"/>
    <n v="1"/>
    <n v="2011"/>
    <s v="February"/>
    <x v="21"/>
    <b v="0"/>
    <x v="3"/>
    <x v="0"/>
    <x v="14"/>
    <n v="0.1061"/>
    <n v="0.33"/>
    <n v="0.4627"/>
    <n v="8"/>
    <n v="46"/>
    <n v="54"/>
  </r>
  <r>
    <n v="867"/>
    <x v="38"/>
    <n v="1"/>
    <n v="2011"/>
    <s v="February"/>
    <x v="22"/>
    <b v="0"/>
    <x v="3"/>
    <x v="0"/>
    <x v="16"/>
    <n v="0.1061"/>
    <n v="0.33"/>
    <n v="0.35820000000000002"/>
    <n v="0"/>
    <n v="29"/>
    <n v="29"/>
  </r>
  <r>
    <n v="868"/>
    <x v="38"/>
    <n v="1"/>
    <n v="2011"/>
    <s v="February"/>
    <x v="23"/>
    <b v="0"/>
    <x v="3"/>
    <x v="0"/>
    <x v="16"/>
    <n v="0.1061"/>
    <n v="0.33"/>
    <n v="0.32840000000000003"/>
    <n v="3"/>
    <n v="9"/>
    <n v="12"/>
  </r>
  <r>
    <n v="869"/>
    <x v="39"/>
    <n v="1"/>
    <n v="2011"/>
    <s v="February"/>
    <x v="0"/>
    <b v="0"/>
    <x v="4"/>
    <x v="0"/>
    <x v="18"/>
    <n v="7.5800000000000006E-2"/>
    <n v="0.36"/>
    <n v="0.35820000000000002"/>
    <n v="0"/>
    <n v="17"/>
    <n v="17"/>
  </r>
  <r>
    <n v="870"/>
    <x v="39"/>
    <n v="1"/>
    <n v="2011"/>
    <s v="February"/>
    <x v="1"/>
    <b v="0"/>
    <x v="4"/>
    <x v="0"/>
    <x v="18"/>
    <n v="0.1061"/>
    <n v="0.36"/>
    <n v="0.22389999999999999"/>
    <n v="0"/>
    <n v="7"/>
    <n v="7"/>
  </r>
  <r>
    <n v="871"/>
    <x v="39"/>
    <n v="1"/>
    <n v="2011"/>
    <s v="February"/>
    <x v="2"/>
    <b v="0"/>
    <x v="4"/>
    <x v="0"/>
    <x v="19"/>
    <n v="7.5800000000000006E-2"/>
    <n v="0.38"/>
    <n v="0.28360000000000002"/>
    <n v="1"/>
    <n v="2"/>
    <n v="3"/>
  </r>
  <r>
    <n v="872"/>
    <x v="39"/>
    <n v="1"/>
    <n v="2011"/>
    <s v="February"/>
    <x v="3"/>
    <b v="0"/>
    <x v="4"/>
    <x v="0"/>
    <x v="20"/>
    <n v="7.5800000000000006E-2"/>
    <n v="0.45"/>
    <n v="0.1343"/>
    <n v="0"/>
    <n v="2"/>
    <n v="2"/>
  </r>
  <r>
    <n v="873"/>
    <x v="39"/>
    <n v="1"/>
    <n v="2011"/>
    <s v="February"/>
    <x v="5"/>
    <b v="0"/>
    <x v="4"/>
    <x v="0"/>
    <x v="20"/>
    <n v="0.1061"/>
    <n v="0.45"/>
    <n v="0.1045"/>
    <n v="0"/>
    <n v="7"/>
    <n v="7"/>
  </r>
  <r>
    <n v="874"/>
    <x v="39"/>
    <n v="1"/>
    <n v="2011"/>
    <s v="February"/>
    <x v="6"/>
    <b v="0"/>
    <x v="4"/>
    <x v="0"/>
    <x v="20"/>
    <n v="0.1515"/>
    <n v="0.45"/>
    <n v="0"/>
    <n v="0"/>
    <n v="43"/>
    <n v="43"/>
  </r>
  <r>
    <n v="875"/>
    <x v="39"/>
    <n v="1"/>
    <n v="2011"/>
    <s v="February"/>
    <x v="7"/>
    <b v="0"/>
    <x v="4"/>
    <x v="0"/>
    <x v="20"/>
    <n v="0.1061"/>
    <n v="0.49"/>
    <n v="0.1045"/>
    <n v="4"/>
    <n v="95"/>
    <n v="99"/>
  </r>
  <r>
    <n v="876"/>
    <x v="39"/>
    <n v="1"/>
    <n v="2011"/>
    <s v="February"/>
    <x v="8"/>
    <b v="0"/>
    <x v="4"/>
    <x v="0"/>
    <x v="18"/>
    <n v="0.13639999999999999"/>
    <n v="0.42"/>
    <n v="0"/>
    <n v="1"/>
    <n v="198"/>
    <n v="199"/>
  </r>
  <r>
    <n v="877"/>
    <x v="39"/>
    <n v="1"/>
    <n v="2011"/>
    <s v="February"/>
    <x v="9"/>
    <b v="0"/>
    <x v="4"/>
    <x v="0"/>
    <x v="16"/>
    <n v="0.13639999999999999"/>
    <n v="0.39"/>
    <n v="0.16420000000000001"/>
    <n v="4"/>
    <n v="119"/>
    <n v="123"/>
  </r>
  <r>
    <n v="878"/>
    <x v="39"/>
    <n v="1"/>
    <n v="2011"/>
    <s v="February"/>
    <x v="10"/>
    <b v="0"/>
    <x v="4"/>
    <x v="0"/>
    <x v="14"/>
    <n v="0.18179999999999999"/>
    <n v="0.36"/>
    <n v="0"/>
    <n v="8"/>
    <n v="51"/>
    <n v="59"/>
  </r>
  <r>
    <n v="879"/>
    <x v="39"/>
    <n v="1"/>
    <n v="2011"/>
    <s v="February"/>
    <x v="11"/>
    <b v="0"/>
    <x v="4"/>
    <x v="1"/>
    <x v="14"/>
    <n v="0.1515"/>
    <n v="0.43"/>
    <n v="0.16420000000000001"/>
    <n v="1"/>
    <n v="40"/>
    <n v="41"/>
  </r>
  <r>
    <n v="880"/>
    <x v="39"/>
    <n v="1"/>
    <n v="2011"/>
    <s v="February"/>
    <x v="12"/>
    <b v="0"/>
    <x v="4"/>
    <x v="1"/>
    <x v="15"/>
    <n v="0.18179999999999999"/>
    <n v="0.4"/>
    <n v="0.22389999999999999"/>
    <n v="4"/>
    <n v="57"/>
    <n v="61"/>
  </r>
  <r>
    <n v="881"/>
    <x v="39"/>
    <n v="1"/>
    <n v="2011"/>
    <s v="February"/>
    <x v="13"/>
    <b v="0"/>
    <x v="4"/>
    <x v="0"/>
    <x v="15"/>
    <n v="0.16669999999999999"/>
    <n v="0.4"/>
    <n v="0.25369999999999998"/>
    <n v="2"/>
    <n v="67"/>
    <n v="69"/>
  </r>
  <r>
    <n v="882"/>
    <x v="39"/>
    <n v="1"/>
    <n v="2011"/>
    <s v="February"/>
    <x v="14"/>
    <b v="0"/>
    <x v="4"/>
    <x v="0"/>
    <x v="2"/>
    <n v="0.18179999999999999"/>
    <n v="0.34"/>
    <n v="0.29849999999999999"/>
    <n v="2"/>
    <n v="56"/>
    <n v="58"/>
  </r>
  <r>
    <n v="883"/>
    <x v="39"/>
    <n v="1"/>
    <n v="2011"/>
    <s v="February"/>
    <x v="15"/>
    <b v="0"/>
    <x v="4"/>
    <x v="1"/>
    <x v="2"/>
    <n v="0.18179999999999999"/>
    <n v="0.34"/>
    <n v="0.28360000000000002"/>
    <n v="3"/>
    <n v="61"/>
    <n v="64"/>
  </r>
  <r>
    <n v="884"/>
    <x v="39"/>
    <n v="1"/>
    <n v="2011"/>
    <s v="February"/>
    <x v="16"/>
    <b v="0"/>
    <x v="4"/>
    <x v="1"/>
    <x v="2"/>
    <n v="0.19700000000000001"/>
    <n v="0.37"/>
    <n v="0.25369999999999998"/>
    <n v="7"/>
    <n v="72"/>
    <n v="79"/>
  </r>
  <r>
    <n v="885"/>
    <x v="39"/>
    <n v="1"/>
    <n v="2011"/>
    <s v="February"/>
    <x v="17"/>
    <b v="0"/>
    <x v="4"/>
    <x v="1"/>
    <x v="2"/>
    <n v="0.19700000000000001"/>
    <n v="0.34"/>
    <n v="0.25369999999999998"/>
    <n v="9"/>
    <n v="157"/>
    <n v="166"/>
  </r>
  <r>
    <n v="886"/>
    <x v="39"/>
    <n v="1"/>
    <n v="2011"/>
    <s v="February"/>
    <x v="18"/>
    <b v="0"/>
    <x v="4"/>
    <x v="1"/>
    <x v="15"/>
    <n v="0.16669999999999999"/>
    <n v="0.47"/>
    <n v="0.29849999999999999"/>
    <n v="2"/>
    <n v="168"/>
    <n v="170"/>
  </r>
  <r>
    <n v="887"/>
    <x v="39"/>
    <n v="1"/>
    <n v="2011"/>
    <s v="February"/>
    <x v="19"/>
    <b v="0"/>
    <x v="4"/>
    <x v="2"/>
    <x v="14"/>
    <n v="0.1212"/>
    <n v="0.86"/>
    <n v="0.25369999999999998"/>
    <n v="1"/>
    <n v="87"/>
    <n v="88"/>
  </r>
  <r>
    <n v="888"/>
    <x v="39"/>
    <n v="1"/>
    <n v="2011"/>
    <s v="February"/>
    <x v="20"/>
    <b v="0"/>
    <x v="4"/>
    <x v="2"/>
    <x v="14"/>
    <n v="0.1515"/>
    <n v="0.86"/>
    <n v="0.16420000000000001"/>
    <n v="0"/>
    <n v="84"/>
    <n v="84"/>
  </r>
  <r>
    <n v="889"/>
    <x v="39"/>
    <n v="1"/>
    <n v="2011"/>
    <s v="February"/>
    <x v="21"/>
    <b v="0"/>
    <x v="4"/>
    <x v="1"/>
    <x v="14"/>
    <n v="0.1515"/>
    <n v="0.86"/>
    <n v="0.16420000000000001"/>
    <n v="0"/>
    <n v="83"/>
    <n v="83"/>
  </r>
  <r>
    <n v="890"/>
    <x v="39"/>
    <n v="1"/>
    <n v="2011"/>
    <s v="February"/>
    <x v="22"/>
    <b v="0"/>
    <x v="4"/>
    <x v="2"/>
    <x v="13"/>
    <n v="0.16669999999999999"/>
    <n v="0.8"/>
    <n v="0.16420000000000001"/>
    <n v="4"/>
    <n v="42"/>
    <n v="46"/>
  </r>
  <r>
    <n v="891"/>
    <x v="39"/>
    <n v="1"/>
    <n v="2011"/>
    <s v="February"/>
    <x v="23"/>
    <b v="0"/>
    <x v="4"/>
    <x v="2"/>
    <x v="13"/>
    <n v="0.1515"/>
    <n v="0.8"/>
    <n v="0.19400000000000001"/>
    <n v="0"/>
    <n v="37"/>
    <n v="37"/>
  </r>
  <r>
    <n v="892"/>
    <x v="40"/>
    <n v="1"/>
    <n v="2011"/>
    <s v="February"/>
    <x v="0"/>
    <b v="0"/>
    <x v="5"/>
    <x v="2"/>
    <x v="14"/>
    <n v="0.13639999999999999"/>
    <n v="0.86"/>
    <n v="0.19400000000000001"/>
    <n v="0"/>
    <n v="16"/>
    <n v="16"/>
  </r>
  <r>
    <n v="893"/>
    <x v="40"/>
    <n v="1"/>
    <n v="2011"/>
    <s v="February"/>
    <x v="1"/>
    <b v="0"/>
    <x v="5"/>
    <x v="2"/>
    <x v="14"/>
    <n v="0.1515"/>
    <n v="0.8"/>
    <n v="0.1343"/>
    <n v="0"/>
    <n v="7"/>
    <n v="7"/>
  </r>
  <r>
    <n v="894"/>
    <x v="40"/>
    <n v="1"/>
    <n v="2011"/>
    <s v="February"/>
    <x v="2"/>
    <b v="0"/>
    <x v="5"/>
    <x v="2"/>
    <x v="14"/>
    <n v="0.1515"/>
    <n v="0.8"/>
    <n v="0.1343"/>
    <n v="0"/>
    <n v="3"/>
    <n v="3"/>
  </r>
  <r>
    <n v="895"/>
    <x v="40"/>
    <n v="1"/>
    <n v="2011"/>
    <s v="February"/>
    <x v="4"/>
    <b v="0"/>
    <x v="5"/>
    <x v="1"/>
    <x v="14"/>
    <n v="0.13639999999999999"/>
    <n v="0.59"/>
    <n v="0.22389999999999999"/>
    <n v="0"/>
    <n v="1"/>
    <n v="1"/>
  </r>
  <r>
    <n v="896"/>
    <x v="40"/>
    <n v="1"/>
    <n v="2011"/>
    <s v="February"/>
    <x v="5"/>
    <b v="0"/>
    <x v="5"/>
    <x v="1"/>
    <x v="16"/>
    <n v="0.1212"/>
    <n v="0.5"/>
    <n v="0.22389999999999999"/>
    <n v="0"/>
    <n v="6"/>
    <n v="6"/>
  </r>
  <r>
    <n v="897"/>
    <x v="40"/>
    <n v="1"/>
    <n v="2011"/>
    <s v="February"/>
    <x v="6"/>
    <b v="0"/>
    <x v="5"/>
    <x v="1"/>
    <x v="16"/>
    <n v="0.1212"/>
    <n v="0.54"/>
    <n v="0.28360000000000002"/>
    <n v="0"/>
    <n v="26"/>
    <n v="26"/>
  </r>
  <r>
    <n v="898"/>
    <x v="40"/>
    <n v="1"/>
    <n v="2011"/>
    <s v="February"/>
    <x v="7"/>
    <b v="0"/>
    <x v="5"/>
    <x v="0"/>
    <x v="18"/>
    <n v="7.5800000000000006E-2"/>
    <n v="0.5"/>
    <n v="0.41789999999999999"/>
    <n v="0"/>
    <n v="99"/>
    <n v="99"/>
  </r>
  <r>
    <n v="899"/>
    <x v="40"/>
    <n v="1"/>
    <n v="2011"/>
    <s v="February"/>
    <x v="8"/>
    <b v="0"/>
    <x v="5"/>
    <x v="0"/>
    <x v="18"/>
    <n v="7.5800000000000006E-2"/>
    <n v="0.49"/>
    <n v="0.32840000000000003"/>
    <n v="5"/>
    <n v="173"/>
    <n v="178"/>
  </r>
  <r>
    <n v="900"/>
    <x v="40"/>
    <n v="1"/>
    <n v="2011"/>
    <s v="February"/>
    <x v="9"/>
    <b v="0"/>
    <x v="5"/>
    <x v="0"/>
    <x v="16"/>
    <n v="0.1061"/>
    <n v="0.42"/>
    <n v="0.35820000000000002"/>
    <n v="1"/>
    <n v="121"/>
    <n v="122"/>
  </r>
  <r>
    <n v="901"/>
    <x v="40"/>
    <n v="1"/>
    <n v="2011"/>
    <s v="February"/>
    <x v="10"/>
    <b v="0"/>
    <x v="5"/>
    <x v="0"/>
    <x v="16"/>
    <n v="0.1061"/>
    <n v="0.42"/>
    <n v="0.29849999999999999"/>
    <n v="1"/>
    <n v="34"/>
    <n v="35"/>
  </r>
  <r>
    <n v="902"/>
    <x v="40"/>
    <n v="1"/>
    <n v="2011"/>
    <s v="February"/>
    <x v="11"/>
    <b v="0"/>
    <x v="5"/>
    <x v="0"/>
    <x v="14"/>
    <n v="0.1212"/>
    <n v="0.39"/>
    <n v="0.35820000000000002"/>
    <n v="1"/>
    <n v="44"/>
    <n v="45"/>
  </r>
  <r>
    <n v="903"/>
    <x v="40"/>
    <n v="1"/>
    <n v="2011"/>
    <s v="February"/>
    <x v="12"/>
    <b v="0"/>
    <x v="5"/>
    <x v="0"/>
    <x v="13"/>
    <n v="0.13639999999999999"/>
    <n v="0.34"/>
    <n v="0.3881"/>
    <n v="4"/>
    <n v="65"/>
    <n v="69"/>
  </r>
  <r>
    <n v="904"/>
    <x v="40"/>
    <n v="1"/>
    <n v="2011"/>
    <s v="February"/>
    <x v="13"/>
    <b v="0"/>
    <x v="5"/>
    <x v="0"/>
    <x v="15"/>
    <n v="0.16669999999999999"/>
    <n v="0.28999999999999998"/>
    <n v="0.29849999999999999"/>
    <n v="3"/>
    <n v="59"/>
    <n v="62"/>
  </r>
  <r>
    <n v="905"/>
    <x v="40"/>
    <n v="1"/>
    <n v="2011"/>
    <s v="February"/>
    <x v="14"/>
    <b v="0"/>
    <x v="5"/>
    <x v="0"/>
    <x v="2"/>
    <n v="0.18179999999999999"/>
    <n v="0.27"/>
    <n v="0.28360000000000002"/>
    <n v="6"/>
    <n v="42"/>
    <n v="48"/>
  </r>
  <r>
    <n v="906"/>
    <x v="40"/>
    <n v="1"/>
    <n v="2011"/>
    <s v="February"/>
    <x v="15"/>
    <b v="0"/>
    <x v="5"/>
    <x v="0"/>
    <x v="2"/>
    <n v="0.19700000000000001"/>
    <n v="0.25"/>
    <n v="0.25369999999999998"/>
    <n v="0"/>
    <n v="50"/>
    <n v="50"/>
  </r>
  <r>
    <n v="907"/>
    <x v="40"/>
    <n v="1"/>
    <n v="2011"/>
    <s v="February"/>
    <x v="16"/>
    <b v="0"/>
    <x v="5"/>
    <x v="0"/>
    <x v="2"/>
    <n v="0.18179999999999999"/>
    <n v="0.27"/>
    <n v="0.29849999999999999"/>
    <n v="4"/>
    <n v="76"/>
    <n v="80"/>
  </r>
  <r>
    <n v="908"/>
    <x v="40"/>
    <n v="1"/>
    <n v="2011"/>
    <s v="February"/>
    <x v="17"/>
    <b v="0"/>
    <x v="5"/>
    <x v="0"/>
    <x v="15"/>
    <n v="0.18179999999999999"/>
    <n v="0.26"/>
    <n v="0.19400000000000001"/>
    <n v="6"/>
    <n v="159"/>
    <n v="165"/>
  </r>
  <r>
    <n v="909"/>
    <x v="40"/>
    <n v="1"/>
    <n v="2011"/>
    <s v="February"/>
    <x v="18"/>
    <b v="0"/>
    <x v="5"/>
    <x v="0"/>
    <x v="13"/>
    <n v="0.18179999999999999"/>
    <n v="0.28000000000000003"/>
    <n v="0.1343"/>
    <n v="3"/>
    <n v="157"/>
    <n v="160"/>
  </r>
  <r>
    <n v="910"/>
    <x v="40"/>
    <n v="1"/>
    <n v="2011"/>
    <s v="February"/>
    <x v="19"/>
    <b v="0"/>
    <x v="5"/>
    <x v="0"/>
    <x v="14"/>
    <n v="0.16669999999999999"/>
    <n v="0.28000000000000003"/>
    <n v="0.1045"/>
    <n v="2"/>
    <n v="110"/>
    <n v="112"/>
  </r>
  <r>
    <n v="911"/>
    <x v="40"/>
    <n v="1"/>
    <n v="2011"/>
    <s v="February"/>
    <x v="20"/>
    <b v="0"/>
    <x v="5"/>
    <x v="0"/>
    <x v="14"/>
    <n v="0.18179999999999999"/>
    <n v="0.31"/>
    <n v="8.9599999999999999E-2"/>
    <n v="4"/>
    <n v="93"/>
    <n v="97"/>
  </r>
  <r>
    <n v="912"/>
    <x v="40"/>
    <n v="1"/>
    <n v="2011"/>
    <s v="February"/>
    <x v="21"/>
    <b v="0"/>
    <x v="5"/>
    <x v="0"/>
    <x v="14"/>
    <n v="0.21210000000000001"/>
    <n v="0.39"/>
    <n v="0"/>
    <n v="2"/>
    <n v="70"/>
    <n v="72"/>
  </r>
  <r>
    <n v="913"/>
    <x v="40"/>
    <n v="1"/>
    <n v="2011"/>
    <s v="February"/>
    <x v="22"/>
    <b v="0"/>
    <x v="5"/>
    <x v="0"/>
    <x v="16"/>
    <n v="0.19700000000000001"/>
    <n v="0.39"/>
    <n v="0"/>
    <n v="4"/>
    <n v="47"/>
    <n v="51"/>
  </r>
  <r>
    <n v="914"/>
    <x v="40"/>
    <n v="1"/>
    <n v="2011"/>
    <s v="February"/>
    <x v="23"/>
    <b v="0"/>
    <x v="5"/>
    <x v="0"/>
    <x v="16"/>
    <n v="0.1515"/>
    <n v="0.42"/>
    <n v="0.1045"/>
    <n v="1"/>
    <n v="33"/>
    <n v="34"/>
  </r>
  <r>
    <n v="915"/>
    <x v="41"/>
    <n v="1"/>
    <n v="2011"/>
    <s v="February"/>
    <x v="0"/>
    <b v="0"/>
    <x v="6"/>
    <x v="0"/>
    <x v="18"/>
    <n v="0.13639999999999999"/>
    <n v="0.49"/>
    <n v="0.1045"/>
    <n v="2"/>
    <n v="12"/>
    <n v="14"/>
  </r>
  <r>
    <n v="916"/>
    <x v="41"/>
    <n v="1"/>
    <n v="2011"/>
    <s v="February"/>
    <x v="1"/>
    <b v="0"/>
    <x v="6"/>
    <x v="0"/>
    <x v="18"/>
    <n v="0.13639999999999999"/>
    <n v="0.54"/>
    <n v="8.9599999999999999E-2"/>
    <n v="1"/>
    <n v="6"/>
    <n v="7"/>
  </r>
  <r>
    <n v="917"/>
    <x v="41"/>
    <n v="1"/>
    <n v="2011"/>
    <s v="February"/>
    <x v="2"/>
    <b v="0"/>
    <x v="6"/>
    <x v="0"/>
    <x v="18"/>
    <n v="0.13639999999999999"/>
    <n v="0.54"/>
    <n v="8.9599999999999999E-2"/>
    <n v="0"/>
    <n v="3"/>
    <n v="3"/>
  </r>
  <r>
    <n v="918"/>
    <x v="41"/>
    <n v="1"/>
    <n v="2011"/>
    <s v="February"/>
    <x v="5"/>
    <b v="0"/>
    <x v="6"/>
    <x v="0"/>
    <x v="19"/>
    <n v="0.1212"/>
    <n v="0.63"/>
    <n v="8.9599999999999999E-2"/>
    <n v="0"/>
    <n v="4"/>
    <n v="4"/>
  </r>
  <r>
    <n v="919"/>
    <x v="41"/>
    <n v="1"/>
    <n v="2011"/>
    <s v="February"/>
    <x v="6"/>
    <b v="0"/>
    <x v="6"/>
    <x v="0"/>
    <x v="18"/>
    <n v="0.18179999999999999"/>
    <n v="0.68"/>
    <n v="0"/>
    <n v="1"/>
    <n v="23"/>
    <n v="24"/>
  </r>
  <r>
    <n v="920"/>
    <x v="41"/>
    <n v="1"/>
    <n v="2011"/>
    <s v="February"/>
    <x v="7"/>
    <b v="0"/>
    <x v="6"/>
    <x v="0"/>
    <x v="19"/>
    <n v="0.16669999999999999"/>
    <n v="0.73"/>
    <n v="0"/>
    <n v="1"/>
    <n v="73"/>
    <n v="74"/>
  </r>
  <r>
    <n v="921"/>
    <x v="41"/>
    <n v="1"/>
    <n v="2011"/>
    <s v="February"/>
    <x v="8"/>
    <b v="0"/>
    <x v="6"/>
    <x v="0"/>
    <x v="18"/>
    <n v="0.1212"/>
    <n v="0.74"/>
    <n v="0.16420000000000001"/>
    <n v="4"/>
    <n v="212"/>
    <n v="216"/>
  </r>
  <r>
    <n v="922"/>
    <x v="41"/>
    <n v="1"/>
    <n v="2011"/>
    <s v="February"/>
    <x v="9"/>
    <b v="0"/>
    <x v="6"/>
    <x v="0"/>
    <x v="16"/>
    <n v="0.1212"/>
    <n v="0.74"/>
    <n v="0.22389999999999999"/>
    <n v="8"/>
    <n v="132"/>
    <n v="140"/>
  </r>
  <r>
    <n v="923"/>
    <x v="41"/>
    <n v="1"/>
    <n v="2011"/>
    <s v="February"/>
    <x v="10"/>
    <b v="0"/>
    <x v="6"/>
    <x v="0"/>
    <x v="14"/>
    <n v="0.13639999999999999"/>
    <n v="0.69"/>
    <n v="0.19400000000000001"/>
    <n v="5"/>
    <n v="39"/>
    <n v="44"/>
  </r>
  <r>
    <n v="924"/>
    <x v="41"/>
    <n v="1"/>
    <n v="2011"/>
    <s v="February"/>
    <x v="11"/>
    <b v="0"/>
    <x v="6"/>
    <x v="0"/>
    <x v="1"/>
    <n v="0.2273"/>
    <n v="0.47"/>
    <n v="0.1343"/>
    <n v="12"/>
    <n v="52"/>
    <n v="64"/>
  </r>
  <r>
    <n v="925"/>
    <x v="41"/>
    <n v="1"/>
    <n v="2011"/>
    <s v="February"/>
    <x v="12"/>
    <b v="0"/>
    <x v="6"/>
    <x v="0"/>
    <x v="1"/>
    <n v="0.2273"/>
    <n v="0.47"/>
    <n v="0.1343"/>
    <n v="7"/>
    <n v="64"/>
    <n v="71"/>
  </r>
  <r>
    <n v="926"/>
    <x v="41"/>
    <n v="1"/>
    <n v="2011"/>
    <s v="February"/>
    <x v="13"/>
    <b v="0"/>
    <x v="6"/>
    <x v="0"/>
    <x v="0"/>
    <n v="0.2273"/>
    <n v="0.35"/>
    <n v="0.19400000000000001"/>
    <n v="21"/>
    <n v="89"/>
    <n v="110"/>
  </r>
  <r>
    <n v="927"/>
    <x v="41"/>
    <n v="1"/>
    <n v="2011"/>
    <s v="February"/>
    <x v="14"/>
    <b v="0"/>
    <x v="6"/>
    <x v="0"/>
    <x v="11"/>
    <n v="0.28789999999999999"/>
    <n v="0.26"/>
    <n v="0.25369999999999998"/>
    <n v="17"/>
    <n v="67"/>
    <n v="84"/>
  </r>
  <r>
    <n v="928"/>
    <x v="41"/>
    <n v="1"/>
    <n v="2011"/>
    <s v="February"/>
    <x v="15"/>
    <b v="0"/>
    <x v="6"/>
    <x v="0"/>
    <x v="3"/>
    <n v="0.31819999999999998"/>
    <n v="0.21"/>
    <n v="0.16420000000000001"/>
    <n v="12"/>
    <n v="62"/>
    <n v="74"/>
  </r>
  <r>
    <n v="929"/>
    <x v="41"/>
    <n v="1"/>
    <n v="2011"/>
    <s v="February"/>
    <x v="16"/>
    <b v="0"/>
    <x v="6"/>
    <x v="0"/>
    <x v="11"/>
    <n v="0.28789999999999999"/>
    <n v="0.28000000000000003"/>
    <n v="0.19400000000000001"/>
    <n v="14"/>
    <n v="111"/>
    <n v="125"/>
  </r>
  <r>
    <n v="930"/>
    <x v="41"/>
    <n v="1"/>
    <n v="2011"/>
    <s v="February"/>
    <x v="17"/>
    <b v="0"/>
    <x v="6"/>
    <x v="0"/>
    <x v="11"/>
    <n v="0.33329999999999999"/>
    <n v="0.24"/>
    <n v="0"/>
    <n v="18"/>
    <n v="193"/>
    <n v="211"/>
  </r>
  <r>
    <n v="931"/>
    <x v="41"/>
    <n v="1"/>
    <n v="2011"/>
    <s v="February"/>
    <x v="18"/>
    <b v="0"/>
    <x v="6"/>
    <x v="0"/>
    <x v="17"/>
    <n v="0.31819999999999998"/>
    <n v="0.28000000000000003"/>
    <n v="0"/>
    <n v="9"/>
    <n v="165"/>
    <n v="174"/>
  </r>
  <r>
    <n v="932"/>
    <x v="41"/>
    <n v="1"/>
    <n v="2011"/>
    <s v="February"/>
    <x v="19"/>
    <b v="0"/>
    <x v="6"/>
    <x v="0"/>
    <x v="12"/>
    <n v="0.30299999999999999"/>
    <n v="0.33"/>
    <n v="0"/>
    <n v="7"/>
    <n v="94"/>
    <n v="101"/>
  </r>
  <r>
    <n v="933"/>
    <x v="41"/>
    <n v="1"/>
    <n v="2011"/>
    <s v="February"/>
    <x v="20"/>
    <b v="0"/>
    <x v="6"/>
    <x v="0"/>
    <x v="1"/>
    <n v="0.2273"/>
    <n v="0.55000000000000004"/>
    <n v="0.1343"/>
    <n v="2"/>
    <n v="61"/>
    <n v="63"/>
  </r>
  <r>
    <n v="934"/>
    <x v="41"/>
    <n v="1"/>
    <n v="2011"/>
    <s v="February"/>
    <x v="21"/>
    <b v="0"/>
    <x v="6"/>
    <x v="0"/>
    <x v="2"/>
    <n v="0.21210000000000001"/>
    <n v="0.59"/>
    <n v="0.1343"/>
    <n v="1"/>
    <n v="46"/>
    <n v="47"/>
  </r>
  <r>
    <n v="935"/>
    <x v="41"/>
    <n v="1"/>
    <n v="2011"/>
    <s v="February"/>
    <x v="22"/>
    <b v="0"/>
    <x v="6"/>
    <x v="0"/>
    <x v="2"/>
    <n v="0.2273"/>
    <n v="0.64"/>
    <n v="8.9599999999999999E-2"/>
    <n v="2"/>
    <n v="41"/>
    <n v="43"/>
  </r>
  <r>
    <n v="936"/>
    <x v="41"/>
    <n v="1"/>
    <n v="2011"/>
    <s v="February"/>
    <x v="23"/>
    <b v="0"/>
    <x v="6"/>
    <x v="0"/>
    <x v="15"/>
    <n v="0.2424"/>
    <n v="0.69"/>
    <n v="0"/>
    <n v="5"/>
    <n v="48"/>
    <n v="53"/>
  </r>
  <r>
    <n v="937"/>
    <x v="42"/>
    <n v="1"/>
    <n v="2011"/>
    <s v="February"/>
    <x v="0"/>
    <b v="0"/>
    <x v="0"/>
    <x v="0"/>
    <x v="13"/>
    <n v="0.19700000000000001"/>
    <n v="0.69"/>
    <n v="8.9599999999999999E-2"/>
    <n v="3"/>
    <n v="27"/>
    <n v="30"/>
  </r>
  <r>
    <n v="938"/>
    <x v="42"/>
    <n v="1"/>
    <n v="2011"/>
    <s v="February"/>
    <x v="1"/>
    <b v="0"/>
    <x v="0"/>
    <x v="0"/>
    <x v="14"/>
    <n v="0.21210000000000001"/>
    <n v="0.86"/>
    <n v="0"/>
    <n v="2"/>
    <n v="22"/>
    <n v="24"/>
  </r>
  <r>
    <n v="939"/>
    <x v="42"/>
    <n v="1"/>
    <n v="2011"/>
    <s v="February"/>
    <x v="2"/>
    <b v="0"/>
    <x v="0"/>
    <x v="0"/>
    <x v="14"/>
    <n v="0.21210000000000001"/>
    <n v="0.8"/>
    <n v="0"/>
    <n v="2"/>
    <n v="13"/>
    <n v="15"/>
  </r>
  <r>
    <n v="940"/>
    <x v="42"/>
    <n v="1"/>
    <n v="2011"/>
    <s v="February"/>
    <x v="3"/>
    <b v="0"/>
    <x v="0"/>
    <x v="0"/>
    <x v="16"/>
    <n v="0.19700000000000001"/>
    <n v="0.8"/>
    <n v="0"/>
    <n v="3"/>
    <n v="7"/>
    <n v="10"/>
  </r>
  <r>
    <n v="941"/>
    <x v="42"/>
    <n v="1"/>
    <n v="2011"/>
    <s v="February"/>
    <x v="4"/>
    <b v="0"/>
    <x v="0"/>
    <x v="0"/>
    <x v="16"/>
    <n v="0.16669999999999999"/>
    <n v="0.74"/>
    <n v="8.9599999999999999E-2"/>
    <n v="0"/>
    <n v="4"/>
    <n v="4"/>
  </r>
  <r>
    <n v="942"/>
    <x v="42"/>
    <n v="1"/>
    <n v="2011"/>
    <s v="February"/>
    <x v="5"/>
    <b v="0"/>
    <x v="0"/>
    <x v="0"/>
    <x v="16"/>
    <n v="0.16669999999999999"/>
    <n v="0.74"/>
    <n v="8.9599999999999999E-2"/>
    <n v="0"/>
    <n v="1"/>
    <n v="1"/>
  </r>
  <r>
    <n v="943"/>
    <x v="42"/>
    <n v="1"/>
    <n v="2011"/>
    <s v="February"/>
    <x v="6"/>
    <b v="0"/>
    <x v="0"/>
    <x v="0"/>
    <x v="16"/>
    <n v="0.13639999999999999"/>
    <n v="0.93"/>
    <n v="0.19400000000000001"/>
    <n v="1"/>
    <n v="1"/>
    <n v="2"/>
  </r>
  <r>
    <n v="944"/>
    <x v="42"/>
    <n v="1"/>
    <n v="2011"/>
    <s v="February"/>
    <x v="7"/>
    <b v="0"/>
    <x v="0"/>
    <x v="0"/>
    <x v="16"/>
    <n v="0.1515"/>
    <n v="0.8"/>
    <n v="0.1045"/>
    <n v="2"/>
    <n v="9"/>
    <n v="11"/>
  </r>
  <r>
    <n v="945"/>
    <x v="42"/>
    <n v="1"/>
    <n v="2011"/>
    <s v="February"/>
    <x v="8"/>
    <b v="0"/>
    <x v="0"/>
    <x v="0"/>
    <x v="14"/>
    <n v="0.1515"/>
    <n v="0.86"/>
    <n v="0.1343"/>
    <n v="2"/>
    <n v="28"/>
    <n v="30"/>
  </r>
  <r>
    <n v="946"/>
    <x v="42"/>
    <n v="1"/>
    <n v="2011"/>
    <s v="February"/>
    <x v="9"/>
    <b v="0"/>
    <x v="0"/>
    <x v="0"/>
    <x v="13"/>
    <n v="0.18179999999999999"/>
    <n v="0.64"/>
    <n v="0.1343"/>
    <n v="5"/>
    <n v="38"/>
    <n v="43"/>
  </r>
  <r>
    <n v="947"/>
    <x v="42"/>
    <n v="1"/>
    <n v="2011"/>
    <s v="February"/>
    <x v="10"/>
    <b v="0"/>
    <x v="0"/>
    <x v="0"/>
    <x v="1"/>
    <n v="0.21210000000000001"/>
    <n v="0.41"/>
    <n v="0.25369999999999998"/>
    <n v="13"/>
    <n v="71"/>
    <n v="84"/>
  </r>
  <r>
    <n v="948"/>
    <x v="42"/>
    <n v="1"/>
    <n v="2011"/>
    <s v="February"/>
    <x v="11"/>
    <b v="0"/>
    <x v="0"/>
    <x v="0"/>
    <x v="11"/>
    <n v="0.2727"/>
    <n v="0.28000000000000003"/>
    <n v="0.32840000000000003"/>
    <n v="30"/>
    <n v="84"/>
    <n v="114"/>
  </r>
  <r>
    <n v="949"/>
    <x v="42"/>
    <n v="1"/>
    <n v="2011"/>
    <s v="February"/>
    <x v="12"/>
    <b v="0"/>
    <x v="0"/>
    <x v="0"/>
    <x v="11"/>
    <n v="0.2727"/>
    <n v="0.39"/>
    <n v="0.4627"/>
    <n v="27"/>
    <n v="93"/>
    <n v="120"/>
  </r>
  <r>
    <n v="950"/>
    <x v="42"/>
    <n v="1"/>
    <n v="2011"/>
    <s v="February"/>
    <x v="13"/>
    <b v="0"/>
    <x v="0"/>
    <x v="0"/>
    <x v="11"/>
    <n v="0.2727"/>
    <n v="0.39"/>
    <n v="0.41789999999999999"/>
    <n v="32"/>
    <n v="103"/>
    <n v="135"/>
  </r>
  <r>
    <n v="951"/>
    <x v="42"/>
    <n v="1"/>
    <n v="2011"/>
    <s v="February"/>
    <x v="14"/>
    <b v="0"/>
    <x v="0"/>
    <x v="0"/>
    <x v="10"/>
    <n v="0.31819999999999998"/>
    <n v="0.31"/>
    <n v="0.28360000000000002"/>
    <n v="30"/>
    <n v="90"/>
    <n v="120"/>
  </r>
  <r>
    <n v="952"/>
    <x v="42"/>
    <n v="1"/>
    <n v="2011"/>
    <s v="February"/>
    <x v="15"/>
    <b v="0"/>
    <x v="0"/>
    <x v="0"/>
    <x v="10"/>
    <n v="0.30299999999999999"/>
    <n v="0.28999999999999998"/>
    <n v="0.41789999999999999"/>
    <n v="47"/>
    <n v="127"/>
    <n v="174"/>
  </r>
  <r>
    <n v="953"/>
    <x v="42"/>
    <n v="1"/>
    <n v="2011"/>
    <s v="February"/>
    <x v="16"/>
    <b v="0"/>
    <x v="0"/>
    <x v="0"/>
    <x v="10"/>
    <n v="0.30299999999999999"/>
    <n v="0.28999999999999998"/>
    <n v="0.41789999999999999"/>
    <n v="42"/>
    <n v="103"/>
    <n v="145"/>
  </r>
  <r>
    <n v="954"/>
    <x v="42"/>
    <n v="1"/>
    <n v="2011"/>
    <s v="February"/>
    <x v="17"/>
    <b v="0"/>
    <x v="0"/>
    <x v="0"/>
    <x v="3"/>
    <n v="0.28789999999999999"/>
    <n v="0.31"/>
    <n v="0.52239999999999998"/>
    <n v="24"/>
    <n v="113"/>
    <n v="137"/>
  </r>
  <r>
    <n v="955"/>
    <x v="42"/>
    <n v="1"/>
    <n v="2011"/>
    <s v="February"/>
    <x v="18"/>
    <b v="0"/>
    <x v="0"/>
    <x v="0"/>
    <x v="17"/>
    <n v="0.2576"/>
    <n v="0.38"/>
    <n v="0.32840000000000003"/>
    <n v="4"/>
    <n v="60"/>
    <n v="64"/>
  </r>
  <r>
    <n v="956"/>
    <x v="42"/>
    <n v="1"/>
    <n v="2011"/>
    <s v="February"/>
    <x v="19"/>
    <b v="0"/>
    <x v="0"/>
    <x v="0"/>
    <x v="17"/>
    <n v="0.2727"/>
    <n v="0.38"/>
    <n v="0.16420000000000001"/>
    <n v="2"/>
    <n v="39"/>
    <n v="41"/>
  </r>
  <r>
    <n v="957"/>
    <x v="42"/>
    <n v="1"/>
    <n v="2011"/>
    <s v="February"/>
    <x v="20"/>
    <b v="0"/>
    <x v="0"/>
    <x v="0"/>
    <x v="12"/>
    <n v="0.2576"/>
    <n v="0.41"/>
    <n v="0.22389999999999999"/>
    <n v="1"/>
    <n v="39"/>
    <n v="40"/>
  </r>
  <r>
    <n v="958"/>
    <x v="42"/>
    <n v="1"/>
    <n v="2011"/>
    <s v="February"/>
    <x v="21"/>
    <b v="0"/>
    <x v="0"/>
    <x v="0"/>
    <x v="12"/>
    <n v="0.30299999999999999"/>
    <n v="0.41"/>
    <n v="0"/>
    <n v="9"/>
    <n v="42"/>
    <n v="51"/>
  </r>
  <r>
    <n v="959"/>
    <x v="42"/>
    <n v="1"/>
    <n v="2011"/>
    <s v="February"/>
    <x v="22"/>
    <b v="0"/>
    <x v="0"/>
    <x v="0"/>
    <x v="0"/>
    <n v="0.2576"/>
    <n v="0.44"/>
    <n v="8.9599999999999999E-2"/>
    <n v="6"/>
    <n v="39"/>
    <n v="45"/>
  </r>
  <r>
    <n v="960"/>
    <x v="42"/>
    <n v="1"/>
    <n v="2011"/>
    <s v="February"/>
    <x v="23"/>
    <b v="0"/>
    <x v="0"/>
    <x v="0"/>
    <x v="1"/>
    <n v="0.2273"/>
    <n v="0.51"/>
    <n v="0.1343"/>
    <n v="1"/>
    <n v="31"/>
    <n v="32"/>
  </r>
  <r>
    <n v="961"/>
    <x v="43"/>
    <n v="1"/>
    <n v="2011"/>
    <s v="February"/>
    <x v="0"/>
    <b v="1"/>
    <x v="1"/>
    <x v="0"/>
    <x v="2"/>
    <n v="0.2273"/>
    <n v="0.64"/>
    <n v="0.1045"/>
    <n v="5"/>
    <n v="34"/>
    <n v="39"/>
  </r>
  <r>
    <n v="962"/>
    <x v="43"/>
    <n v="1"/>
    <n v="2011"/>
    <s v="February"/>
    <x v="1"/>
    <b v="1"/>
    <x v="1"/>
    <x v="0"/>
    <x v="2"/>
    <n v="0.2273"/>
    <n v="0.59"/>
    <n v="8.9599999999999999E-2"/>
    <n v="1"/>
    <n v="23"/>
    <n v="24"/>
  </r>
  <r>
    <n v="963"/>
    <x v="43"/>
    <n v="1"/>
    <n v="2011"/>
    <s v="February"/>
    <x v="2"/>
    <b v="1"/>
    <x v="1"/>
    <x v="1"/>
    <x v="2"/>
    <n v="0.2273"/>
    <n v="0.75"/>
    <n v="8.9599999999999999E-2"/>
    <n v="1"/>
    <n v="19"/>
    <n v="20"/>
  </r>
  <r>
    <n v="964"/>
    <x v="43"/>
    <n v="1"/>
    <n v="2011"/>
    <s v="February"/>
    <x v="3"/>
    <b v="1"/>
    <x v="1"/>
    <x v="1"/>
    <x v="2"/>
    <n v="0.2273"/>
    <n v="0.69"/>
    <n v="0.1045"/>
    <n v="4"/>
    <n v="8"/>
    <n v="12"/>
  </r>
  <r>
    <n v="965"/>
    <x v="43"/>
    <n v="1"/>
    <n v="2011"/>
    <s v="February"/>
    <x v="4"/>
    <b v="1"/>
    <x v="1"/>
    <x v="1"/>
    <x v="2"/>
    <n v="0.21210000000000001"/>
    <n v="0.69"/>
    <n v="0.16420000000000001"/>
    <n v="0"/>
    <n v="2"/>
    <n v="2"/>
  </r>
  <r>
    <n v="966"/>
    <x v="43"/>
    <n v="1"/>
    <n v="2011"/>
    <s v="February"/>
    <x v="6"/>
    <b v="1"/>
    <x v="1"/>
    <x v="1"/>
    <x v="2"/>
    <n v="0.21210000000000001"/>
    <n v="0.69"/>
    <n v="0.1343"/>
    <n v="2"/>
    <n v="3"/>
    <n v="5"/>
  </r>
  <r>
    <n v="967"/>
    <x v="43"/>
    <n v="1"/>
    <n v="2011"/>
    <s v="February"/>
    <x v="7"/>
    <b v="1"/>
    <x v="1"/>
    <x v="1"/>
    <x v="1"/>
    <n v="0.2727"/>
    <n v="0.55000000000000004"/>
    <n v="0"/>
    <n v="0"/>
    <n v="3"/>
    <n v="3"/>
  </r>
  <r>
    <n v="968"/>
    <x v="43"/>
    <n v="1"/>
    <n v="2011"/>
    <s v="February"/>
    <x v="8"/>
    <b v="1"/>
    <x v="1"/>
    <x v="1"/>
    <x v="1"/>
    <n v="0.2273"/>
    <n v="0.64"/>
    <n v="0.19400000000000001"/>
    <n v="1"/>
    <n v="11"/>
    <n v="12"/>
  </r>
  <r>
    <n v="969"/>
    <x v="43"/>
    <n v="1"/>
    <n v="2011"/>
    <s v="February"/>
    <x v="9"/>
    <b v="1"/>
    <x v="1"/>
    <x v="1"/>
    <x v="0"/>
    <n v="0.2273"/>
    <n v="0.6"/>
    <n v="0.22389999999999999"/>
    <n v="12"/>
    <n v="35"/>
    <n v="47"/>
  </r>
  <r>
    <n v="970"/>
    <x v="43"/>
    <n v="1"/>
    <n v="2011"/>
    <s v="February"/>
    <x v="10"/>
    <b v="1"/>
    <x v="1"/>
    <x v="0"/>
    <x v="11"/>
    <n v="0.2727"/>
    <n v="0.45"/>
    <n v="0.32840000000000003"/>
    <n v="19"/>
    <n v="86"/>
    <n v="105"/>
  </r>
  <r>
    <n v="971"/>
    <x v="43"/>
    <n v="1"/>
    <n v="2011"/>
    <s v="February"/>
    <x v="11"/>
    <b v="1"/>
    <x v="1"/>
    <x v="0"/>
    <x v="3"/>
    <n v="0.28789999999999999"/>
    <n v="0.39"/>
    <n v="0.44779999999999998"/>
    <n v="26"/>
    <n v="86"/>
    <n v="112"/>
  </r>
  <r>
    <n v="972"/>
    <x v="43"/>
    <n v="1"/>
    <n v="2011"/>
    <s v="February"/>
    <x v="12"/>
    <b v="1"/>
    <x v="1"/>
    <x v="0"/>
    <x v="5"/>
    <n v="0.31819999999999998"/>
    <n v="0.32"/>
    <n v="0.4627"/>
    <n v="58"/>
    <n v="94"/>
    <n v="152"/>
  </r>
  <r>
    <n v="973"/>
    <x v="43"/>
    <n v="1"/>
    <n v="2011"/>
    <s v="February"/>
    <x v="13"/>
    <b v="1"/>
    <x v="1"/>
    <x v="0"/>
    <x v="4"/>
    <n v="0.39389999999999997"/>
    <n v="0.28999999999999998"/>
    <n v="0.35820000000000002"/>
    <n v="62"/>
    <n v="92"/>
    <n v="154"/>
  </r>
  <r>
    <n v="974"/>
    <x v="43"/>
    <n v="1"/>
    <n v="2011"/>
    <s v="February"/>
    <x v="14"/>
    <b v="1"/>
    <x v="1"/>
    <x v="1"/>
    <x v="9"/>
    <n v="0.40910000000000002"/>
    <n v="0.3"/>
    <n v="0.41789999999999999"/>
    <n v="51"/>
    <n v="110"/>
    <n v="161"/>
  </r>
  <r>
    <n v="975"/>
    <x v="43"/>
    <n v="1"/>
    <n v="2011"/>
    <s v="February"/>
    <x v="15"/>
    <b v="1"/>
    <x v="1"/>
    <x v="1"/>
    <x v="9"/>
    <n v="0.40910000000000002"/>
    <n v="0.3"/>
    <n v="0.29849999999999999"/>
    <n v="40"/>
    <n v="122"/>
    <n v="162"/>
  </r>
  <r>
    <n v="976"/>
    <x v="43"/>
    <n v="1"/>
    <n v="2011"/>
    <s v="February"/>
    <x v="16"/>
    <b v="1"/>
    <x v="1"/>
    <x v="1"/>
    <x v="6"/>
    <n v="0.42420000000000002"/>
    <n v="0.28000000000000003"/>
    <n v="0.32840000000000003"/>
    <n v="28"/>
    <n v="106"/>
    <n v="134"/>
  </r>
  <r>
    <n v="977"/>
    <x v="43"/>
    <n v="1"/>
    <n v="2011"/>
    <s v="February"/>
    <x v="17"/>
    <b v="1"/>
    <x v="1"/>
    <x v="0"/>
    <x v="6"/>
    <n v="0.42420000000000002"/>
    <n v="0.28000000000000003"/>
    <n v="0.32840000000000003"/>
    <n v="30"/>
    <n v="95"/>
    <n v="125"/>
  </r>
  <r>
    <n v="978"/>
    <x v="43"/>
    <n v="1"/>
    <n v="2011"/>
    <s v="February"/>
    <x v="18"/>
    <b v="1"/>
    <x v="1"/>
    <x v="0"/>
    <x v="9"/>
    <n v="0.40910000000000002"/>
    <n v="0.32"/>
    <n v="0.29849999999999999"/>
    <n v="17"/>
    <n v="78"/>
    <n v="95"/>
  </r>
  <r>
    <n v="979"/>
    <x v="43"/>
    <n v="1"/>
    <n v="2011"/>
    <s v="February"/>
    <x v="19"/>
    <b v="1"/>
    <x v="1"/>
    <x v="0"/>
    <x v="9"/>
    <n v="0.40910000000000002"/>
    <n v="0.35"/>
    <n v="0.28360000000000002"/>
    <n v="11"/>
    <n v="50"/>
    <n v="61"/>
  </r>
  <r>
    <n v="980"/>
    <x v="43"/>
    <n v="1"/>
    <n v="2011"/>
    <s v="February"/>
    <x v="20"/>
    <b v="1"/>
    <x v="1"/>
    <x v="0"/>
    <x v="9"/>
    <n v="0.40910000000000002"/>
    <n v="0.35"/>
    <n v="0.32840000000000003"/>
    <n v="15"/>
    <n v="32"/>
    <n v="47"/>
  </r>
  <r>
    <n v="981"/>
    <x v="43"/>
    <n v="1"/>
    <n v="2011"/>
    <s v="February"/>
    <x v="21"/>
    <b v="1"/>
    <x v="1"/>
    <x v="0"/>
    <x v="9"/>
    <n v="0.40910000000000002"/>
    <n v="0.35"/>
    <n v="0.35820000000000002"/>
    <n v="6"/>
    <n v="45"/>
    <n v="51"/>
  </r>
  <r>
    <n v="982"/>
    <x v="43"/>
    <n v="1"/>
    <n v="2011"/>
    <s v="February"/>
    <x v="22"/>
    <b v="1"/>
    <x v="1"/>
    <x v="0"/>
    <x v="9"/>
    <n v="0.40910000000000002"/>
    <n v="0.35"/>
    <n v="0.29849999999999999"/>
    <n v="5"/>
    <n v="31"/>
    <n v="36"/>
  </r>
  <r>
    <n v="983"/>
    <x v="43"/>
    <n v="1"/>
    <n v="2011"/>
    <s v="February"/>
    <x v="23"/>
    <b v="1"/>
    <x v="1"/>
    <x v="0"/>
    <x v="9"/>
    <n v="0.40910000000000002"/>
    <n v="0.35"/>
    <n v="0.35820000000000002"/>
    <n v="3"/>
    <n v="27"/>
    <n v="30"/>
  </r>
  <r>
    <n v="984"/>
    <x v="44"/>
    <n v="1"/>
    <n v="2011"/>
    <s v="February"/>
    <x v="0"/>
    <b v="0"/>
    <x v="2"/>
    <x v="0"/>
    <x v="4"/>
    <n v="0.39389999999999997"/>
    <n v="0.37"/>
    <n v="0.35820000000000002"/>
    <n v="3"/>
    <n v="8"/>
    <n v="11"/>
  </r>
  <r>
    <n v="985"/>
    <x v="44"/>
    <n v="1"/>
    <n v="2011"/>
    <s v="February"/>
    <x v="1"/>
    <b v="0"/>
    <x v="2"/>
    <x v="0"/>
    <x v="4"/>
    <n v="0.39389999999999997"/>
    <n v="0.37"/>
    <n v="0.35820000000000002"/>
    <n v="1"/>
    <n v="6"/>
    <n v="7"/>
  </r>
  <r>
    <n v="986"/>
    <x v="44"/>
    <n v="1"/>
    <n v="2011"/>
    <s v="February"/>
    <x v="2"/>
    <b v="0"/>
    <x v="2"/>
    <x v="0"/>
    <x v="5"/>
    <n v="0.33329999999999999"/>
    <n v="0.4"/>
    <n v="0.29849999999999999"/>
    <n v="0"/>
    <n v="2"/>
    <n v="2"/>
  </r>
  <r>
    <n v="987"/>
    <x v="44"/>
    <n v="1"/>
    <n v="2011"/>
    <s v="February"/>
    <x v="3"/>
    <b v="0"/>
    <x v="2"/>
    <x v="0"/>
    <x v="10"/>
    <n v="0.31819999999999998"/>
    <n v="0.46"/>
    <n v="0.22389999999999999"/>
    <n v="1"/>
    <n v="1"/>
    <n v="2"/>
  </r>
  <r>
    <n v="988"/>
    <x v="44"/>
    <n v="1"/>
    <n v="2011"/>
    <s v="February"/>
    <x v="4"/>
    <b v="0"/>
    <x v="2"/>
    <x v="0"/>
    <x v="3"/>
    <n v="0.30299999999999999"/>
    <n v="0.53"/>
    <n v="0.28360000000000002"/>
    <n v="0"/>
    <n v="2"/>
    <n v="2"/>
  </r>
  <r>
    <n v="989"/>
    <x v="44"/>
    <n v="1"/>
    <n v="2011"/>
    <s v="February"/>
    <x v="5"/>
    <b v="0"/>
    <x v="2"/>
    <x v="0"/>
    <x v="3"/>
    <n v="0.30299999999999999"/>
    <n v="0.53"/>
    <n v="0.28360000000000002"/>
    <n v="0"/>
    <n v="3"/>
    <n v="3"/>
  </r>
  <r>
    <n v="990"/>
    <x v="44"/>
    <n v="1"/>
    <n v="2011"/>
    <s v="February"/>
    <x v="6"/>
    <b v="0"/>
    <x v="2"/>
    <x v="0"/>
    <x v="10"/>
    <n v="0.30299999999999999"/>
    <n v="0.46"/>
    <n v="0.29849999999999999"/>
    <n v="1"/>
    <n v="25"/>
    <n v="26"/>
  </r>
  <r>
    <n v="991"/>
    <x v="44"/>
    <n v="1"/>
    <n v="2011"/>
    <s v="February"/>
    <x v="7"/>
    <b v="0"/>
    <x v="2"/>
    <x v="0"/>
    <x v="10"/>
    <n v="0.30299999999999999"/>
    <n v="0.46"/>
    <n v="0.29849999999999999"/>
    <n v="2"/>
    <n v="96"/>
    <n v="98"/>
  </r>
  <r>
    <n v="992"/>
    <x v="27"/>
    <n v="1"/>
    <n v="2011"/>
    <s v="January"/>
    <x v="16"/>
    <b v="0"/>
    <x v="6"/>
    <x v="0"/>
    <x v="1"/>
    <n v="0.2727"/>
    <n v="0.8"/>
    <n v="0"/>
    <n v="10"/>
    <n v="70"/>
    <n v="80"/>
  </r>
  <r>
    <n v="993"/>
    <x v="27"/>
    <n v="1"/>
    <n v="2011"/>
    <s v="January"/>
    <x v="17"/>
    <b v="0"/>
    <x v="6"/>
    <x v="0"/>
    <x v="0"/>
    <n v="0.2424"/>
    <n v="0.75"/>
    <n v="0.1343"/>
    <n v="2"/>
    <n v="147"/>
    <n v="149"/>
  </r>
  <r>
    <n v="994"/>
    <x v="27"/>
    <n v="1"/>
    <n v="2011"/>
    <s v="January"/>
    <x v="18"/>
    <b v="0"/>
    <x v="6"/>
    <x v="0"/>
    <x v="0"/>
    <n v="0.2273"/>
    <n v="0.75"/>
    <n v="0.19400000000000001"/>
    <n v="2"/>
    <n v="107"/>
    <n v="109"/>
  </r>
  <r>
    <n v="995"/>
    <x v="27"/>
    <n v="1"/>
    <n v="2011"/>
    <s v="January"/>
    <x v="19"/>
    <b v="0"/>
    <x v="6"/>
    <x v="1"/>
    <x v="0"/>
    <n v="0.2424"/>
    <n v="0.75"/>
    <n v="0.1343"/>
    <n v="5"/>
    <n v="84"/>
    <n v="89"/>
  </r>
  <r>
    <n v="996"/>
    <x v="27"/>
    <n v="1"/>
    <n v="2011"/>
    <s v="January"/>
    <x v="20"/>
    <b v="0"/>
    <x v="6"/>
    <x v="1"/>
    <x v="0"/>
    <n v="0.2273"/>
    <n v="0.7"/>
    <n v="0.19400000000000001"/>
    <n v="1"/>
    <n v="61"/>
    <n v="62"/>
  </r>
  <r>
    <n v="997"/>
    <x v="27"/>
    <n v="1"/>
    <n v="2011"/>
    <s v="January"/>
    <x v="21"/>
    <b v="0"/>
    <x v="6"/>
    <x v="1"/>
    <x v="1"/>
    <n v="0.2273"/>
    <n v="0.75"/>
    <n v="0.1343"/>
    <n v="1"/>
    <n v="57"/>
    <n v="58"/>
  </r>
  <r>
    <n v="998"/>
    <x v="27"/>
    <n v="1"/>
    <n v="2011"/>
    <s v="January"/>
    <x v="22"/>
    <b v="0"/>
    <x v="6"/>
    <x v="0"/>
    <x v="0"/>
    <n v="0.21210000000000001"/>
    <n v="0.65"/>
    <n v="0.35820000000000002"/>
    <n v="0"/>
    <n v="26"/>
    <n v="26"/>
  </r>
  <r>
    <n v="999"/>
    <x v="27"/>
    <n v="1"/>
    <n v="2011"/>
    <s v="January"/>
    <x v="23"/>
    <b v="0"/>
    <x v="6"/>
    <x v="0"/>
    <x v="0"/>
    <n v="0.2273"/>
    <n v="0.6"/>
    <n v="0.22389999999999999"/>
    <n v="1"/>
    <n v="22"/>
    <n v="23"/>
  </r>
  <r>
    <n v="1000"/>
    <x v="28"/>
    <n v="1"/>
    <n v="2011"/>
    <s v="January"/>
    <x v="0"/>
    <b v="0"/>
    <x v="0"/>
    <x v="0"/>
    <x v="1"/>
    <n v="0.19700000000000001"/>
    <n v="0.64"/>
    <n v="0.35820000000000002"/>
    <n v="2"/>
    <n v="26"/>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07674-5B17-4BF5-BCC6-8128E3B381B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97:B205" firstHeaderRow="1" firstDataRow="1"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Row" showAll="0">
      <items count="8">
        <item x="2"/>
        <item x="3"/>
        <item x="4"/>
        <item x="5"/>
        <item x="6"/>
        <item x="0"/>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8">
    <i>
      <x/>
    </i>
    <i>
      <x v="1"/>
    </i>
    <i>
      <x v="2"/>
    </i>
    <i>
      <x v="3"/>
    </i>
    <i>
      <x v="4"/>
    </i>
    <i>
      <x v="5"/>
    </i>
    <i>
      <x v="6"/>
    </i>
    <i t="grand">
      <x/>
    </i>
  </rowItems>
  <colItems count="1">
    <i/>
  </colItems>
  <dataFields count="1">
    <dataField name="Sum of Casual" fld="13" baseField="0" baseItem="0"/>
  </dataFields>
  <chartFormats count="16">
    <chartFormat chart="15"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1"/>
          </reference>
        </references>
      </pivotArea>
    </chartFormat>
    <chartFormat chart="19" format="12">
      <pivotArea type="data" outline="0" fieldPosition="0">
        <references count="2">
          <reference field="4294967294" count="1" selected="0">
            <x v="0"/>
          </reference>
          <reference field="7" count="1" selected="0">
            <x v="2"/>
          </reference>
        </references>
      </pivotArea>
    </chartFormat>
    <chartFormat chart="19" format="13">
      <pivotArea type="data" outline="0" fieldPosition="0">
        <references count="2">
          <reference field="4294967294" count="1" selected="0">
            <x v="0"/>
          </reference>
          <reference field="7" count="1" selected="0">
            <x v="3"/>
          </reference>
        </references>
      </pivotArea>
    </chartFormat>
    <chartFormat chart="19" format="14">
      <pivotArea type="data" outline="0" fieldPosition="0">
        <references count="2">
          <reference field="4294967294" count="1" selected="0">
            <x v="0"/>
          </reference>
          <reference field="7" count="1" selected="0">
            <x v="4"/>
          </reference>
        </references>
      </pivotArea>
    </chartFormat>
    <chartFormat chart="19" format="15">
      <pivotArea type="data" outline="0" fieldPosition="0">
        <references count="2">
          <reference field="4294967294" count="1" selected="0">
            <x v="0"/>
          </reference>
          <reference field="7" count="1" selected="0">
            <x v="5"/>
          </reference>
        </references>
      </pivotArea>
    </chartFormat>
    <chartFormat chart="19" format="16">
      <pivotArea type="data" outline="0" fieldPosition="0">
        <references count="2">
          <reference field="4294967294" count="1" selected="0">
            <x v="0"/>
          </reference>
          <reference field="7" count="1" selected="0">
            <x v="6"/>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3"/>
          </reference>
        </references>
      </pivotArea>
    </chartFormat>
    <chartFormat chart="15" format="5">
      <pivotArea type="data" outline="0" fieldPosition="0">
        <references count="2">
          <reference field="4294967294" count="1" selected="0">
            <x v="0"/>
          </reference>
          <reference field="7" count="1" selected="0">
            <x v="4"/>
          </reference>
        </references>
      </pivotArea>
    </chartFormat>
    <chartFormat chart="15" format="6">
      <pivotArea type="data" outline="0" fieldPosition="0">
        <references count="2">
          <reference field="4294967294" count="1" selected="0">
            <x v="0"/>
          </reference>
          <reference field="7" count="1" selected="0">
            <x v="5"/>
          </reference>
        </references>
      </pivotArea>
    </chartFormat>
    <chartFormat chart="15" format="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612C7-686E-4BC0-85B8-298989ACBDB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4:I51" firstHeaderRow="1" firstDataRow="2"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Col" showAll="0">
      <items count="8">
        <item x="2"/>
        <item x="3"/>
        <item x="4"/>
        <item x="5"/>
        <item x="6"/>
        <item x="0"/>
        <item x="1"/>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axis="axisRow" showAll="0">
      <items count="369">
        <item sd="0" x="0"/>
        <item x="1"/>
        <item x="2"/>
        <item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7"/>
  </colFields>
  <colItems count="8">
    <i>
      <x/>
    </i>
    <i>
      <x v="1"/>
    </i>
    <i>
      <x v="2"/>
    </i>
    <i>
      <x v="3"/>
    </i>
    <i>
      <x v="4"/>
    </i>
    <i>
      <x v="5"/>
    </i>
    <i>
      <x v="6"/>
    </i>
    <i t="grand">
      <x/>
    </i>
  </colItems>
  <dataFields count="1">
    <dataField name="Sum of Total_Client" fld="15" baseField="16" baseItem="13"/>
  </dataFields>
  <chartFormats count="2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3" format="4" series="1">
      <pivotArea type="data" outline="0" fieldPosition="0">
        <references count="2">
          <reference field="4294967294" count="1" selected="0">
            <x v="0"/>
          </reference>
          <reference field="7" count="1" selected="0">
            <x v="4"/>
          </reference>
        </references>
      </pivotArea>
    </chartFormat>
    <chartFormat chart="3" format="5" series="1">
      <pivotArea type="data" outline="0" fieldPosition="0">
        <references count="2">
          <reference field="4294967294" count="1" selected="0">
            <x v="0"/>
          </reference>
          <reference field="7" count="1" selected="0">
            <x v="5"/>
          </reference>
        </references>
      </pivotArea>
    </chartFormat>
    <chartFormat chart="3" format="6" series="1">
      <pivotArea type="data" outline="0" fieldPosition="0">
        <references count="2">
          <reference field="4294967294" count="1" selected="0">
            <x v="0"/>
          </reference>
          <reference field="7" count="1" selected="0">
            <x v="6"/>
          </reference>
        </references>
      </pivotArea>
    </chartFormat>
    <chartFormat chart="3" format="7" series="1">
      <pivotArea type="data" outline="0" fieldPosition="0">
        <references count="1">
          <reference field="4294967294" count="1" selected="0">
            <x v="0"/>
          </reference>
        </references>
      </pivotArea>
    </chartFormat>
    <chartFormat chart="16" format="15" series="1">
      <pivotArea type="data" outline="0" fieldPosition="0">
        <references count="2">
          <reference field="4294967294" count="1" selected="0">
            <x v="0"/>
          </reference>
          <reference field="7" count="1" selected="0">
            <x v="0"/>
          </reference>
        </references>
      </pivotArea>
    </chartFormat>
    <chartFormat chart="16" format="16" series="1">
      <pivotArea type="data" outline="0" fieldPosition="0">
        <references count="2">
          <reference field="4294967294" count="1" selected="0">
            <x v="0"/>
          </reference>
          <reference field="7" count="1" selected="0">
            <x v="1"/>
          </reference>
        </references>
      </pivotArea>
    </chartFormat>
    <chartFormat chart="16" format="17" series="1">
      <pivotArea type="data" outline="0" fieldPosition="0">
        <references count="2">
          <reference field="4294967294" count="1" selected="0">
            <x v="0"/>
          </reference>
          <reference field="7" count="1" selected="0">
            <x v="2"/>
          </reference>
        </references>
      </pivotArea>
    </chartFormat>
    <chartFormat chart="16" format="18" series="1">
      <pivotArea type="data" outline="0" fieldPosition="0">
        <references count="2">
          <reference field="4294967294" count="1" selected="0">
            <x v="0"/>
          </reference>
          <reference field="7" count="1" selected="0">
            <x v="3"/>
          </reference>
        </references>
      </pivotArea>
    </chartFormat>
    <chartFormat chart="16" format="19" series="1">
      <pivotArea type="data" outline="0" fieldPosition="0">
        <references count="2">
          <reference field="4294967294" count="1" selected="0">
            <x v="0"/>
          </reference>
          <reference field="7" count="1" selected="0">
            <x v="4"/>
          </reference>
        </references>
      </pivotArea>
    </chartFormat>
    <chartFormat chart="16" format="20" series="1">
      <pivotArea type="data" outline="0" fieldPosition="0">
        <references count="2">
          <reference field="4294967294" count="1" selected="0">
            <x v="0"/>
          </reference>
          <reference field="7" count="1" selected="0">
            <x v="5"/>
          </reference>
        </references>
      </pivotArea>
    </chartFormat>
    <chartFormat chart="16" format="21" series="1">
      <pivotArea type="data" outline="0" fieldPosition="0">
        <references count="2">
          <reference field="4294967294" count="1" selected="0">
            <x v="0"/>
          </reference>
          <reference field="7" count="1" selected="0">
            <x v="6"/>
          </reference>
        </references>
      </pivotArea>
    </chartFormat>
    <chartFormat chart="16"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FCBA41-8DF4-4F27-9092-D537F259EBC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78:B103" firstHeaderRow="1" firstDataRow="1"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2"/>
        <item x="3"/>
        <item x="4"/>
        <item x="5"/>
        <item x="6"/>
        <item x="0"/>
        <item x="1"/>
        <item t="default"/>
      </items>
    </pivotField>
    <pivotField showAll="0">
      <items count="5">
        <item x="0"/>
        <item x="1"/>
        <item x="2"/>
        <item x="3"/>
        <item t="default"/>
      </items>
    </pivotField>
    <pivotField showAll="0"/>
    <pivotField showAll="0"/>
    <pivotField showAll="0" avgSubtotal="1"/>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Client" fld="15" baseField="0" baseItem="0"/>
  </dataFields>
  <chartFormats count="3">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B90EF-8A2B-4AB8-B7CD-1EC1914665F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43:B149" firstHeaderRow="1" firstDataRow="1" firstDataCol="1"/>
  <pivotFields count="21">
    <pivotField showAll="0"/>
    <pivotField axis="axisRow" numFmtId="14" showAll="0" measureFilter="1" sortType="de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8">
        <item x="2"/>
        <item x="3"/>
        <item x="4"/>
        <item x="5"/>
        <item x="6"/>
        <item x="0"/>
        <item x="1"/>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v="20"/>
    </i>
    <i>
      <x v="25"/>
    </i>
    <i>
      <x v="3"/>
    </i>
    <i>
      <x v="7"/>
    </i>
    <i>
      <x v="10"/>
    </i>
    <i t="grand">
      <x/>
    </i>
  </rowItems>
  <colItems count="1">
    <i/>
  </colItems>
  <dataFields count="1">
    <dataField name="Sum of Total_Clie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9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F1082-321C-4C69-9931-BA9D9BD5225C}"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location ref="A110:I135" firstHeaderRow="1" firstDataRow="2"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Col" showAll="0">
      <items count="8">
        <item x="2"/>
        <item x="3"/>
        <item x="4"/>
        <item x="5"/>
        <item x="6"/>
        <item x="0"/>
        <item x="1"/>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measureFilter="1" sortType="descending" defaultSubtotal="0">
      <items count="368">
        <item x="305"/>
        <item x="152"/>
        <item x="91"/>
        <item x="213"/>
        <item x="31"/>
        <item x="366"/>
        <item x="244"/>
        <item x="274"/>
        <item x="304"/>
        <item x="335"/>
        <item x="151"/>
        <item x="90"/>
        <item x="182"/>
        <item x="212"/>
        <item x="30"/>
        <item x="365"/>
        <item x="243"/>
        <item x="121"/>
        <item x="273"/>
        <item x="303"/>
        <item x="334"/>
        <item x="150"/>
        <item x="89"/>
        <item x="181"/>
        <item x="211"/>
        <item x="29"/>
        <item x="60"/>
        <item x="364"/>
        <item x="242"/>
        <item x="120"/>
        <item x="272"/>
        <item x="302"/>
        <item x="333"/>
        <item x="149"/>
        <item x="88"/>
        <item x="180"/>
        <item x="210"/>
        <item x="28"/>
        <item x="59"/>
        <item x="363"/>
        <item x="241"/>
        <item x="119"/>
        <item x="271"/>
        <item x="301"/>
        <item x="332"/>
        <item x="148"/>
        <item x="87"/>
        <item x="179"/>
        <item x="209"/>
        <item x="27"/>
        <item x="58"/>
        <item x="362"/>
        <item x="240"/>
        <item x="118"/>
        <item x="270"/>
        <item x="300"/>
        <item x="331"/>
        <item x="147"/>
        <item x="86"/>
        <item x="178"/>
        <item x="208"/>
        <item x="26"/>
        <item x="57"/>
        <item x="361"/>
        <item x="239"/>
        <item x="117"/>
        <item x="269"/>
        <item x="299"/>
        <item x="330"/>
        <item x="146"/>
        <item x="85"/>
        <item x="177"/>
        <item x="207"/>
        <item x="25"/>
        <item x="56"/>
        <item x="360"/>
        <item x="238"/>
        <item x="116"/>
        <item x="268"/>
        <item x="298"/>
        <item x="329"/>
        <item x="145"/>
        <item x="84"/>
        <item x="176"/>
        <item x="206"/>
        <item x="24"/>
        <item x="55"/>
        <item x="359"/>
        <item x="237"/>
        <item x="115"/>
        <item x="267"/>
        <item x="297"/>
        <item x="328"/>
        <item x="144"/>
        <item x="83"/>
        <item x="175"/>
        <item x="205"/>
        <item x="23"/>
        <item x="54"/>
        <item x="358"/>
        <item x="236"/>
        <item x="114"/>
        <item x="266"/>
        <item x="296"/>
        <item x="327"/>
        <item x="143"/>
        <item x="82"/>
        <item x="174"/>
        <item x="204"/>
        <item x="22"/>
        <item x="53"/>
        <item x="357"/>
        <item x="235"/>
        <item x="113"/>
        <item x="265"/>
        <item x="295"/>
        <item x="326"/>
        <item x="142"/>
        <item x="81"/>
        <item x="173"/>
        <item x="203"/>
        <item x="21"/>
        <item x="52"/>
        <item x="356"/>
        <item x="234"/>
        <item x="112"/>
        <item x="264"/>
        <item x="294"/>
        <item x="325"/>
        <item x="141"/>
        <item x="80"/>
        <item x="172"/>
        <item x="202"/>
        <item x="20"/>
        <item x="51"/>
        <item x="355"/>
        <item x="233"/>
        <item x="111"/>
        <item x="263"/>
        <item x="293"/>
        <item x="324"/>
        <item x="140"/>
        <item x="79"/>
        <item x="171"/>
        <item x="201"/>
        <item x="19"/>
        <item x="50"/>
        <item x="354"/>
        <item x="232"/>
        <item x="110"/>
        <item x="262"/>
        <item x="292"/>
        <item x="323"/>
        <item x="139"/>
        <item x="78"/>
        <item x="170"/>
        <item x="200"/>
        <item x="18"/>
        <item x="49"/>
        <item x="353"/>
        <item x="231"/>
        <item x="109"/>
        <item x="261"/>
        <item x="291"/>
        <item x="322"/>
        <item x="138"/>
        <item x="77"/>
        <item x="169"/>
        <item x="199"/>
        <item x="17"/>
        <item x="48"/>
        <item x="352"/>
        <item x="230"/>
        <item x="108"/>
        <item x="260"/>
        <item x="290"/>
        <item x="321"/>
        <item x="137"/>
        <item x="76"/>
        <item x="168"/>
        <item x="198"/>
        <item x="16"/>
        <item x="47"/>
        <item x="351"/>
        <item x="229"/>
        <item x="107"/>
        <item x="259"/>
        <item x="289"/>
        <item x="320"/>
        <item x="136"/>
        <item x="75"/>
        <item x="167"/>
        <item x="197"/>
        <item x="15"/>
        <item x="46"/>
        <item x="350"/>
        <item x="228"/>
        <item x="106"/>
        <item x="258"/>
        <item x="288"/>
        <item x="319"/>
        <item x="135"/>
        <item x="74"/>
        <item x="166"/>
        <item x="196"/>
        <item x="14"/>
        <item x="45"/>
        <item x="349"/>
        <item x="227"/>
        <item x="105"/>
        <item x="257"/>
        <item x="287"/>
        <item x="318"/>
        <item x="134"/>
        <item x="73"/>
        <item x="165"/>
        <item x="195"/>
        <item x="13"/>
        <item x="44"/>
        <item x="348"/>
        <item x="226"/>
        <item x="104"/>
        <item x="256"/>
        <item x="286"/>
        <item x="317"/>
        <item x="133"/>
        <item x="72"/>
        <item x="164"/>
        <item x="194"/>
        <item x="12"/>
        <item x="43"/>
        <item x="347"/>
        <item x="225"/>
        <item x="103"/>
        <item x="255"/>
        <item x="285"/>
        <item x="316"/>
        <item x="132"/>
        <item x="71"/>
        <item x="163"/>
        <item x="193"/>
        <item x="11"/>
        <item x="42"/>
        <item x="346"/>
        <item x="224"/>
        <item x="102"/>
        <item x="254"/>
        <item x="284"/>
        <item x="315"/>
        <item x="131"/>
        <item x="70"/>
        <item x="162"/>
        <item x="192"/>
        <item x="10"/>
        <item x="41"/>
        <item x="345"/>
        <item x="223"/>
        <item x="101"/>
        <item x="253"/>
        <item x="283"/>
        <item x="314"/>
        <item x="130"/>
        <item x="69"/>
        <item x="161"/>
        <item x="191"/>
        <item x="9"/>
        <item x="40"/>
        <item x="344"/>
        <item x="222"/>
        <item x="100"/>
        <item x="252"/>
        <item x="282"/>
        <item x="313"/>
        <item x="129"/>
        <item x="68"/>
        <item x="160"/>
        <item x="190"/>
        <item x="8"/>
        <item x="39"/>
        <item x="343"/>
        <item x="221"/>
        <item x="99"/>
        <item x="251"/>
        <item x="281"/>
        <item x="312"/>
        <item x="128"/>
        <item x="67"/>
        <item x="159"/>
        <item x="189"/>
        <item x="7"/>
        <item x="38"/>
        <item x="342"/>
        <item x="220"/>
        <item x="98"/>
        <item x="250"/>
        <item x="280"/>
        <item x="311"/>
        <item x="127"/>
        <item x="66"/>
        <item x="158"/>
        <item x="188"/>
        <item x="6"/>
        <item x="37"/>
        <item x="341"/>
        <item x="219"/>
        <item x="97"/>
        <item x="249"/>
        <item x="279"/>
        <item x="310"/>
        <item x="126"/>
        <item x="65"/>
        <item x="157"/>
        <item x="187"/>
        <item x="5"/>
        <item x="36"/>
        <item x="340"/>
        <item x="218"/>
        <item x="96"/>
        <item x="248"/>
        <item x="278"/>
        <item x="309"/>
        <item x="125"/>
        <item x="64"/>
        <item x="156"/>
        <item x="186"/>
        <item x="4"/>
        <item x="35"/>
        <item x="339"/>
        <item x="217"/>
        <item x="95"/>
        <item x="247"/>
        <item x="277"/>
        <item x="308"/>
        <item x="124"/>
        <item x="63"/>
        <item x="155"/>
        <item x="185"/>
        <item x="3"/>
        <item x="34"/>
        <item x="338"/>
        <item x="216"/>
        <item x="94"/>
        <item x="246"/>
        <item x="276"/>
        <item x="307"/>
        <item x="123"/>
        <item x="62"/>
        <item x="154"/>
        <item x="184"/>
        <item x="2"/>
        <item x="33"/>
        <item x="337"/>
        <item x="215"/>
        <item x="93"/>
        <item x="245"/>
        <item x="275"/>
        <item x="306"/>
        <item x="122"/>
        <item x="61"/>
        <item x="153"/>
        <item x="183"/>
        <item x="1"/>
        <item x="32"/>
        <item x="336"/>
        <item x="214"/>
        <item x="92"/>
        <item x="367"/>
        <item x="0"/>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7"/>
  </colFields>
  <colItems count="8">
    <i>
      <x/>
    </i>
    <i>
      <x v="1"/>
    </i>
    <i>
      <x v="2"/>
    </i>
    <i>
      <x v="3"/>
    </i>
    <i>
      <x v="4"/>
    </i>
    <i>
      <x v="5"/>
    </i>
    <i>
      <x v="6"/>
    </i>
    <i t="grand">
      <x/>
    </i>
  </colItems>
  <dataFields count="1">
    <dataField name="Sum of Total_Client" fld="15" baseField="0" baseItem="0"/>
  </dataFields>
  <chartFormats count="15">
    <chartFormat chart="0" format="1" series="1">
      <pivotArea type="data" outline="0" fieldPosition="0">
        <references count="1">
          <reference field="7" count="1" selected="0">
            <x v="1"/>
          </reference>
        </references>
      </pivotArea>
    </chartFormat>
    <chartFormat chart="0" format="2" series="1">
      <pivotArea type="data" outline="0" fieldPosition="0">
        <references count="1">
          <reference field="7" count="1" selected="0">
            <x v="2"/>
          </reference>
        </references>
      </pivotArea>
    </chartFormat>
    <chartFormat chart="0" format="3" series="1">
      <pivotArea type="data" outline="0" fieldPosition="0">
        <references count="1">
          <reference field="7" count="1" selected="0">
            <x v="3"/>
          </reference>
        </references>
      </pivotArea>
    </chartFormat>
    <chartFormat chart="0" format="4" series="1">
      <pivotArea type="data" outline="0" fieldPosition="0">
        <references count="1">
          <reference field="7" count="1" selected="0">
            <x v="4"/>
          </reference>
        </references>
      </pivotArea>
    </chartFormat>
    <chartFormat chart="0" format="5" series="1">
      <pivotArea type="data" outline="0" fieldPosition="0">
        <references count="1">
          <reference field="7" count="1" selected="0">
            <x v="5"/>
          </reference>
        </references>
      </pivotArea>
    </chartFormat>
    <chartFormat chart="0" format="6" series="1">
      <pivotArea type="data" outline="0" fieldPosition="0">
        <references count="1">
          <reference field="7" count="1" selected="0">
            <x v="6"/>
          </reference>
        </references>
      </pivotArea>
    </chartFormat>
    <chartFormat chart="0" format="7" series="1">
      <pivotArea type="data" outline="0" fieldPosition="0">
        <references count="1">
          <reference field="7" count="1" selected="0">
            <x v="0"/>
          </reference>
        </references>
      </pivotArea>
    </chartFormat>
    <chartFormat chart="0" format="8" series="1">
      <pivotArea type="data" outline="0" fieldPosition="0">
        <references count="2">
          <reference field="4294967294" count="1" selected="0">
            <x v="0"/>
          </reference>
          <reference field="7" count="1" selected="0">
            <x v="6"/>
          </reference>
        </references>
      </pivotArea>
    </chartFormat>
    <chartFormat chart="0" format="9" series="1">
      <pivotArea type="data" outline="0" fieldPosition="0">
        <references count="2">
          <reference field="4294967294" count="1" selected="0">
            <x v="0"/>
          </reference>
          <reference field="7" count="1" selected="0">
            <x v="1"/>
          </reference>
        </references>
      </pivotArea>
    </chartFormat>
    <chartFormat chart="0" format="10" series="1">
      <pivotArea type="data" outline="0" fieldPosition="0">
        <references count="2">
          <reference field="4294967294" count="1" selected="0">
            <x v="0"/>
          </reference>
          <reference field="7" count="1" selected="0">
            <x v="2"/>
          </reference>
        </references>
      </pivotArea>
    </chartFormat>
    <chartFormat chart="0" format="11" series="1">
      <pivotArea type="data" outline="0" fieldPosition="0">
        <references count="2">
          <reference field="4294967294" count="1" selected="0">
            <x v="0"/>
          </reference>
          <reference field="7" count="1" selected="0">
            <x v="3"/>
          </reference>
        </references>
      </pivotArea>
    </chartFormat>
    <chartFormat chart="0" format="12" series="1">
      <pivotArea type="data" outline="0" fieldPosition="0">
        <references count="2">
          <reference field="4294967294" count="1" selected="0">
            <x v="0"/>
          </reference>
          <reference field="7" count="1" selected="0">
            <x v="4"/>
          </reference>
        </references>
      </pivotArea>
    </chartFormat>
    <chartFormat chart="0" format="13" series="1">
      <pivotArea type="data" outline="0" fieldPosition="0">
        <references count="2">
          <reference field="4294967294" count="1" selected="0">
            <x v="0"/>
          </reference>
          <reference field="7" count="1" selected="0">
            <x v="5"/>
          </reference>
        </references>
      </pivotArea>
    </chartFormat>
    <chartFormat chart="0" format="44" series="1">
      <pivotArea type="data" outline="0" fieldPosition="0">
        <references count="2">
          <reference field="4294967294" count="1" selected="0">
            <x v="0"/>
          </reference>
          <reference field="7" count="1" selected="0">
            <x v="0"/>
          </reference>
        </references>
      </pivotArea>
    </chartFormat>
    <chartFormat chart="0"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46A5C-547D-438C-B750-10E3FEFDFC7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60:F69" firstHeaderRow="1" firstDataRow="2"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Row" showAll="0">
      <items count="8">
        <item x="2"/>
        <item x="3"/>
        <item x="4"/>
        <item x="5"/>
        <item x="6"/>
        <item x="0"/>
        <item x="1"/>
        <item t="default"/>
      </items>
    </pivotField>
    <pivotField axis="axisCol" showAll="0">
      <items count="5">
        <item x="0"/>
        <item x="1"/>
        <item x="2"/>
        <item x="3"/>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8">
    <i>
      <x/>
    </i>
    <i>
      <x v="1"/>
    </i>
    <i>
      <x v="2"/>
    </i>
    <i>
      <x v="3"/>
    </i>
    <i>
      <x v="4"/>
    </i>
    <i>
      <x v="5"/>
    </i>
    <i>
      <x v="6"/>
    </i>
    <i t="grand">
      <x/>
    </i>
  </rowItems>
  <colFields count="1">
    <field x="8"/>
  </colFields>
  <colItems count="5">
    <i>
      <x/>
    </i>
    <i>
      <x v="1"/>
    </i>
    <i>
      <x v="2"/>
    </i>
    <i>
      <x v="3"/>
    </i>
    <i t="grand">
      <x/>
    </i>
  </colItems>
  <dataFields count="1">
    <dataField name="Sum of Total_Client" fld="15" baseField="0" baseItem="0"/>
  </dataFields>
  <chartFormats count="14">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54" series="1">
      <pivotArea type="data" outline="0" fieldPosition="0">
        <references count="2">
          <reference field="4294967294" count="1" selected="0">
            <x v="0"/>
          </reference>
          <reference field="8" count="1" selected="0">
            <x v="0"/>
          </reference>
        </references>
      </pivotArea>
    </chartFormat>
    <chartFormat chart="0" format="55" series="1">
      <pivotArea type="data" outline="0" fieldPosition="0">
        <references count="2">
          <reference field="4294967294" count="1" selected="0">
            <x v="0"/>
          </reference>
          <reference field="8" count="1" selected="0">
            <x v="1"/>
          </reference>
        </references>
      </pivotArea>
    </chartFormat>
    <chartFormat chart="0" format="56" series="1">
      <pivotArea type="data" outline="0" fieldPosition="0">
        <references count="2">
          <reference field="4294967294" count="1" selected="0">
            <x v="0"/>
          </reference>
          <reference field="8" count="1" selected="0">
            <x v="2"/>
          </reference>
        </references>
      </pivotArea>
    </chartFormat>
    <chartFormat chart="0" format="57" series="1">
      <pivotArea type="data" outline="0" fieldPosition="0">
        <references count="2">
          <reference field="4294967294" count="1" selected="0">
            <x v="0"/>
          </reference>
          <reference field="8" count="1" selected="0">
            <x v="3"/>
          </reference>
        </references>
      </pivotArea>
    </chartFormat>
    <chartFormat chart="0" format="58" series="1">
      <pivotArea type="data" outline="0" fieldPosition="0">
        <references count="1">
          <reference field="4294967294" count="1" selected="0">
            <x v="0"/>
          </reference>
        </references>
      </pivotArea>
    </chartFormat>
    <chartFormat chart="2" format="63" series="1">
      <pivotArea type="data" outline="0" fieldPosition="0">
        <references count="2">
          <reference field="4294967294" count="1" selected="0">
            <x v="0"/>
          </reference>
          <reference field="8" count="1" selected="0">
            <x v="0"/>
          </reference>
        </references>
      </pivotArea>
    </chartFormat>
    <chartFormat chart="2" format="64" series="1">
      <pivotArea type="data" outline="0" fieldPosition="0">
        <references count="2">
          <reference field="4294967294" count="1" selected="0">
            <x v="0"/>
          </reference>
          <reference field="8" count="1" selected="0">
            <x v="1"/>
          </reference>
        </references>
      </pivotArea>
    </chartFormat>
    <chartFormat chart="2" format="65" series="1">
      <pivotArea type="data" outline="0" fieldPosition="0">
        <references count="2">
          <reference field="4294967294" count="1" selected="0">
            <x v="0"/>
          </reference>
          <reference field="8" count="1" selected="0">
            <x v="2"/>
          </reference>
        </references>
      </pivotArea>
    </chartFormat>
    <chartFormat chart="2" format="66" series="1">
      <pivotArea type="data" outline="0" fieldPosition="0">
        <references count="2">
          <reference field="4294967294" count="1" selected="0">
            <x v="0"/>
          </reference>
          <reference field="8" count="1" selected="0">
            <x v="3"/>
          </reference>
        </references>
      </pivotArea>
    </chartFormat>
    <chartFormat chart="2"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471514D-06CF-4F8E-A0C9-EB79DAC48F89}" autoFormatId="16" applyNumberFormats="0" applyBorderFormats="0" applyFontFormats="0" applyPatternFormats="0" applyAlignmentFormats="0" applyWidthHeightFormats="0">
  <queryTableRefresh nextId="20">
    <queryTableFields count="16">
      <queryTableField id="1" name="Instant" tableColumnId="1"/>
      <queryTableField id="2" name="Date" tableColumnId="2"/>
      <queryTableField id="3" name="Season" tableColumnId="3"/>
      <queryTableField id="4" name="Year" tableColumnId="4"/>
      <queryTableField id="5" name="Month" tableColumnId="5"/>
      <queryTableField id="6" name="Hr" tableColumnId="6"/>
      <queryTableField id="7" name="Holiday" tableColumnId="7"/>
      <queryTableField id="8" name="Weekday" tableColumnId="8"/>
      <queryTableField id="9" name="Weather_sit" tableColumnId="9"/>
      <queryTableField id="10" name="Temp" tableColumnId="10"/>
      <queryTableField id="11" name="A_Temp" tableColumnId="11"/>
      <queryTableField id="12" name="Humidity" tableColumnId="12"/>
      <queryTableField id="13" name="Wind_speed" tableColumnId="13"/>
      <queryTableField id="14" name="Casual" tableColumnId="14"/>
      <queryTableField id="15" name="Registered" tableColumnId="15"/>
      <queryTableField id="16" name="Total_Cli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3E4394B4-4796-4410-A083-89A3561C30AA}" autoFormatId="16" applyNumberFormats="0" applyBorderFormats="0" applyFontFormats="0" applyPatternFormats="0" applyAlignmentFormats="0" applyWidthHeightFormats="0">
  <queryTableRefresh nextId="17">
    <queryTableFields count="16">
      <queryTableField id="1" name="Instant" tableColumnId="1"/>
      <queryTableField id="2" name="Date" tableColumnId="2"/>
      <queryTableField id="3" name="Season" tableColumnId="3"/>
      <queryTableField id="4" name="Year" tableColumnId="4"/>
      <queryTableField id="5" name="Month" tableColumnId="5"/>
      <queryTableField id="6" name="Hr" tableColumnId="6"/>
      <queryTableField id="7" name="Holiday" tableColumnId="7"/>
      <queryTableField id="8" name="Weekday" tableColumnId="8"/>
      <queryTableField id="9" name="Weather_sit" tableColumnId="9"/>
      <queryTableField id="10" name="Temp" tableColumnId="10"/>
      <queryTableField id="11" name="A_Temp" tableColumnId="11"/>
      <queryTableField id="12" name="Humidity" tableColumnId="12"/>
      <queryTableField id="13" name="Wind_speed" tableColumnId="13"/>
      <queryTableField id="14" name="Casual" tableColumnId="14"/>
      <queryTableField id="15" name="Registered" tableColumnId="15"/>
      <queryTableField id="16" name="Total_Clie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3CA7798-9FBD-4AE9-8F64-8B38FD6AC406}" autoFormatId="16" applyNumberFormats="0" applyBorderFormats="0" applyFontFormats="0" applyPatternFormats="0" applyAlignmentFormats="0" applyWidthHeightFormats="0">
  <queryTableRefresh nextId="18">
    <queryTableFields count="7">
      <queryTableField id="1" name="Instant" tableColumnId="1"/>
      <queryTableField id="2" name="A_Temp" tableColumnId="2"/>
      <queryTableField id="3" name="Humidity" tableColumnId="3"/>
      <queryTableField id="4" name="Wind_speed" tableColumnId="4"/>
      <queryTableField id="5" name="Casual" tableColumnId="5"/>
      <queryTableField id="6" name="Registered" tableColumnId="6"/>
      <queryTableField id="7" name="Total_Clien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57926FAE-FA4A-419F-90B9-9B89891515E1}" autoFormatId="16" applyNumberFormats="0" applyBorderFormats="0" applyFontFormats="0" applyPatternFormats="0" applyAlignmentFormats="0" applyWidthHeightFormats="0">
  <queryTableRefresh nextId="13">
    <queryTableFields count="10">
      <queryTableField id="1" name="Instant" tableColumnId="1"/>
      <queryTableField id="2" name="Date" tableColumnId="2"/>
      <queryTableField id="3" name="Season" tableColumnId="3"/>
      <queryTableField id="4" name="Year" tableColumnId="4"/>
      <queryTableField id="5" name="Month" tableColumnId="5"/>
      <queryTableField id="6" name="Hr" tableColumnId="6"/>
      <queryTableField id="7" name="Holiday" tableColumnId="7"/>
      <queryTableField id="8" name="Weekday" tableColumnId="8"/>
      <queryTableField id="9" name="Weather_sit" tableColumnId="9"/>
      <queryTableField id="10" name="Tem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AEC696A-1033-40AB-B96C-5891697ADD8A}" sourceName="Weekday">
  <pivotTables>
    <pivotTable tabId="7" name="PivotTable1"/>
    <pivotTable tabId="7" name="PivotTable2"/>
    <pivotTable tabId="7" name="PivotTable3"/>
    <pivotTable tabId="7" name="PivotTable4"/>
    <pivotTable tabId="7" name="PivotTable6"/>
    <pivotTable tabId="7" name="PivotTable5"/>
  </pivotTables>
  <data>
    <tabular pivotCacheId="1756974995">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 xr10:uid="{EBFF41F1-110A-46E9-81C9-5D50470B6D1A}" sourceName="Weather_sit">
  <pivotTables>
    <pivotTable tabId="7" name="PivotTable1"/>
    <pivotTable tabId="7" name="PivotTable2"/>
    <pivotTable tabId="7" name="PivotTable3"/>
    <pivotTable tabId="7" name="PivotTable4"/>
    <pivotTable tabId="7" name="PivotTable6"/>
    <pivotTable tabId="7" name="PivotTable5"/>
  </pivotTables>
  <data>
    <tabular pivotCacheId="175697499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735D449E-30D7-4A75-8E57-42F219EF4B63}" cache="Slicer_Weekday" caption="Weekday" startItem="2" rowHeight="182880"/>
  <slicer name="Weather_sit 1" xr10:uid="{DC88B9D0-DA34-470D-8DF7-8CB0C9DD7733}" cache="Slicer_Weather_sit" caption="Weather_sit"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4E6C995E-7DA0-4DEE-81E3-13A2C97B3CB7}" cache="Slicer_Weekday" caption="Weekday" rowHeight="225425"/>
  <slicer name="Weather_sit" xr10:uid="{949299D8-2EBB-4EC9-8447-0673A95FF480}" cache="Slicer_Weather_sit" caption="Weather_sit" columnCount="4" rowHeight="22542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F98177-BF30-4D9F-AFF8-C3AB72B3C318}" name="Table5" displayName="Table5" ref="A1:E58" totalsRowShown="0">
  <autoFilter ref="A1:E58" xr:uid="{0EF98177-BF30-4D9F-AFF8-C3AB72B3C318}"/>
  <tableColumns count="5">
    <tableColumn id="1" xr3:uid="{869F33F0-D18A-4F3A-AAA3-9568ABAA3059}" name="date" dataDxfId="12"/>
    <tableColumn id="2" xr3:uid="{927E717F-4835-4A54-9F7D-6AE2BD3A159B}" name="Total_Client"/>
    <tableColumn id="3" xr3:uid="{5B3C9CCC-0EB2-48BA-AAA9-011E8CA02F78}" name="Forecast(Total_Client)">
      <calculatedColumnFormula>_xlfn.FORECAST.ETS(A2,$B$2:$B$46,$A$2:$A$46,1,1)</calculatedColumnFormula>
    </tableColumn>
    <tableColumn id="4" xr3:uid="{C8997D1F-FC6F-4B9E-8AE9-4045B97E752B}" name="Lower Confidence Bound(Total_Client)" dataDxfId="11">
      <calculatedColumnFormula>C2-_xlfn.FORECAST.ETS.CONFINT(A2,$B$2:$B$46,$A$2:$A$46,0.95,1,1)</calculatedColumnFormula>
    </tableColumn>
    <tableColumn id="5" xr3:uid="{F27C7D77-6800-40BC-91C6-F4882445BE05}" name="Upper Confidence Bound(Total_Client)" dataDxfId="10">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B34DBE-129B-443D-8DFF-6FE30B80B130}" name="Dataset_A" displayName="Dataset_A" ref="A1:P1001" tableType="queryTable" totalsRowShown="0">
  <autoFilter ref="A1:P1001" xr:uid="{7AB34DBE-129B-443D-8DFF-6FE30B80B130}"/>
  <tableColumns count="16">
    <tableColumn id="1" xr3:uid="{D8BBAFA8-6ED1-48F0-8308-F32E8157927E}" uniqueName="1" name="Instant" queryTableFieldId="1"/>
    <tableColumn id="2" xr3:uid="{5F0173FF-7299-45D4-9BCF-768558E092C2}" uniqueName="2" name="Date" queryTableFieldId="2" dataDxfId="9"/>
    <tableColumn id="3" xr3:uid="{CCA45B6F-E49A-47FB-90B7-9620C0E3B375}" uniqueName="3" name="Season" queryTableFieldId="3"/>
    <tableColumn id="4" xr3:uid="{5362FC16-205F-4F19-8ED9-120635624C6B}" uniqueName="4" name="Year" queryTableFieldId="4"/>
    <tableColumn id="5" xr3:uid="{C336BF16-D1AD-4EA9-B117-72D56122BF82}" uniqueName="5" name="Month" queryTableFieldId="5" dataDxfId="8"/>
    <tableColumn id="6" xr3:uid="{EFDEEC6B-9A85-4AD8-8A78-619F8505FF0E}" uniqueName="6" name="Hr" queryTableFieldId="6"/>
    <tableColumn id="7" xr3:uid="{1CA56B97-0964-44B6-81A4-5F10846E12DD}" uniqueName="7" name="Holiday" queryTableFieldId="7"/>
    <tableColumn id="8" xr3:uid="{9E25143B-B4CF-4F35-9A80-02DE0DA34DDF}" uniqueName="8" name="Weekday" queryTableFieldId="8" dataDxfId="7"/>
    <tableColumn id="9" xr3:uid="{E4CBF04C-2B3A-4E84-8A68-CC47249AE4A7}" uniqueName="9" name="Weather_sit" queryTableFieldId="9"/>
    <tableColumn id="10" xr3:uid="{50438050-EFF9-4458-9281-918FB2871AC2}" uniqueName="10" name="Temp" queryTableFieldId="10"/>
    <tableColumn id="11" xr3:uid="{40724A30-0A9C-4483-A8BD-D8F4740E5197}" uniqueName="11" name="A_Temp" queryTableFieldId="11"/>
    <tableColumn id="12" xr3:uid="{BD4946E2-D98D-4BBD-9327-0BBB6840EF0D}" uniqueName="12" name="Humidity" queryTableFieldId="12"/>
    <tableColumn id="13" xr3:uid="{6E93DB1D-258E-499F-AB30-4EF00D5BCE8C}" uniqueName="13" name="Wind_speed" queryTableFieldId="13"/>
    <tableColumn id="14" xr3:uid="{F35C6F38-8E58-438B-BD50-0DCF1EF7EE2C}" uniqueName="14" name="Casual" queryTableFieldId="14"/>
    <tableColumn id="15" xr3:uid="{96325A46-A980-485C-A608-2AD55AE421BB}" uniqueName="15" name="Registered" queryTableFieldId="15"/>
    <tableColumn id="16" xr3:uid="{8EC0AAE7-2C7C-4559-83C1-49735B5FB661}" uniqueName="16" name="Total_Client"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A3A513-1C14-4C72-B6F2-61A2327442F9}" name="Merge_1_2" displayName="Merge_1_2" ref="A1:P611" tableType="queryTable" totalsRowShown="0">
  <autoFilter ref="A1:P611" xr:uid="{94A3A513-1C14-4C72-B6F2-61A2327442F9}"/>
  <tableColumns count="16">
    <tableColumn id="1" xr3:uid="{5A61F659-7785-4B99-83BC-9FD24B4E47A8}" uniqueName="1" name="Instant" queryTableFieldId="1"/>
    <tableColumn id="2" xr3:uid="{1021D082-3C3A-4B78-A501-CF2A0A10DA18}" uniqueName="2" name="Date" queryTableFieldId="2" dataDxfId="6"/>
    <tableColumn id="3" xr3:uid="{73D2A37D-C67B-4CC9-8487-E643D1D11E69}" uniqueName="3" name="Season" queryTableFieldId="3"/>
    <tableColumn id="4" xr3:uid="{BDC73461-C131-4323-A9ED-8AC20DED4650}" uniqueName="4" name="Year" queryTableFieldId="4"/>
    <tableColumn id="5" xr3:uid="{39160219-BA93-41B8-A77E-9FA4F62C4927}" uniqueName="5" name="Month" queryTableFieldId="5" dataDxfId="5"/>
    <tableColumn id="6" xr3:uid="{8EF39EDC-35BC-4CF8-9C0B-3A0B430F1677}" uniqueName="6" name="Hr" queryTableFieldId="6"/>
    <tableColumn id="7" xr3:uid="{56EEBF16-6456-4617-9D89-58F3CDD80E71}" uniqueName="7" name="Holiday" queryTableFieldId="7"/>
    <tableColumn id="8" xr3:uid="{083294DD-7C87-43A6-ABD8-A994E07F893E}" uniqueName="8" name="Weekday" queryTableFieldId="8" dataDxfId="4"/>
    <tableColumn id="9" xr3:uid="{7F0720F6-9E31-471A-A447-8209F47491E6}" uniqueName="9" name="Weather_sit" queryTableFieldId="9"/>
    <tableColumn id="10" xr3:uid="{18898FE9-228D-4544-96B2-1F838BD73062}" uniqueName="10" name="Temp" queryTableFieldId="10"/>
    <tableColumn id="11" xr3:uid="{83053759-3213-4016-AE28-853167ED2741}" uniqueName="11" name="A_Temp" queryTableFieldId="11"/>
    <tableColumn id="12" xr3:uid="{D1AA4AFE-1E54-43D9-83A9-D1E4C0EAC62D}" uniqueName="12" name="Humidity" queryTableFieldId="12"/>
    <tableColumn id="13" xr3:uid="{13BB4BA8-197F-4CF5-BC04-913BF42D016F}" uniqueName="13" name="Wind_speed" queryTableFieldId="13"/>
    <tableColumn id="14" xr3:uid="{5D424E35-FC6F-4111-BF8B-90B25238EE03}" uniqueName="14" name="Casual" queryTableFieldId="14"/>
    <tableColumn id="15" xr3:uid="{4C8BA00B-4B37-4DF9-9261-DAB2A10FCF3E}" uniqueName="15" name="Registered" queryTableFieldId="15"/>
    <tableColumn id="16" xr3:uid="{72C2385D-6C88-42C4-AAB3-3F4CDC2F3358}" uniqueName="16" name="Total_Clie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EAA07A-23BF-4A31-8AB8-799436BF2816}" name="dataset_2" displayName="dataset_2" ref="A1:G1000" tableType="queryTable" totalsRowShown="0">
  <autoFilter ref="A1:G1000" xr:uid="{F5EAA07A-23BF-4A31-8AB8-799436BF2816}"/>
  <tableColumns count="7">
    <tableColumn id="1" xr3:uid="{44FFA970-D1AD-4C02-8771-3535884FAC09}" uniqueName="1" name="Instant" queryTableFieldId="1"/>
    <tableColumn id="2" xr3:uid="{42142C5E-F502-4ED0-BF50-8E5712ED6AB1}" uniqueName="2" name="A_Temp" queryTableFieldId="2"/>
    <tableColumn id="3" xr3:uid="{66B592C3-D421-4650-8147-18A88086BF5F}" uniqueName="3" name="Humidity" queryTableFieldId="3"/>
    <tableColumn id="4" xr3:uid="{EC4268B3-8237-4B34-9BB9-0246AC4FDDA8}" uniqueName="4" name="Wind_speed" queryTableFieldId="4"/>
    <tableColumn id="5" xr3:uid="{B3D3EC3D-94AB-4C1E-84D7-F48855C65C45}" uniqueName="5" name="Casual" queryTableFieldId="5"/>
    <tableColumn id="6" xr3:uid="{060A9BCB-1F7A-476A-BE32-1591A9907AAE}" uniqueName="6" name="Registered" queryTableFieldId="6"/>
    <tableColumn id="7" xr3:uid="{A4AB8BD9-3215-49D1-BA43-3AB831B4233A}" uniqueName="7" name="Total_Client" queryTableField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13095-1A98-45EE-8AB2-65FACA400EEF}" name="dataset_1" displayName="dataset_1" ref="A1:J611" tableType="queryTable" totalsRowShown="0">
  <autoFilter ref="A1:J611" xr:uid="{53213095-1A98-45EE-8AB2-65FACA400EEF}"/>
  <tableColumns count="10">
    <tableColumn id="1" xr3:uid="{A6E4758A-C232-4F6E-944C-2290ABC7F042}" uniqueName="1" name="Instant" queryTableFieldId="1"/>
    <tableColumn id="2" xr3:uid="{85247BE5-B86E-489B-9C67-D746B9868E75}" uniqueName="2" name="Date" queryTableFieldId="2" dataDxfId="3"/>
    <tableColumn id="3" xr3:uid="{420B8454-099B-43A3-B14F-42A846E798C3}" uniqueName="3" name="Season" queryTableFieldId="3"/>
    <tableColumn id="4" xr3:uid="{CC5E1023-1172-4216-999D-A26155FAEE47}" uniqueName="4" name="Year" queryTableFieldId="4"/>
    <tableColumn id="5" xr3:uid="{640DB4EC-CDD1-493A-805D-5856EA458F4C}" uniqueName="5" name="Month" queryTableFieldId="5" dataDxfId="2"/>
    <tableColumn id="6" xr3:uid="{6BF77DE4-D70F-4C3B-82E5-2993A07ED262}" uniqueName="6" name="Hr" queryTableFieldId="6"/>
    <tableColumn id="7" xr3:uid="{F3A75731-07D7-460D-BCD9-29215A7CB75F}" uniqueName="7" name="Holiday" queryTableFieldId="7"/>
    <tableColumn id="8" xr3:uid="{3D5E161C-8CFC-4D20-8EB2-F821FD258FB0}" uniqueName="8" name="Weekday" queryTableFieldId="8" dataDxfId="1"/>
    <tableColumn id="9" xr3:uid="{73E0134E-8DC8-4FA7-99B7-1EB3158966ED}" uniqueName="9" name="Weather_sit" queryTableFieldId="9"/>
    <tableColumn id="10" xr3:uid="{7CDD1952-1663-408B-BD79-AF0F7EEFD3C4}" uniqueName="10" name="Temp" queryTableFieldId="1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2537BAD-5599-40CD-A9B2-BF49A3EE8096}" sourceName="Date">
  <pivotTables>
    <pivotTable tabId="7" name="PivotTable1"/>
    <pivotTable tabId="7" name="PivotTable2"/>
    <pivotTable tabId="7" name="PivotTable3"/>
    <pivotTable tabId="7" name="PivotTable4"/>
    <pivotTable tabId="7" name="PivotTable6"/>
    <pivotTable tabId="7" name="PivotTable5"/>
  </pivotTables>
  <state minimalRefreshVersion="6" lastRefreshVersion="6" pivotCacheId="1756974995"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697F4D3-2F3B-4D3C-9A2B-6C49FEDBAEA7}" cache="NativeTimeline_Date" caption="Date"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29446FE-EAF0-4F96-86CC-D1B390696FAB}" cache="NativeTimeline_Date" caption="Date" level="2" selectionLevel="2" scrollPosition="201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7CFE-D277-44A1-990A-0D1E21C2F96B}">
  <dimension ref="A1"/>
  <sheetViews>
    <sheetView workbookViewId="0">
      <selection activeCell="V25" sqref="V25"/>
    </sheetView>
  </sheetViews>
  <sheetFormatPr defaultRowHeight="12.75" x14ac:dyDescent="0.2"/>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C920-0C73-4498-9269-94D122FF7167}">
  <dimension ref="A1:S49"/>
  <sheetViews>
    <sheetView zoomScale="120" zoomScaleNormal="120" workbookViewId="0">
      <selection activeCell="H13" sqref="H13"/>
    </sheetView>
  </sheetViews>
  <sheetFormatPr defaultRowHeight="12.75" x14ac:dyDescent="0.2"/>
  <cols>
    <col min="1" max="1" width="13.85546875" customWidth="1"/>
    <col min="2" max="6" width="12.85546875" bestFit="1" customWidth="1"/>
    <col min="8" max="8" width="12.42578125" customWidth="1"/>
    <col min="9" max="9" width="10.85546875" customWidth="1"/>
    <col min="11" max="11" width="13.140625" customWidth="1"/>
    <col min="12" max="13" width="16.140625" customWidth="1"/>
    <col min="14" max="14" width="14.85546875" customWidth="1"/>
    <col min="15" max="15" width="15.5703125" customWidth="1"/>
    <col min="17" max="17" width="13.28515625" bestFit="1" customWidth="1"/>
    <col min="18" max="18" width="14.140625" customWidth="1"/>
    <col min="19" max="19" width="13.140625" customWidth="1"/>
  </cols>
  <sheetData>
    <row r="1" spans="1:18" x14ac:dyDescent="0.2">
      <c r="A1" s="28" t="s">
        <v>26</v>
      </c>
      <c r="B1" s="28"/>
      <c r="C1" s="28"/>
      <c r="D1" s="28"/>
      <c r="E1" s="28"/>
      <c r="F1" s="28"/>
      <c r="G1" s="28"/>
      <c r="H1" s="28"/>
      <c r="I1" s="28"/>
      <c r="J1" s="28"/>
      <c r="K1" s="28"/>
    </row>
    <row r="2" spans="1:18" x14ac:dyDescent="0.2">
      <c r="A2" s="28"/>
      <c r="B2" s="28"/>
      <c r="C2" s="28"/>
      <c r="D2" s="28"/>
      <c r="E2" s="28"/>
      <c r="F2" s="28"/>
      <c r="G2" s="28"/>
      <c r="H2" s="28"/>
      <c r="I2" s="28"/>
      <c r="J2" s="28"/>
      <c r="K2" s="28"/>
    </row>
    <row r="4" spans="1:18" x14ac:dyDescent="0.2">
      <c r="A4" s="16" t="s">
        <v>27</v>
      </c>
      <c r="B4" s="5" t="s">
        <v>6</v>
      </c>
      <c r="C4" s="5" t="s">
        <v>7</v>
      </c>
      <c r="D4" s="5" t="s">
        <v>18</v>
      </c>
      <c r="E4" s="5" t="s">
        <v>19</v>
      </c>
      <c r="F4" s="5" t="s">
        <v>20</v>
      </c>
      <c r="G4" s="5" t="s">
        <v>21</v>
      </c>
      <c r="H4" s="16" t="s">
        <v>22</v>
      </c>
      <c r="I4" s="5" t="s">
        <v>23</v>
      </c>
      <c r="J4" s="5"/>
      <c r="K4" s="5" t="s">
        <v>28</v>
      </c>
      <c r="L4" s="5" t="s">
        <v>29</v>
      </c>
      <c r="N4" s="9" t="s">
        <v>32</v>
      </c>
      <c r="O4" s="9">
        <f>SUMIF(Dataset_A!$S:$S,'Extract Data_sheet'!$N4,Dataset_A!$P:$P)</f>
        <v>37010</v>
      </c>
      <c r="Q4" s="29" t="s">
        <v>42</v>
      </c>
      <c r="R4" s="29"/>
    </row>
    <row r="5" spans="1:18" x14ac:dyDescent="0.2">
      <c r="A5" s="15">
        <v>40544</v>
      </c>
      <c r="B5" s="6">
        <f>AVERAGEIF(Dataset_A!$B:$B,'Extract Data_sheet'!$A5,Dataset_A!I:I)</f>
        <v>1.5833333333333333</v>
      </c>
      <c r="C5" s="6">
        <f>AVERAGEIF(Dataset_A!$B:$B,'Extract Data_sheet'!$A5,Dataset_A!J:J)</f>
        <v>0.34416666666666673</v>
      </c>
      <c r="D5" s="6">
        <f>AVERAGEIF(Dataset_A!$B:$B,'Extract Data_sheet'!$A5,Dataset_A!K:K)</f>
        <v>0.3143833333333334</v>
      </c>
      <c r="E5" s="7">
        <f>AVERAGEIF(Dataset_A!$B:$B,'Extract Data_sheet'!$A5,Dataset_A!L:L)</f>
        <v>0.80583333333333351</v>
      </c>
      <c r="F5" s="6">
        <f>AVERAGEIF(Dataset_A!$B:$B,'Extract Data_sheet'!$A5,Dataset_A!M:M)</f>
        <v>0.16044583333333329</v>
      </c>
      <c r="G5" s="8">
        <f>SUMIF(Dataset_A!$B:$B,'Extract Data_sheet'!$A5,Dataset_A!N:N)</f>
        <v>331</v>
      </c>
      <c r="H5" s="8">
        <f>SUMIF(Dataset_A!$B:$B,'Extract Data_sheet'!$A5,Dataset_A!O:O)</f>
        <v>654</v>
      </c>
      <c r="I5" s="8">
        <f>SUMIF(Dataset_A!$B:$B,'Extract Data_sheet'!$A5,Dataset_A!P:P)</f>
        <v>985</v>
      </c>
      <c r="J5" s="8"/>
      <c r="K5" s="8" t="str">
        <f>TEXT(A5,"dddd")</f>
        <v>Saturday</v>
      </c>
      <c r="L5" s="8" t="str">
        <f>IF(E5&gt;=80%,"High Humidity",IF(E5&gt;=50%,"Mid Humidity",IF(E5&gt;=30%,"Low Humidity","")))</f>
        <v>High Humidity</v>
      </c>
      <c r="N5" s="8" t="s">
        <v>33</v>
      </c>
      <c r="O5" s="9">
        <f>SUMIF(Dataset_A!$S:$S,'Extract Data_sheet'!$N5,Dataset_A!$P:$P)</f>
        <v>10904</v>
      </c>
      <c r="Q5" s="17" t="s">
        <v>39</v>
      </c>
      <c r="R5" s="17" t="s">
        <v>33</v>
      </c>
    </row>
    <row r="6" spans="1:18" x14ac:dyDescent="0.2">
      <c r="A6" s="15">
        <v>40545</v>
      </c>
      <c r="B6" s="6">
        <f>AVERAGEIF(Dataset_A!$B:$B,'Extract Data_sheet'!$A6,Dataset_A!I:I)</f>
        <v>1.9565217391304348</v>
      </c>
      <c r="C6" s="6">
        <f>AVERAGEIF(Dataset_A!$B:$B,'Extract Data_sheet'!$A6,Dataset_A!J:J)</f>
        <v>0.36347826086956525</v>
      </c>
      <c r="D6" s="6">
        <f>AVERAGEIF(Dataset_A!$B:$B,'Extract Data_sheet'!$A6,Dataset_A!K:K)</f>
        <v>0.28984347826086959</v>
      </c>
      <c r="E6" s="7">
        <f>AVERAGEIF(Dataset_A!$B:$B,'Extract Data_sheet'!$A6,Dataset_A!L:L)</f>
        <v>0.69608695652173924</v>
      </c>
      <c r="F6" s="6">
        <f>AVERAGEIF(Dataset_A!$B:$B,'Extract Data_sheet'!$A6,Dataset_A!M:M)</f>
        <v>0.24853913043478262</v>
      </c>
      <c r="G6" s="8">
        <f>SUMIF(Dataset_A!$B:$B,'Extract Data_sheet'!$A6,Dataset_A!N:N)</f>
        <v>131</v>
      </c>
      <c r="H6" s="8">
        <f>SUMIF(Dataset_A!$B:$B,'Extract Data_sheet'!$A6,Dataset_A!O:O)</f>
        <v>670</v>
      </c>
      <c r="I6" s="8">
        <f>SUMIF(Dataset_A!$B:$B,'Extract Data_sheet'!$A6,Dataset_A!P:P)</f>
        <v>801</v>
      </c>
      <c r="J6" s="8"/>
      <c r="K6" s="8" t="str">
        <f t="shared" ref="K6:K49" si="0">TEXT(A6,"dddd")</f>
        <v>Sunday</v>
      </c>
      <c r="L6" s="8" t="str">
        <f t="shared" ref="L6:L49" si="1">IF(E6&gt;=80%,"High Humidity",IF(E6&gt;=50%,"Mid Humidity",IF(E6&gt;=30%,"Low Humidity","")))</f>
        <v>Mid Humidity</v>
      </c>
      <c r="N6" s="8" t="s">
        <v>31</v>
      </c>
      <c r="O6" s="9">
        <f>SUMIF(Dataset_A!$S:$S,'Extract Data_sheet'!$N6,Dataset_A!$P:$P)</f>
        <v>10390</v>
      </c>
      <c r="Q6" s="17" t="s">
        <v>40</v>
      </c>
      <c r="R6" s="17" t="s">
        <v>31</v>
      </c>
    </row>
    <row r="7" spans="1:18" x14ac:dyDescent="0.2">
      <c r="A7" s="15">
        <v>40546</v>
      </c>
      <c r="B7" s="6">
        <f>AVERAGEIF(Dataset_A!$B:$B,'Extract Data_sheet'!$A7,Dataset_A!I:I)</f>
        <v>1</v>
      </c>
      <c r="C7" s="6">
        <f>AVERAGEIF(Dataset_A!$B:$B,'Extract Data_sheet'!$A7,Dataset_A!J:J)</f>
        <v>0.19636363636363632</v>
      </c>
      <c r="D7" s="6">
        <f>AVERAGEIF(Dataset_A!$B:$B,'Extract Data_sheet'!$A7,Dataset_A!K:K)</f>
        <v>0.16185454545454545</v>
      </c>
      <c r="E7" s="7">
        <f>AVERAGEIF(Dataset_A!$B:$B,'Extract Data_sheet'!$A7,Dataset_A!L:L)</f>
        <v>0.43727272727272726</v>
      </c>
      <c r="F7" s="6">
        <f>AVERAGEIF(Dataset_A!$B:$B,'Extract Data_sheet'!$A7,Dataset_A!M:M)</f>
        <v>0.24830909090909081</v>
      </c>
      <c r="G7" s="8">
        <f>SUMIF(Dataset_A!$B:$B,'Extract Data_sheet'!$A7,Dataset_A!N:N)</f>
        <v>120</v>
      </c>
      <c r="H7" s="8">
        <f>SUMIF(Dataset_A!$B:$B,'Extract Data_sheet'!$A7,Dataset_A!O:O)</f>
        <v>1229</v>
      </c>
      <c r="I7" s="8">
        <f>SUMIF(Dataset_A!$B:$B,'Extract Data_sheet'!$A7,Dataset_A!P:P)</f>
        <v>1349</v>
      </c>
      <c r="J7" s="8"/>
      <c r="K7" s="8" t="str">
        <f t="shared" si="0"/>
        <v>Monday</v>
      </c>
      <c r="L7" s="8" t="str">
        <f t="shared" si="1"/>
        <v>Low Humidity</v>
      </c>
      <c r="N7" s="10" t="s">
        <v>34</v>
      </c>
      <c r="O7" s="10">
        <f>SUM(O4:O6)</f>
        <v>58304</v>
      </c>
      <c r="Q7" s="18" t="s">
        <v>41</v>
      </c>
      <c r="R7" s="17" t="s">
        <v>32</v>
      </c>
    </row>
    <row r="8" spans="1:18" x14ac:dyDescent="0.2">
      <c r="A8" s="15">
        <v>40547</v>
      </c>
      <c r="B8" s="6">
        <f>AVERAGEIF(Dataset_A!$B:$B,'Extract Data_sheet'!$A8,Dataset_A!I:I)</f>
        <v>1.0434782608695652</v>
      </c>
      <c r="C8" s="6">
        <f>AVERAGEIF(Dataset_A!$B:$B,'Extract Data_sheet'!$A8,Dataset_A!J:J)</f>
        <v>0.19999999999999998</v>
      </c>
      <c r="D8" s="6">
        <f>AVERAGEIF(Dataset_A!$B:$B,'Extract Data_sheet'!$A8,Dataset_A!K:K)</f>
        <v>0.20421739130434782</v>
      </c>
      <c r="E8" s="7">
        <f>AVERAGEIF(Dataset_A!$B:$B,'Extract Data_sheet'!$A8,Dataset_A!L:L)</f>
        <v>0.59043478260869575</v>
      </c>
      <c r="F8" s="6">
        <f>AVERAGEIF(Dataset_A!$B:$B,'Extract Data_sheet'!$A8,Dataset_A!M:M)</f>
        <v>0.16029565217391301</v>
      </c>
      <c r="G8" s="8">
        <f>SUMIF(Dataset_A!$B:$B,'Extract Data_sheet'!$A8,Dataset_A!N:N)</f>
        <v>108</v>
      </c>
      <c r="H8" s="8">
        <f>SUMIF(Dataset_A!$B:$B,'Extract Data_sheet'!$A8,Dataset_A!O:O)</f>
        <v>1454</v>
      </c>
      <c r="I8" s="8">
        <f>SUMIF(Dataset_A!$B:$B,'Extract Data_sheet'!$A8,Dataset_A!P:P)</f>
        <v>1562</v>
      </c>
      <c r="J8" s="8"/>
      <c r="K8" s="8" t="str">
        <f t="shared" si="0"/>
        <v>Tuesday</v>
      </c>
      <c r="L8" s="8" t="str">
        <f t="shared" si="1"/>
        <v>Mid Humidity</v>
      </c>
    </row>
    <row r="9" spans="1:18" x14ac:dyDescent="0.2">
      <c r="A9" s="15">
        <v>40548</v>
      </c>
      <c r="B9" s="6">
        <f>AVERAGEIF(Dataset_A!$B:$B,'Extract Data_sheet'!$A9,Dataset_A!I:I)</f>
        <v>1</v>
      </c>
      <c r="C9" s="6">
        <f>AVERAGEIF(Dataset_A!$B:$B,'Extract Data_sheet'!$A9,Dataset_A!J:J)</f>
        <v>0.22695652173913042</v>
      </c>
      <c r="D9" s="6">
        <f>AVERAGEIF(Dataset_A!$B:$B,'Extract Data_sheet'!$A9,Dataset_A!K:K)</f>
        <v>0.22926956521739131</v>
      </c>
      <c r="E9" s="7">
        <f>AVERAGEIF(Dataset_A!$B:$B,'Extract Data_sheet'!$A9,Dataset_A!L:L)</f>
        <v>0.43695652173913052</v>
      </c>
      <c r="F9" s="6">
        <f>AVERAGEIF(Dataset_A!$B:$B,'Extract Data_sheet'!$A9,Dataset_A!M:M)</f>
        <v>0.18690000000000001</v>
      </c>
      <c r="G9" s="8">
        <f>SUMIF(Dataset_A!$B:$B,'Extract Data_sheet'!$A9,Dataset_A!N:N)</f>
        <v>82</v>
      </c>
      <c r="H9" s="8">
        <f>SUMIF(Dataset_A!$B:$B,'Extract Data_sheet'!$A9,Dataset_A!O:O)</f>
        <v>1518</v>
      </c>
      <c r="I9" s="8">
        <f>SUMIF(Dataset_A!$B:$B,'Extract Data_sheet'!$A9,Dataset_A!P:P)</f>
        <v>1600</v>
      </c>
      <c r="J9" s="8"/>
      <c r="K9" s="8" t="str">
        <f t="shared" si="0"/>
        <v>Wednesday</v>
      </c>
      <c r="L9" s="8" t="str">
        <f t="shared" si="1"/>
        <v>Low Humidity</v>
      </c>
    </row>
    <row r="10" spans="1:18" x14ac:dyDescent="0.2">
      <c r="A10" s="15">
        <v>40549</v>
      </c>
      <c r="B10" s="6">
        <f>AVERAGEIF(Dataset_A!$B:$B,'Extract Data_sheet'!$A10,Dataset_A!I:I)</f>
        <v>1.3478260869565217</v>
      </c>
      <c r="C10" s="6">
        <f>AVERAGEIF(Dataset_A!$B:$B,'Extract Data_sheet'!$A10,Dataset_A!J:J)</f>
        <v>0.20434782608695654</v>
      </c>
      <c r="D10" s="6">
        <f>AVERAGEIF(Dataset_A!$B:$B,'Extract Data_sheet'!$A10,Dataset_A!K:K)</f>
        <v>0.23320869565217398</v>
      </c>
      <c r="E10" s="7">
        <f>AVERAGEIF(Dataset_A!$B:$B,'Extract Data_sheet'!$A10,Dataset_A!L:L)</f>
        <v>0.51826086956521744</v>
      </c>
      <c r="F10" s="6">
        <f>AVERAGEIF(Dataset_A!$B:$B,'Extract Data_sheet'!$A10,Dataset_A!M:M)</f>
        <v>8.9565217391304353E-2</v>
      </c>
      <c r="G10" s="8">
        <f>SUMIF(Dataset_A!$B:$B,'Extract Data_sheet'!$A10,Dataset_A!N:N)</f>
        <v>88</v>
      </c>
      <c r="H10" s="8">
        <f>SUMIF(Dataset_A!$B:$B,'Extract Data_sheet'!$A10,Dataset_A!O:O)</f>
        <v>1518</v>
      </c>
      <c r="I10" s="8">
        <f>SUMIF(Dataset_A!$B:$B,'Extract Data_sheet'!$A10,Dataset_A!P:P)</f>
        <v>1606</v>
      </c>
      <c r="J10" s="8"/>
      <c r="K10" s="8" t="str">
        <f t="shared" si="0"/>
        <v>Thursday</v>
      </c>
      <c r="L10" s="8" t="str">
        <f t="shared" si="1"/>
        <v>Mid Humidity</v>
      </c>
    </row>
    <row r="11" spans="1:18" x14ac:dyDescent="0.2">
      <c r="A11" s="15">
        <v>40550</v>
      </c>
      <c r="B11" s="6">
        <f>AVERAGEIF(Dataset_A!$B:$B,'Extract Data_sheet'!$A11,Dataset_A!I:I)</f>
        <v>1.6956521739130435</v>
      </c>
      <c r="C11" s="6">
        <f>AVERAGEIF(Dataset_A!$B:$B,'Extract Data_sheet'!$A11,Dataset_A!J:J)</f>
        <v>0.19652173913043483</v>
      </c>
      <c r="D11" s="6">
        <f>AVERAGEIF(Dataset_A!$B:$B,'Extract Data_sheet'!$A11,Dataset_A!K:K)</f>
        <v>0.20883913043478261</v>
      </c>
      <c r="E11" s="7">
        <f>AVERAGEIF(Dataset_A!$B:$B,'Extract Data_sheet'!$A11,Dataset_A!L:L)</f>
        <v>0.4986956521739131</v>
      </c>
      <c r="F11" s="6">
        <f>AVERAGEIF(Dataset_A!$B:$B,'Extract Data_sheet'!$A11,Dataset_A!M:M)</f>
        <v>0.16872608695652172</v>
      </c>
      <c r="G11" s="8">
        <f>SUMIF(Dataset_A!$B:$B,'Extract Data_sheet'!$A11,Dataset_A!N:N)</f>
        <v>148</v>
      </c>
      <c r="H11" s="8">
        <f>SUMIF(Dataset_A!$B:$B,'Extract Data_sheet'!$A11,Dataset_A!O:O)</f>
        <v>1362</v>
      </c>
      <c r="I11" s="8">
        <f>SUMIF(Dataset_A!$B:$B,'Extract Data_sheet'!$A11,Dataset_A!P:P)</f>
        <v>1510</v>
      </c>
      <c r="J11" s="8"/>
      <c r="K11" s="8" t="str">
        <f t="shared" si="0"/>
        <v>Friday</v>
      </c>
      <c r="L11" s="8" t="str">
        <f t="shared" si="1"/>
        <v>Low Humidity</v>
      </c>
      <c r="N11" s="8" t="s">
        <v>13</v>
      </c>
      <c r="O11" s="8">
        <f>SUMIF($K$5:$K$49,$N11,$I$5:$I$49)</f>
        <v>8450</v>
      </c>
      <c r="Q11" s="32" t="s">
        <v>77</v>
      </c>
      <c r="R11" s="32"/>
    </row>
    <row r="12" spans="1:18" x14ac:dyDescent="0.2">
      <c r="A12" s="15">
        <v>40551</v>
      </c>
      <c r="B12" s="6">
        <f>AVERAGEIF(Dataset_A!$B:$B,'Extract Data_sheet'!$A12,Dataset_A!I:I)</f>
        <v>1.7083333333333333</v>
      </c>
      <c r="C12" s="6">
        <f>AVERAGEIF(Dataset_A!$B:$B,'Extract Data_sheet'!$A12,Dataset_A!J:J)</f>
        <v>0.16500000000000006</v>
      </c>
      <c r="D12" s="6">
        <f>AVERAGEIF(Dataset_A!$B:$B,'Extract Data_sheet'!$A12,Dataset_A!K:K)</f>
        <v>0.16225416666666667</v>
      </c>
      <c r="E12" s="7">
        <f>AVERAGEIF(Dataset_A!$B:$B,'Extract Data_sheet'!$A12,Dataset_A!L:L)</f>
        <v>0.53583333333333327</v>
      </c>
      <c r="F12" s="6">
        <f>AVERAGEIF(Dataset_A!$B:$B,'Extract Data_sheet'!$A12,Dataset_A!M:M)</f>
        <v>0.26680416666666668</v>
      </c>
      <c r="G12" s="8">
        <f>SUMIF(Dataset_A!$B:$B,'Extract Data_sheet'!$A12,Dataset_A!N:N)</f>
        <v>68</v>
      </c>
      <c r="H12" s="8">
        <f>SUMIF(Dataset_A!$B:$B,'Extract Data_sheet'!$A12,Dataset_A!O:O)</f>
        <v>891</v>
      </c>
      <c r="I12" s="8">
        <f>SUMIF(Dataset_A!$B:$B,'Extract Data_sheet'!$A12,Dataset_A!P:P)</f>
        <v>959</v>
      </c>
      <c r="J12" s="8"/>
      <c r="K12" s="8" t="str">
        <f t="shared" si="0"/>
        <v>Saturday</v>
      </c>
      <c r="L12" s="8" t="str">
        <f t="shared" si="1"/>
        <v>Mid Humidity</v>
      </c>
      <c r="N12" s="8" t="s">
        <v>14</v>
      </c>
      <c r="O12" s="8">
        <f t="shared" ref="O12:O17" si="2">SUMIF($K$5:$K$49,$N12,$I$5:$I$49)</f>
        <v>8383</v>
      </c>
      <c r="Q12" s="33">
        <f>STDEV(H5:H49)</f>
        <v>380.68196116385076</v>
      </c>
      <c r="R12" s="33"/>
    </row>
    <row r="13" spans="1:18" x14ac:dyDescent="0.2">
      <c r="A13" s="15">
        <v>40552</v>
      </c>
      <c r="B13" s="6">
        <f>AVERAGEIF(Dataset_A!$B:$B,'Extract Data_sheet'!$A13,Dataset_A!I:I)</f>
        <v>1</v>
      </c>
      <c r="C13" s="6">
        <f>AVERAGEIF(Dataset_A!$B:$B,'Extract Data_sheet'!$A13,Dataset_A!J:J)</f>
        <v>0.13833333333333339</v>
      </c>
      <c r="D13" s="6">
        <f>AVERAGEIF(Dataset_A!$B:$B,'Extract Data_sheet'!$A13,Dataset_A!K:K)</f>
        <v>0.11617500000000003</v>
      </c>
      <c r="E13" s="7">
        <f>AVERAGEIF(Dataset_A!$B:$B,'Extract Data_sheet'!$A13,Dataset_A!L:L)</f>
        <v>0.43416666666666681</v>
      </c>
      <c r="F13" s="6">
        <f>AVERAGEIF(Dataset_A!$B:$B,'Extract Data_sheet'!$A13,Dataset_A!M:M)</f>
        <v>0.36195000000000005</v>
      </c>
      <c r="G13" s="8">
        <f>SUMIF(Dataset_A!$B:$B,'Extract Data_sheet'!$A13,Dataset_A!N:N)</f>
        <v>54</v>
      </c>
      <c r="H13" s="8">
        <f>SUMIF(Dataset_A!$B:$B,'Extract Data_sheet'!$A13,Dataset_A!O:O)</f>
        <v>768</v>
      </c>
      <c r="I13" s="8">
        <f>SUMIF(Dataset_A!$B:$B,'Extract Data_sheet'!$A13,Dataset_A!P:P)</f>
        <v>822</v>
      </c>
      <c r="J13" s="8"/>
      <c r="K13" s="8" t="str">
        <f t="shared" si="0"/>
        <v>Sunday</v>
      </c>
      <c r="L13" s="8" t="str">
        <f t="shared" si="1"/>
        <v>Low Humidity</v>
      </c>
      <c r="N13" s="8" t="s">
        <v>15</v>
      </c>
      <c r="O13" s="8">
        <f t="shared" si="2"/>
        <v>8049</v>
      </c>
    </row>
    <row r="14" spans="1:18" x14ac:dyDescent="0.2">
      <c r="A14" s="15">
        <v>40553</v>
      </c>
      <c r="B14" s="6">
        <f>AVERAGEIF(Dataset_A!$B:$B,'Extract Data_sheet'!$A14,Dataset_A!I:I)</f>
        <v>1.3333333333333333</v>
      </c>
      <c r="C14" s="6">
        <f>AVERAGEIF(Dataset_A!$B:$B,'Extract Data_sheet'!$A14,Dataset_A!J:J)</f>
        <v>0.1508333333333334</v>
      </c>
      <c r="D14" s="6">
        <f>AVERAGEIF(Dataset_A!$B:$B,'Extract Data_sheet'!$A14,Dataset_A!K:K)</f>
        <v>0.15088750000000001</v>
      </c>
      <c r="E14" s="7">
        <f>AVERAGEIF(Dataset_A!$B:$B,'Extract Data_sheet'!$A14,Dataset_A!L:L)</f>
        <v>0.48291666666666672</v>
      </c>
      <c r="F14" s="6">
        <f>AVERAGEIF(Dataset_A!$B:$B,'Extract Data_sheet'!$A14,Dataset_A!M:M)</f>
        <v>0.22326666666666661</v>
      </c>
      <c r="G14" s="8">
        <f>SUMIF(Dataset_A!$B:$B,'Extract Data_sheet'!$A14,Dataset_A!N:N)</f>
        <v>41</v>
      </c>
      <c r="H14" s="8">
        <f>SUMIF(Dataset_A!$B:$B,'Extract Data_sheet'!$A14,Dataset_A!O:O)</f>
        <v>1280</v>
      </c>
      <c r="I14" s="8">
        <f>SUMIF(Dataset_A!$B:$B,'Extract Data_sheet'!$A14,Dataset_A!P:P)</f>
        <v>1321</v>
      </c>
      <c r="J14" s="8"/>
      <c r="K14" s="8" t="str">
        <f t="shared" si="0"/>
        <v>Monday</v>
      </c>
      <c r="L14" s="8" t="str">
        <f t="shared" si="1"/>
        <v>Low Humidity</v>
      </c>
      <c r="N14" s="8" t="s">
        <v>16</v>
      </c>
      <c r="O14" s="8">
        <f t="shared" si="2"/>
        <v>8458</v>
      </c>
      <c r="Q14" s="32" t="s">
        <v>78</v>
      </c>
      <c r="R14" s="32"/>
    </row>
    <row r="15" spans="1:18" x14ac:dyDescent="0.2">
      <c r="A15" s="15">
        <v>40554</v>
      </c>
      <c r="B15" s="6">
        <f>AVERAGEIF(Dataset_A!$B:$B,'Extract Data_sheet'!$A15,Dataset_A!I:I)</f>
        <v>2.1818181818181817</v>
      </c>
      <c r="C15" s="6">
        <f>AVERAGEIF(Dataset_A!$B:$B,'Extract Data_sheet'!$A15,Dataset_A!J:J)</f>
        <v>0.16909090909090915</v>
      </c>
      <c r="D15" s="6">
        <f>AVERAGEIF(Dataset_A!$B:$B,'Extract Data_sheet'!$A15,Dataset_A!K:K)</f>
        <v>0.19146363636363636</v>
      </c>
      <c r="E15" s="7">
        <f>AVERAGEIF(Dataset_A!$B:$B,'Extract Data_sheet'!$A15,Dataset_A!L:L)</f>
        <v>0.68636363636363618</v>
      </c>
      <c r="F15" s="6">
        <f>AVERAGEIF(Dataset_A!$B:$B,'Extract Data_sheet'!$A15,Dataset_A!M:M)</f>
        <v>0.12213181818181815</v>
      </c>
      <c r="G15" s="8">
        <f>SUMIF(Dataset_A!$B:$B,'Extract Data_sheet'!$A15,Dataset_A!N:N)</f>
        <v>43</v>
      </c>
      <c r="H15" s="8">
        <f>SUMIF(Dataset_A!$B:$B,'Extract Data_sheet'!$A15,Dataset_A!O:O)</f>
        <v>1220</v>
      </c>
      <c r="I15" s="8">
        <f>SUMIF(Dataset_A!$B:$B,'Extract Data_sheet'!$A15,Dataset_A!P:P)</f>
        <v>1263</v>
      </c>
      <c r="J15" s="8"/>
      <c r="K15" s="8" t="str">
        <f t="shared" si="0"/>
        <v>Tuesday</v>
      </c>
      <c r="L15" s="8" t="str">
        <f t="shared" si="1"/>
        <v>Mid Humidity</v>
      </c>
      <c r="N15" s="13" t="s">
        <v>17</v>
      </c>
      <c r="O15" s="13">
        <f t="shared" si="2"/>
        <v>9095</v>
      </c>
      <c r="Q15" s="33">
        <f>CORREL(I5:I49,H5:H49)</f>
        <v>0.97275363625177758</v>
      </c>
      <c r="R15" s="33"/>
    </row>
    <row r="16" spans="1:18" x14ac:dyDescent="0.2">
      <c r="A16" s="15">
        <v>40555</v>
      </c>
      <c r="B16" s="6">
        <f>AVERAGEIF(Dataset_A!$B:$B,'Extract Data_sheet'!$A16,Dataset_A!I:I)</f>
        <v>1.0909090909090908</v>
      </c>
      <c r="C16" s="6">
        <f>AVERAGEIF(Dataset_A!$B:$B,'Extract Data_sheet'!$A16,Dataset_A!J:J)</f>
        <v>0.17272727272727278</v>
      </c>
      <c r="D16" s="6">
        <f>AVERAGEIF(Dataset_A!$B:$B,'Extract Data_sheet'!$A16,Dataset_A!K:K)</f>
        <v>0.16047272727272729</v>
      </c>
      <c r="E16" s="7">
        <f>AVERAGEIF(Dataset_A!$B:$B,'Extract Data_sheet'!$A16,Dataset_A!L:L)</f>
        <v>0.59954545454545471</v>
      </c>
      <c r="F16" s="6">
        <f>AVERAGEIF(Dataset_A!$B:$B,'Extract Data_sheet'!$A16,Dataset_A!M:M)</f>
        <v>0.3046272727272728</v>
      </c>
      <c r="G16" s="8">
        <f>SUMIF(Dataset_A!$B:$B,'Extract Data_sheet'!$A16,Dataset_A!N:N)</f>
        <v>25</v>
      </c>
      <c r="H16" s="8">
        <f>SUMIF(Dataset_A!$B:$B,'Extract Data_sheet'!$A16,Dataset_A!O:O)</f>
        <v>1137</v>
      </c>
      <c r="I16" s="8">
        <f>SUMIF(Dataset_A!$B:$B,'Extract Data_sheet'!$A16,Dataset_A!P:P)</f>
        <v>1162</v>
      </c>
      <c r="J16" s="8"/>
      <c r="K16" s="8" t="str">
        <f t="shared" si="0"/>
        <v>Wednesday</v>
      </c>
      <c r="L16" s="8" t="str">
        <f t="shared" si="1"/>
        <v>Mid Humidity</v>
      </c>
      <c r="N16" s="8" t="s">
        <v>11</v>
      </c>
      <c r="O16" s="8">
        <f t="shared" si="2"/>
        <v>7748</v>
      </c>
    </row>
    <row r="17" spans="1:19" x14ac:dyDescent="0.2">
      <c r="A17" s="15">
        <v>40556</v>
      </c>
      <c r="B17" s="6">
        <f>AVERAGEIF(Dataset_A!$B:$B,'Extract Data_sheet'!$A17,Dataset_A!I:I)</f>
        <v>1.0833333333333333</v>
      </c>
      <c r="C17" s="6">
        <f>AVERAGEIF(Dataset_A!$B:$B,'Extract Data_sheet'!$A17,Dataset_A!J:J)</f>
        <v>0.16500000000000006</v>
      </c>
      <c r="D17" s="6">
        <f>AVERAGEIF(Dataset_A!$B:$B,'Extract Data_sheet'!$A17,Dataset_A!K:K)</f>
        <v>0.15088333333333334</v>
      </c>
      <c r="E17" s="7">
        <f>AVERAGEIF(Dataset_A!$B:$B,'Extract Data_sheet'!$A17,Dataset_A!L:L)</f>
        <v>0.47041666666666687</v>
      </c>
      <c r="F17" s="6">
        <f>AVERAGEIF(Dataset_A!$B:$B,'Extract Data_sheet'!$A17,Dataset_A!M:M)</f>
        <v>0.30099999999999999</v>
      </c>
      <c r="G17" s="8">
        <f>SUMIF(Dataset_A!$B:$B,'Extract Data_sheet'!$A17,Dataset_A!N:N)</f>
        <v>38</v>
      </c>
      <c r="H17" s="8">
        <f>SUMIF(Dataset_A!$B:$B,'Extract Data_sheet'!$A17,Dataset_A!O:O)</f>
        <v>1368</v>
      </c>
      <c r="I17" s="8">
        <f>SUMIF(Dataset_A!$B:$B,'Extract Data_sheet'!$A17,Dataset_A!P:P)</f>
        <v>1406</v>
      </c>
      <c r="J17" s="8"/>
      <c r="K17" s="8" t="str">
        <f t="shared" si="0"/>
        <v>Thursday</v>
      </c>
      <c r="L17" s="8" t="str">
        <f t="shared" si="1"/>
        <v>Low Humidity</v>
      </c>
      <c r="N17" s="8" t="s">
        <v>12</v>
      </c>
      <c r="O17" s="8">
        <f t="shared" si="2"/>
        <v>8121</v>
      </c>
    </row>
    <row r="18" spans="1:19" x14ac:dyDescent="0.2">
      <c r="A18" s="15">
        <v>40557</v>
      </c>
      <c r="B18" s="6">
        <f>AVERAGEIF(Dataset_A!$B:$B,'Extract Data_sheet'!$A18,Dataset_A!I:I)</f>
        <v>1.0869565217391304</v>
      </c>
      <c r="C18" s="6">
        <f>AVERAGEIF(Dataset_A!$B:$B,'Extract Data_sheet'!$A18,Dataset_A!J:J)</f>
        <v>0.16086956521739135</v>
      </c>
      <c r="D18" s="6">
        <f>AVERAGEIF(Dataset_A!$B:$B,'Extract Data_sheet'!$A18,Dataset_A!K:K)</f>
        <v>0.18841304347826088</v>
      </c>
      <c r="E18" s="7">
        <f>AVERAGEIF(Dataset_A!$B:$B,'Extract Data_sheet'!$A18,Dataset_A!L:L)</f>
        <v>0.53782608695652179</v>
      </c>
      <c r="F18" s="6">
        <f>AVERAGEIF(Dataset_A!$B:$B,'Extract Data_sheet'!$A18,Dataset_A!M:M)</f>
        <v>0.12654782608695653</v>
      </c>
      <c r="G18" s="8">
        <f>SUMIF(Dataset_A!$B:$B,'Extract Data_sheet'!$A18,Dataset_A!N:N)</f>
        <v>54</v>
      </c>
      <c r="H18" s="8">
        <f>SUMIF(Dataset_A!$B:$B,'Extract Data_sheet'!$A18,Dataset_A!O:O)</f>
        <v>1367</v>
      </c>
      <c r="I18" s="8">
        <f>SUMIF(Dataset_A!$B:$B,'Extract Data_sheet'!$A18,Dataset_A!P:P)</f>
        <v>1421</v>
      </c>
      <c r="J18" s="8"/>
      <c r="K18" s="8" t="str">
        <f t="shared" si="0"/>
        <v>Friday</v>
      </c>
      <c r="L18" s="8" t="str">
        <f t="shared" si="1"/>
        <v>Mid Humidity</v>
      </c>
      <c r="N18" s="11" t="s">
        <v>35</v>
      </c>
      <c r="O18" s="12">
        <f>SUM(O11:O17)</f>
        <v>58304</v>
      </c>
    </row>
    <row r="19" spans="1:19" x14ac:dyDescent="0.2">
      <c r="A19" s="15">
        <v>40558</v>
      </c>
      <c r="B19" s="6">
        <f>AVERAGEIF(Dataset_A!$B:$B,'Extract Data_sheet'!$A19,Dataset_A!I:I)</f>
        <v>1.5</v>
      </c>
      <c r="C19" s="6">
        <f>AVERAGEIF(Dataset_A!$B:$B,'Extract Data_sheet'!$A19,Dataset_A!J:J)</f>
        <v>0.23333333333333331</v>
      </c>
      <c r="D19" s="6">
        <f>AVERAGEIF(Dataset_A!$B:$B,'Extract Data_sheet'!$A19,Dataset_A!K:K)</f>
        <v>0.24811249999999999</v>
      </c>
      <c r="E19" s="7">
        <f>AVERAGEIF(Dataset_A!$B:$B,'Extract Data_sheet'!$A19,Dataset_A!L:L)</f>
        <v>0.49874999999999997</v>
      </c>
      <c r="F19" s="6">
        <f>AVERAGEIF(Dataset_A!$B:$B,'Extract Data_sheet'!$A19,Dataset_A!M:M)</f>
        <v>0.15796249999999995</v>
      </c>
      <c r="G19" s="8">
        <f>SUMIF(Dataset_A!$B:$B,'Extract Data_sheet'!$A19,Dataset_A!N:N)</f>
        <v>222</v>
      </c>
      <c r="H19" s="8">
        <f>SUMIF(Dataset_A!$B:$B,'Extract Data_sheet'!$A19,Dataset_A!O:O)</f>
        <v>1026</v>
      </c>
      <c r="I19" s="8">
        <f>SUMIF(Dataset_A!$B:$B,'Extract Data_sheet'!$A19,Dataset_A!P:P)</f>
        <v>1248</v>
      </c>
      <c r="J19" s="8"/>
      <c r="K19" s="8" t="str">
        <f t="shared" si="0"/>
        <v>Saturday</v>
      </c>
      <c r="L19" s="8" t="str">
        <f t="shared" si="1"/>
        <v>Low Humidity</v>
      </c>
      <c r="O19" s="4"/>
    </row>
    <row r="20" spans="1:19" x14ac:dyDescent="0.2">
      <c r="A20" s="15">
        <v>40559</v>
      </c>
      <c r="B20" s="6">
        <f>AVERAGEIF(Dataset_A!$B:$B,'Extract Data_sheet'!$A20,Dataset_A!I:I)</f>
        <v>1.2083333333333333</v>
      </c>
      <c r="C20" s="6">
        <f>AVERAGEIF(Dataset_A!$B:$B,'Extract Data_sheet'!$A20,Dataset_A!J:J)</f>
        <v>0.23166666666666669</v>
      </c>
      <c r="D20" s="6">
        <f>AVERAGEIF(Dataset_A!$B:$B,'Extract Data_sheet'!$A20,Dataset_A!K:K)</f>
        <v>0.23421666666666671</v>
      </c>
      <c r="E20" s="7">
        <f>AVERAGEIF(Dataset_A!$B:$B,'Extract Data_sheet'!$A20,Dataset_A!L:L)</f>
        <v>0.48375000000000012</v>
      </c>
      <c r="F20" s="6">
        <f>AVERAGEIF(Dataset_A!$B:$B,'Extract Data_sheet'!$A20,Dataset_A!M:M)</f>
        <v>0.18843333333333331</v>
      </c>
      <c r="G20" s="8">
        <f>SUMIF(Dataset_A!$B:$B,'Extract Data_sheet'!$A20,Dataset_A!N:N)</f>
        <v>251</v>
      </c>
      <c r="H20" s="8">
        <f>SUMIF(Dataset_A!$B:$B,'Extract Data_sheet'!$A20,Dataset_A!O:O)</f>
        <v>953</v>
      </c>
      <c r="I20" s="8">
        <f>SUMIF(Dataset_A!$B:$B,'Extract Data_sheet'!$A20,Dataset_A!P:P)</f>
        <v>1204</v>
      </c>
      <c r="J20" s="8"/>
      <c r="K20" s="8" t="str">
        <f t="shared" si="0"/>
        <v>Sunday</v>
      </c>
      <c r="L20" s="8" t="str">
        <f t="shared" si="1"/>
        <v>Low Humidity</v>
      </c>
    </row>
    <row r="21" spans="1:19" x14ac:dyDescent="0.2">
      <c r="A21" s="15">
        <v>40560</v>
      </c>
      <c r="B21" s="6">
        <f>AVERAGEIF(Dataset_A!$B:$B,'Extract Data_sheet'!$A21,Dataset_A!I:I)</f>
        <v>2.1666666666666665</v>
      </c>
      <c r="C21" s="6">
        <f>AVERAGEIF(Dataset_A!$B:$B,'Extract Data_sheet'!$A21,Dataset_A!J:J)</f>
        <v>0.1758333333333334</v>
      </c>
      <c r="D21" s="6">
        <f>AVERAGEIF(Dataset_A!$B:$B,'Extract Data_sheet'!$A21,Dataset_A!K:K)</f>
        <v>0.17677083333333335</v>
      </c>
      <c r="E21" s="7">
        <f>AVERAGEIF(Dataset_A!$B:$B,'Extract Data_sheet'!$A21,Dataset_A!L:L)</f>
        <v>0.53749999999999998</v>
      </c>
      <c r="F21" s="6">
        <f>AVERAGEIF(Dataset_A!$B:$B,'Extract Data_sheet'!$A21,Dataset_A!M:M)</f>
        <v>0.19401666666666664</v>
      </c>
      <c r="G21" s="8">
        <f>SUMIF(Dataset_A!$B:$B,'Extract Data_sheet'!$A21,Dataset_A!N:N)</f>
        <v>117</v>
      </c>
      <c r="H21" s="8">
        <f>SUMIF(Dataset_A!$B:$B,'Extract Data_sheet'!$A21,Dataset_A!O:O)</f>
        <v>883</v>
      </c>
      <c r="I21" s="8">
        <f>SUMIF(Dataset_A!$B:$B,'Extract Data_sheet'!$A21,Dataset_A!P:P)</f>
        <v>1000</v>
      </c>
      <c r="J21" s="8"/>
      <c r="K21" s="8" t="str">
        <f t="shared" si="0"/>
        <v>Monday</v>
      </c>
      <c r="L21" s="8" t="str">
        <f t="shared" si="1"/>
        <v>Mid Humidity</v>
      </c>
      <c r="N21" s="8" t="s">
        <v>38</v>
      </c>
      <c r="O21" s="8">
        <f>SUMIF($L$5:$L$49,$N21,$I$5:$I$49)</f>
        <v>21819</v>
      </c>
      <c r="Q21" s="35" t="s">
        <v>82</v>
      </c>
      <c r="R21" s="35"/>
      <c r="S21" s="35"/>
    </row>
    <row r="22" spans="1:19" x14ac:dyDescent="0.2">
      <c r="A22" s="15">
        <v>40561</v>
      </c>
      <c r="B22" s="6">
        <f>AVERAGEIF(Dataset_A!$B:$B,'Extract Data_sheet'!$A22,Dataset_A!I:I)</f>
        <v>2</v>
      </c>
      <c r="C22" s="6">
        <f>AVERAGEIF(Dataset_A!$B:$B,'Extract Data_sheet'!$A22,Dataset_A!J:J)</f>
        <v>0.2166666666666667</v>
      </c>
      <c r="D22" s="6">
        <f>AVERAGEIF(Dataset_A!$B:$B,'Extract Data_sheet'!$A22,Dataset_A!K:K)</f>
        <v>0.23233333333333336</v>
      </c>
      <c r="E22" s="7">
        <f>AVERAGEIF(Dataset_A!$B:$B,'Extract Data_sheet'!$A22,Dataset_A!L:L)</f>
        <v>0.86166666666666669</v>
      </c>
      <c r="F22" s="6">
        <f>AVERAGEIF(Dataset_A!$B:$B,'Extract Data_sheet'!$A22,Dataset_A!M:M)</f>
        <v>0.14677500000000002</v>
      </c>
      <c r="G22" s="8">
        <f>SUMIF(Dataset_A!$B:$B,'Extract Data_sheet'!$A22,Dataset_A!N:N)</f>
        <v>9</v>
      </c>
      <c r="H22" s="8">
        <f>SUMIF(Dataset_A!$B:$B,'Extract Data_sheet'!$A22,Dataset_A!O:O)</f>
        <v>674</v>
      </c>
      <c r="I22" s="8">
        <f>SUMIF(Dataset_A!$B:$B,'Extract Data_sheet'!$A22,Dataset_A!P:P)</f>
        <v>683</v>
      </c>
      <c r="J22" s="8"/>
      <c r="K22" s="8" t="str">
        <f t="shared" si="0"/>
        <v>Tuesday</v>
      </c>
      <c r="L22" s="8" t="str">
        <f t="shared" si="1"/>
        <v>High Humidity</v>
      </c>
      <c r="N22" s="13" t="s">
        <v>37</v>
      </c>
      <c r="O22" s="13">
        <f t="shared" ref="O22:O23" si="3">SUMIF($L$5:$L$49,$N22,$I$5:$I$49)</f>
        <v>31946</v>
      </c>
      <c r="Q22" s="34" t="s">
        <v>34</v>
      </c>
      <c r="R22" s="34"/>
      <c r="S22" s="8">
        <f>O18</f>
        <v>58304</v>
      </c>
    </row>
    <row r="23" spans="1:19" x14ac:dyDescent="0.2">
      <c r="A23" s="15">
        <v>40562</v>
      </c>
      <c r="B23" s="6">
        <f>AVERAGEIF(Dataset_A!$B:$B,'Extract Data_sheet'!$A23,Dataset_A!I:I)</f>
        <v>1.6521739130434783</v>
      </c>
      <c r="C23" s="6">
        <f>AVERAGEIF(Dataset_A!$B:$B,'Extract Data_sheet'!$A23,Dataset_A!J:J)</f>
        <v>0.29217391304347828</v>
      </c>
      <c r="D23" s="6">
        <f>AVERAGEIF(Dataset_A!$B:$B,'Extract Data_sheet'!$A23,Dataset_A!K:K)</f>
        <v>0.29842173913043479</v>
      </c>
      <c r="E23" s="7">
        <f>AVERAGEIF(Dataset_A!$B:$B,'Extract Data_sheet'!$A23,Dataset_A!L:L)</f>
        <v>0.74173913043478235</v>
      </c>
      <c r="F23" s="6">
        <f>AVERAGEIF(Dataset_A!$B:$B,'Extract Data_sheet'!$A23,Dataset_A!M:M)</f>
        <v>0.20831739130434784</v>
      </c>
      <c r="G23" s="8">
        <f>SUMIF(Dataset_A!$B:$B,'Extract Data_sheet'!$A23,Dataset_A!N:N)</f>
        <v>78</v>
      </c>
      <c r="H23" s="8">
        <f>SUMIF(Dataset_A!$B:$B,'Extract Data_sheet'!$A23,Dataset_A!O:O)</f>
        <v>1572</v>
      </c>
      <c r="I23" s="8">
        <f>SUMIF(Dataset_A!$B:$B,'Extract Data_sheet'!$A23,Dataset_A!P:P)</f>
        <v>1650</v>
      </c>
      <c r="J23" s="8"/>
      <c r="K23" s="8" t="str">
        <f t="shared" si="0"/>
        <v>Wednesday</v>
      </c>
      <c r="L23" s="8" t="str">
        <f t="shared" si="1"/>
        <v>Mid Humidity</v>
      </c>
      <c r="N23" s="8" t="s">
        <v>36</v>
      </c>
      <c r="O23" s="8">
        <f t="shared" si="3"/>
        <v>4539</v>
      </c>
      <c r="Q23" s="34" t="s">
        <v>83</v>
      </c>
      <c r="R23" s="34"/>
      <c r="S23" s="24">
        <f>AVERAGE(H5:H49)</f>
        <v>1186.2888888888888</v>
      </c>
    </row>
    <row r="24" spans="1:19" x14ac:dyDescent="0.2">
      <c r="A24" s="15">
        <v>40563</v>
      </c>
      <c r="B24" s="6">
        <f>AVERAGEIF(Dataset_A!$B:$B,'Extract Data_sheet'!$A24,Dataset_A!I:I)</f>
        <v>1.5416666666666667</v>
      </c>
      <c r="C24" s="6">
        <f>AVERAGEIF(Dataset_A!$B:$B,'Extract Data_sheet'!$A24,Dataset_A!J:J)</f>
        <v>0.26166666666666666</v>
      </c>
      <c r="D24" s="6">
        <f>AVERAGEIF(Dataset_A!$B:$B,'Extract Data_sheet'!$A24,Dataset_A!K:K)</f>
        <v>0.25505</v>
      </c>
      <c r="E24" s="7">
        <f>AVERAGEIF(Dataset_A!$B:$B,'Extract Data_sheet'!$A24,Dataset_A!L:L)</f>
        <v>0.53833333333333344</v>
      </c>
      <c r="F24" s="6">
        <f>AVERAGEIF(Dataset_A!$B:$B,'Extract Data_sheet'!$A24,Dataset_A!M:M)</f>
        <v>0.19590416666666666</v>
      </c>
      <c r="G24" s="8">
        <f>SUMIF(Dataset_A!$B:$B,'Extract Data_sheet'!$A24,Dataset_A!N:N)</f>
        <v>83</v>
      </c>
      <c r="H24" s="8">
        <f>SUMIF(Dataset_A!$B:$B,'Extract Data_sheet'!$A24,Dataset_A!O:O)</f>
        <v>1844</v>
      </c>
      <c r="I24" s="8">
        <f>SUMIF(Dataset_A!$B:$B,'Extract Data_sheet'!$A24,Dataset_A!P:P)</f>
        <v>1927</v>
      </c>
      <c r="J24" s="8"/>
      <c r="K24" s="8" t="str">
        <f t="shared" si="0"/>
        <v>Thursday</v>
      </c>
      <c r="L24" s="8" t="str">
        <f t="shared" si="1"/>
        <v>Mid Humidity</v>
      </c>
      <c r="N24" s="8"/>
      <c r="O24" s="8"/>
      <c r="Q24" s="34" t="s">
        <v>84</v>
      </c>
      <c r="R24" s="34"/>
      <c r="S24" s="24">
        <f>AVERAGE(G5:G49)</f>
        <v>109.35555555555555</v>
      </c>
    </row>
    <row r="25" spans="1:19" x14ac:dyDescent="0.2">
      <c r="A25" s="15">
        <v>40564</v>
      </c>
      <c r="B25" s="6">
        <f>AVERAGEIF(Dataset_A!$B:$B,'Extract Data_sheet'!$A25,Dataset_A!I:I)</f>
        <v>1.2916666666666667</v>
      </c>
      <c r="C25" s="6">
        <f>AVERAGEIF(Dataset_A!$B:$B,'Extract Data_sheet'!$A25,Dataset_A!J:J)</f>
        <v>0.17750000000000002</v>
      </c>
      <c r="D25" s="6">
        <f>AVERAGEIF(Dataset_A!$B:$B,'Extract Data_sheet'!$A25,Dataset_A!K:K)</f>
        <v>0.15783333333333335</v>
      </c>
      <c r="E25" s="7">
        <f>AVERAGEIF(Dataset_A!$B:$B,'Extract Data_sheet'!$A25,Dataset_A!L:L)</f>
        <v>0.45708333333333345</v>
      </c>
      <c r="F25" s="6">
        <f>AVERAGEIF(Dataset_A!$B:$B,'Extract Data_sheet'!$A25,Dataset_A!M:M)</f>
        <v>0.35324166666666668</v>
      </c>
      <c r="G25" s="8">
        <f>SUMIF(Dataset_A!$B:$B,'Extract Data_sheet'!$A25,Dataset_A!N:N)</f>
        <v>75</v>
      </c>
      <c r="H25" s="8">
        <f>SUMIF(Dataset_A!$B:$B,'Extract Data_sheet'!$A25,Dataset_A!O:O)</f>
        <v>1468</v>
      </c>
      <c r="I25" s="8">
        <f>SUMIF(Dataset_A!$B:$B,'Extract Data_sheet'!$A25,Dataset_A!P:P)</f>
        <v>1543</v>
      </c>
      <c r="J25" s="8"/>
      <c r="K25" s="8" t="str">
        <f t="shared" si="0"/>
        <v>Friday</v>
      </c>
      <c r="L25" s="8" t="str">
        <f t="shared" si="1"/>
        <v>Low Humidity</v>
      </c>
      <c r="N25" s="11" t="s">
        <v>35</v>
      </c>
      <c r="O25" s="12">
        <f>SUM(O21:O24)</f>
        <v>58304</v>
      </c>
    </row>
    <row r="26" spans="1:19" x14ac:dyDescent="0.2">
      <c r="A26" s="15">
        <v>40565</v>
      </c>
      <c r="B26" s="6">
        <f>AVERAGEIF(Dataset_A!$B:$B,'Extract Data_sheet'!$A26,Dataset_A!I:I)</f>
        <v>1.3478260869565217</v>
      </c>
      <c r="C26" s="6">
        <f>AVERAGEIF(Dataset_A!$B:$B,'Extract Data_sheet'!$A26,Dataset_A!J:J)</f>
        <v>5.9130434782608703E-2</v>
      </c>
      <c r="D26" s="6">
        <f>AVERAGEIF(Dataset_A!$B:$B,'Extract Data_sheet'!$A26,Dataset_A!K:K)</f>
        <v>7.9069565217391308E-2</v>
      </c>
      <c r="E26" s="7">
        <f>AVERAGEIF(Dataset_A!$B:$B,'Extract Data_sheet'!$A26,Dataset_A!L:L)</f>
        <v>0.39999999999999997</v>
      </c>
      <c r="F26" s="6">
        <f>AVERAGEIF(Dataset_A!$B:$B,'Extract Data_sheet'!$A26,Dataset_A!M:M)</f>
        <v>0.17196956521739129</v>
      </c>
      <c r="G26" s="8">
        <f>SUMIF(Dataset_A!$B:$B,'Extract Data_sheet'!$A26,Dataset_A!N:N)</f>
        <v>93</v>
      </c>
      <c r="H26" s="8">
        <f>SUMIF(Dataset_A!$B:$B,'Extract Data_sheet'!$A26,Dataset_A!O:O)</f>
        <v>888</v>
      </c>
      <c r="I26" s="8">
        <f>SUMIF(Dataset_A!$B:$B,'Extract Data_sheet'!$A26,Dataset_A!P:P)</f>
        <v>981</v>
      </c>
      <c r="J26" s="8"/>
      <c r="K26" s="8" t="str">
        <f t="shared" si="0"/>
        <v>Saturday</v>
      </c>
      <c r="L26" s="8" t="str">
        <f t="shared" si="1"/>
        <v>Low Humidity</v>
      </c>
    </row>
    <row r="27" spans="1:19" x14ac:dyDescent="0.2">
      <c r="A27" s="15">
        <v>40566</v>
      </c>
      <c r="B27" s="6">
        <f>AVERAGEIF(Dataset_A!$B:$B,'Extract Data_sheet'!$A27,Dataset_A!I:I)</f>
        <v>1.0869565217391304</v>
      </c>
      <c r="C27" s="6">
        <f>AVERAGEIF(Dataset_A!$B:$B,'Extract Data_sheet'!$A27,Dataset_A!J:J)</f>
        <v>9.6521739130434797E-2</v>
      </c>
      <c r="D27" s="6">
        <f>AVERAGEIF(Dataset_A!$B:$B,'Extract Data_sheet'!$A27,Dataset_A!K:K)</f>
        <v>9.8839130434782624E-2</v>
      </c>
      <c r="E27" s="7">
        <f>AVERAGEIF(Dataset_A!$B:$B,'Extract Data_sheet'!$A27,Dataset_A!L:L)</f>
        <v>0.43652173913043485</v>
      </c>
      <c r="F27" s="6">
        <f>AVERAGEIF(Dataset_A!$B:$B,'Extract Data_sheet'!$A27,Dataset_A!M:M)</f>
        <v>0.24660000000000004</v>
      </c>
      <c r="G27" s="8">
        <f>SUMIF(Dataset_A!$B:$B,'Extract Data_sheet'!$A27,Dataset_A!N:N)</f>
        <v>150</v>
      </c>
      <c r="H27" s="8">
        <f>SUMIF(Dataset_A!$B:$B,'Extract Data_sheet'!$A27,Dataset_A!O:O)</f>
        <v>836</v>
      </c>
      <c r="I27" s="8">
        <f>SUMIF(Dataset_A!$B:$B,'Extract Data_sheet'!$A27,Dataset_A!P:P)</f>
        <v>986</v>
      </c>
      <c r="J27" s="8"/>
      <c r="K27" s="8" t="str">
        <f t="shared" si="0"/>
        <v>Sunday</v>
      </c>
      <c r="L27" s="8" t="str">
        <f t="shared" si="1"/>
        <v>Low Humidity</v>
      </c>
    </row>
    <row r="28" spans="1:19" x14ac:dyDescent="0.2">
      <c r="A28" s="15">
        <v>40567</v>
      </c>
      <c r="B28" s="6">
        <f>AVERAGEIF(Dataset_A!$B:$B,'Extract Data_sheet'!$A28,Dataset_A!I:I)</f>
        <v>1.2173913043478262</v>
      </c>
      <c r="C28" s="6">
        <f>AVERAGEIF(Dataset_A!$B:$B,'Extract Data_sheet'!$A28,Dataset_A!J:J)</f>
        <v>9.7391304347826113E-2</v>
      </c>
      <c r="D28" s="6">
        <f>AVERAGEIF(Dataset_A!$B:$B,'Extract Data_sheet'!$A28,Dataset_A!K:K)</f>
        <v>0.11793043478260871</v>
      </c>
      <c r="E28" s="7">
        <f>AVERAGEIF(Dataset_A!$B:$B,'Extract Data_sheet'!$A28,Dataset_A!L:L)</f>
        <v>0.49173913043478273</v>
      </c>
      <c r="F28" s="6">
        <f>AVERAGEIF(Dataset_A!$B:$B,'Extract Data_sheet'!$A28,Dataset_A!M:M)</f>
        <v>0.15833043478260866</v>
      </c>
      <c r="G28" s="8">
        <f>SUMIF(Dataset_A!$B:$B,'Extract Data_sheet'!$A28,Dataset_A!N:N)</f>
        <v>86</v>
      </c>
      <c r="H28" s="8">
        <f>SUMIF(Dataset_A!$B:$B,'Extract Data_sheet'!$A28,Dataset_A!O:O)</f>
        <v>1330</v>
      </c>
      <c r="I28" s="8">
        <f>SUMIF(Dataset_A!$B:$B,'Extract Data_sheet'!$A28,Dataset_A!P:P)</f>
        <v>1416</v>
      </c>
      <c r="J28" s="8"/>
      <c r="K28" s="8" t="str">
        <f t="shared" si="0"/>
        <v>Monday</v>
      </c>
      <c r="L28" s="8" t="str">
        <f t="shared" si="1"/>
        <v>Low Humidity</v>
      </c>
      <c r="M28">
        <v>1</v>
      </c>
      <c r="N28" s="14" t="s">
        <v>9</v>
      </c>
      <c r="O28" s="15">
        <v>40544</v>
      </c>
      <c r="P28" s="30" t="s">
        <v>43</v>
      </c>
      <c r="Q28" s="31"/>
    </row>
    <row r="29" spans="1:19" x14ac:dyDescent="0.2">
      <c r="A29" s="15">
        <v>40568</v>
      </c>
      <c r="B29" s="6">
        <f>AVERAGEIF(Dataset_A!$B:$B,'Extract Data_sheet'!$A29,Dataset_A!I:I)</f>
        <v>1.6086956521739131</v>
      </c>
      <c r="C29" s="6">
        <f>AVERAGEIF(Dataset_A!$B:$B,'Extract Data_sheet'!$A29,Dataset_A!J:J)</f>
        <v>0.22347826086956515</v>
      </c>
      <c r="D29" s="6">
        <f>AVERAGEIF(Dataset_A!$B:$B,'Extract Data_sheet'!$A29,Dataset_A!K:K)</f>
        <v>0.23452608695652166</v>
      </c>
      <c r="E29" s="7">
        <f>AVERAGEIF(Dataset_A!$B:$B,'Extract Data_sheet'!$A29,Dataset_A!L:L)</f>
        <v>0.61695652173913051</v>
      </c>
      <c r="F29" s="6">
        <f>AVERAGEIF(Dataset_A!$B:$B,'Extract Data_sheet'!$A29,Dataset_A!M:M)</f>
        <v>0.12979565217391303</v>
      </c>
      <c r="G29" s="8">
        <f>SUMIF(Dataset_A!$B:$B,'Extract Data_sheet'!$A29,Dataset_A!N:N)</f>
        <v>186</v>
      </c>
      <c r="H29" s="8">
        <f>SUMIF(Dataset_A!$B:$B,'Extract Data_sheet'!$A29,Dataset_A!O:O)</f>
        <v>1799</v>
      </c>
      <c r="I29" s="8">
        <f>SUMIF(Dataset_A!$B:$B,'Extract Data_sheet'!$A29,Dataset_A!P:P)</f>
        <v>1985</v>
      </c>
      <c r="J29" s="8"/>
      <c r="K29" s="8" t="str">
        <f t="shared" si="0"/>
        <v>Tuesday</v>
      </c>
      <c r="L29" s="8" t="str">
        <f t="shared" si="1"/>
        <v>Mid Humidity</v>
      </c>
      <c r="M29">
        <v>2</v>
      </c>
      <c r="N29" s="14" t="s">
        <v>28</v>
      </c>
      <c r="O29" s="8" t="str">
        <f>VLOOKUP($O$28,$A$4:$L$49,MATCH(N29,$A$4:$L$4,0),0)</f>
        <v>Saturday</v>
      </c>
    </row>
    <row r="30" spans="1:19" x14ac:dyDescent="0.2">
      <c r="A30" s="15">
        <v>40569</v>
      </c>
      <c r="B30" s="6">
        <f>AVERAGEIF(Dataset_A!$B:$B,'Extract Data_sheet'!$A30,Dataset_A!I:I)</f>
        <v>2.9375</v>
      </c>
      <c r="C30" s="6">
        <f>AVERAGEIF(Dataset_A!$B:$B,'Extract Data_sheet'!$A30,Dataset_A!J:J)</f>
        <v>0.21750000000000005</v>
      </c>
      <c r="D30" s="6">
        <f>AVERAGEIF(Dataset_A!$B:$B,'Extract Data_sheet'!$A30,Dataset_A!K:K)</f>
        <v>0.2036</v>
      </c>
      <c r="E30" s="7">
        <f>AVERAGEIF(Dataset_A!$B:$B,'Extract Data_sheet'!$A30,Dataset_A!L:L)</f>
        <v>0.86249999999999982</v>
      </c>
      <c r="F30" s="6">
        <f>AVERAGEIF(Dataset_A!$B:$B,'Extract Data_sheet'!$A30,Dataset_A!M:M)</f>
        <v>0.29385000000000006</v>
      </c>
      <c r="G30" s="8">
        <f>SUMIF(Dataset_A!$B:$B,'Extract Data_sheet'!$A30,Dataset_A!N:N)</f>
        <v>34</v>
      </c>
      <c r="H30" s="8">
        <f>SUMIF(Dataset_A!$B:$B,'Extract Data_sheet'!$A30,Dataset_A!O:O)</f>
        <v>472</v>
      </c>
      <c r="I30" s="8">
        <f>SUMIF(Dataset_A!$B:$B,'Extract Data_sheet'!$A30,Dataset_A!P:P)</f>
        <v>506</v>
      </c>
      <c r="J30" s="8"/>
      <c r="K30" s="8" t="str">
        <f t="shared" si="0"/>
        <v>Wednesday</v>
      </c>
      <c r="L30" s="8" t="str">
        <f t="shared" si="1"/>
        <v>High Humidity</v>
      </c>
      <c r="M30">
        <v>3</v>
      </c>
      <c r="N30" s="14" t="s">
        <v>7</v>
      </c>
      <c r="O30" s="6">
        <f t="shared" ref="O30:O35" si="4">VLOOKUP($O$28,$A$4:$L$49,MATCH(N30,$A$4:$L$4,0),0)</f>
        <v>0.34416666666666673</v>
      </c>
    </row>
    <row r="31" spans="1:19" x14ac:dyDescent="0.2">
      <c r="A31" s="15">
        <v>40570</v>
      </c>
      <c r="B31" s="6">
        <f>AVERAGEIF(Dataset_A!$B:$B,'Extract Data_sheet'!$A31,Dataset_A!I:I)</f>
        <v>1</v>
      </c>
      <c r="C31" s="6">
        <f>AVERAGEIF(Dataset_A!$B:$B,'Extract Data_sheet'!$A31,Dataset_A!J:J)</f>
        <v>0.19499999999999998</v>
      </c>
      <c r="D31" s="6">
        <f>AVERAGEIF(Dataset_A!$B:$B,'Extract Data_sheet'!$A31,Dataset_A!K:K)</f>
        <v>0.21970000000000001</v>
      </c>
      <c r="E31" s="7">
        <f>AVERAGEIF(Dataset_A!$B:$B,'Extract Data_sheet'!$A31,Dataset_A!L:L)</f>
        <v>0.6875</v>
      </c>
      <c r="F31" s="6">
        <f>AVERAGEIF(Dataset_A!$B:$B,'Extract Data_sheet'!$A31,Dataset_A!M:M)</f>
        <v>0.11383750000000001</v>
      </c>
      <c r="G31" s="8">
        <f>SUMIF(Dataset_A!$B:$B,'Extract Data_sheet'!$A31,Dataset_A!N:N)</f>
        <v>15</v>
      </c>
      <c r="H31" s="8">
        <f>SUMIF(Dataset_A!$B:$B,'Extract Data_sheet'!$A31,Dataset_A!O:O)</f>
        <v>416</v>
      </c>
      <c r="I31" s="8">
        <f>SUMIF(Dataset_A!$B:$B,'Extract Data_sheet'!$A31,Dataset_A!P:P)</f>
        <v>431</v>
      </c>
      <c r="J31" s="8"/>
      <c r="K31" s="8" t="str">
        <f t="shared" si="0"/>
        <v>Thursday</v>
      </c>
      <c r="L31" s="8" t="str">
        <f t="shared" si="1"/>
        <v>Mid Humidity</v>
      </c>
      <c r="M31">
        <v>4</v>
      </c>
      <c r="N31" s="14" t="s">
        <v>19</v>
      </c>
      <c r="O31" s="7">
        <f t="shared" si="4"/>
        <v>0.80583333333333351</v>
      </c>
    </row>
    <row r="32" spans="1:19" x14ac:dyDescent="0.2">
      <c r="A32" s="15">
        <v>40571</v>
      </c>
      <c r="B32" s="6">
        <f>AVERAGEIF(Dataset_A!$B:$B,'Extract Data_sheet'!$A32,Dataset_A!I:I)</f>
        <v>2.0434782608695654</v>
      </c>
      <c r="C32" s="6">
        <f>AVERAGEIF(Dataset_A!$B:$B,'Extract Data_sheet'!$A32,Dataset_A!J:J)</f>
        <v>0.20347826086956528</v>
      </c>
      <c r="D32" s="6">
        <f>AVERAGEIF(Dataset_A!$B:$B,'Extract Data_sheet'!$A32,Dataset_A!K:K)</f>
        <v>0.2233173913043478</v>
      </c>
      <c r="E32" s="7">
        <f>AVERAGEIF(Dataset_A!$B:$B,'Extract Data_sheet'!$A32,Dataset_A!L:L)</f>
        <v>0.79304347826086963</v>
      </c>
      <c r="F32" s="6">
        <f>AVERAGEIF(Dataset_A!$B:$B,'Extract Data_sheet'!$A32,Dataset_A!M:M)</f>
        <v>0.12330000000000002</v>
      </c>
      <c r="G32" s="8">
        <f>SUMIF(Dataset_A!$B:$B,'Extract Data_sheet'!$A32,Dataset_A!N:N)</f>
        <v>38</v>
      </c>
      <c r="H32" s="8">
        <f>SUMIF(Dataset_A!$B:$B,'Extract Data_sheet'!$A32,Dataset_A!O:O)</f>
        <v>1129</v>
      </c>
      <c r="I32" s="8">
        <f>SUMIF(Dataset_A!$B:$B,'Extract Data_sheet'!$A32,Dataset_A!P:P)</f>
        <v>1167</v>
      </c>
      <c r="J32" s="8"/>
      <c r="K32" s="8" t="str">
        <f t="shared" si="0"/>
        <v>Friday</v>
      </c>
      <c r="L32" s="8" t="str">
        <f t="shared" si="1"/>
        <v>Mid Humidity</v>
      </c>
      <c r="M32">
        <v>5</v>
      </c>
      <c r="N32" s="14" t="s">
        <v>29</v>
      </c>
      <c r="O32" s="8" t="str">
        <f t="shared" si="4"/>
        <v>High Humidity</v>
      </c>
    </row>
    <row r="33" spans="1:15" x14ac:dyDescent="0.2">
      <c r="A33" s="15">
        <v>40572</v>
      </c>
      <c r="B33" s="6">
        <f>AVERAGEIF(Dataset_A!$B:$B,'Extract Data_sheet'!$A33,Dataset_A!I:I)</f>
        <v>1.2608695652173914</v>
      </c>
      <c r="C33" s="6">
        <f>AVERAGEIF(Dataset_A!$B:$B,'Extract Data_sheet'!$A33,Dataset_A!J:J)</f>
        <v>0.19652173913043483</v>
      </c>
      <c r="D33" s="6">
        <f>AVERAGEIF(Dataset_A!$B:$B,'Extract Data_sheet'!$A33,Dataset_A!K:K)</f>
        <v>0.21212608695652177</v>
      </c>
      <c r="E33" s="7">
        <f>AVERAGEIF(Dataset_A!$B:$B,'Extract Data_sheet'!$A33,Dataset_A!L:L)</f>
        <v>0.65173913043478249</v>
      </c>
      <c r="F33" s="6">
        <f>AVERAGEIF(Dataset_A!$B:$B,'Extract Data_sheet'!$A33,Dataset_A!M:M)</f>
        <v>0.14536521739130431</v>
      </c>
      <c r="G33" s="8">
        <f>SUMIF(Dataset_A!$B:$B,'Extract Data_sheet'!$A33,Dataset_A!N:N)</f>
        <v>123</v>
      </c>
      <c r="H33" s="8">
        <f>SUMIF(Dataset_A!$B:$B,'Extract Data_sheet'!$A33,Dataset_A!O:O)</f>
        <v>975</v>
      </c>
      <c r="I33" s="8">
        <f>SUMIF(Dataset_A!$B:$B,'Extract Data_sheet'!$A33,Dataset_A!P:P)</f>
        <v>1098</v>
      </c>
      <c r="J33" s="8"/>
      <c r="K33" s="8" t="str">
        <f t="shared" si="0"/>
        <v>Saturday</v>
      </c>
      <c r="L33" s="8" t="str">
        <f t="shared" si="1"/>
        <v>Mid Humidity</v>
      </c>
      <c r="M33">
        <v>6</v>
      </c>
      <c r="N33" s="8" t="s">
        <v>21</v>
      </c>
      <c r="O33" s="8">
        <f t="shared" si="4"/>
        <v>331</v>
      </c>
    </row>
    <row r="34" spans="1:15" x14ac:dyDescent="0.2">
      <c r="A34" s="15">
        <v>40573</v>
      </c>
      <c r="B34" s="6">
        <f>AVERAGEIF(Dataset_A!$B:$B,'Extract Data_sheet'!$A34,Dataset_A!I:I)</f>
        <v>1.3043478260869565</v>
      </c>
      <c r="C34" s="6">
        <f>AVERAGEIF(Dataset_A!$B:$B,'Extract Data_sheet'!$A34,Dataset_A!J:J)</f>
        <v>0.21652173913043476</v>
      </c>
      <c r="D34" s="6">
        <f>AVERAGEIF(Dataset_A!$B:$B,'Extract Data_sheet'!$A34,Dataset_A!K:K)</f>
        <v>0.25032173913043476</v>
      </c>
      <c r="E34" s="7">
        <f>AVERAGEIF(Dataset_A!$B:$B,'Extract Data_sheet'!$A34,Dataset_A!L:L)</f>
        <v>0.72217391304347822</v>
      </c>
      <c r="F34" s="6">
        <f>AVERAGEIF(Dataset_A!$B:$B,'Extract Data_sheet'!$A34,Dataset_A!M:M)</f>
        <v>7.398260869565218E-2</v>
      </c>
      <c r="G34" s="8">
        <f>SUMIF(Dataset_A!$B:$B,'Extract Data_sheet'!$A34,Dataset_A!N:N)</f>
        <v>140</v>
      </c>
      <c r="H34" s="8">
        <f>SUMIF(Dataset_A!$B:$B,'Extract Data_sheet'!$A34,Dataset_A!O:O)</f>
        <v>956</v>
      </c>
      <c r="I34" s="8">
        <f>SUMIF(Dataset_A!$B:$B,'Extract Data_sheet'!$A34,Dataset_A!P:P)</f>
        <v>1096</v>
      </c>
      <c r="J34" s="8"/>
      <c r="K34" s="8" t="str">
        <f t="shared" si="0"/>
        <v>Sunday</v>
      </c>
      <c r="L34" s="8" t="str">
        <f t="shared" si="1"/>
        <v>Mid Humidity</v>
      </c>
      <c r="M34">
        <v>7</v>
      </c>
      <c r="N34" s="8" t="s">
        <v>22</v>
      </c>
      <c r="O34" s="8">
        <f t="shared" si="4"/>
        <v>654</v>
      </c>
    </row>
    <row r="35" spans="1:15" x14ac:dyDescent="0.2">
      <c r="A35" s="15">
        <v>40574</v>
      </c>
      <c r="B35" s="6">
        <f>AVERAGEIF(Dataset_A!$B:$B,'Extract Data_sheet'!$A35,Dataset_A!I:I)</f>
        <v>1.7916666666666667</v>
      </c>
      <c r="C35" s="6">
        <f>AVERAGEIF(Dataset_A!$B:$B,'Extract Data_sheet'!$A35,Dataset_A!J:J)</f>
        <v>0.18083333333333337</v>
      </c>
      <c r="D35" s="6">
        <f>AVERAGEIF(Dataset_A!$B:$B,'Extract Data_sheet'!$A35,Dataset_A!K:K)</f>
        <v>0.18625000000000003</v>
      </c>
      <c r="E35" s="7">
        <f>AVERAGEIF(Dataset_A!$B:$B,'Extract Data_sheet'!$A35,Dataset_A!L:L)</f>
        <v>0.60375000000000001</v>
      </c>
      <c r="F35" s="6">
        <f>AVERAGEIF(Dataset_A!$B:$B,'Extract Data_sheet'!$A35,Dataset_A!M:M)</f>
        <v>0.18719166666666665</v>
      </c>
      <c r="G35" s="8">
        <f>SUMIF(Dataset_A!$B:$B,'Extract Data_sheet'!$A35,Dataset_A!N:N)</f>
        <v>42</v>
      </c>
      <c r="H35" s="8">
        <f>SUMIF(Dataset_A!$B:$B,'Extract Data_sheet'!$A35,Dataset_A!O:O)</f>
        <v>1459</v>
      </c>
      <c r="I35" s="8">
        <f>SUMIF(Dataset_A!$B:$B,'Extract Data_sheet'!$A35,Dataset_A!P:P)</f>
        <v>1501</v>
      </c>
      <c r="J35" s="8"/>
      <c r="K35" s="8" t="str">
        <f t="shared" si="0"/>
        <v>Monday</v>
      </c>
      <c r="L35" s="8" t="str">
        <f t="shared" si="1"/>
        <v>Mid Humidity</v>
      </c>
      <c r="M35">
        <v>8</v>
      </c>
      <c r="N35" s="8" t="s">
        <v>23</v>
      </c>
      <c r="O35" s="8">
        <f t="shared" si="4"/>
        <v>985</v>
      </c>
    </row>
    <row r="36" spans="1:15" x14ac:dyDescent="0.2">
      <c r="A36" s="15">
        <v>40575</v>
      </c>
      <c r="B36" s="6">
        <f>AVERAGEIF(Dataset_A!$B:$B,'Extract Data_sheet'!$A36,Dataset_A!I:I)</f>
        <v>2.2173913043478262</v>
      </c>
      <c r="C36" s="6">
        <f>AVERAGEIF(Dataset_A!$B:$B,'Extract Data_sheet'!$A36,Dataset_A!J:J)</f>
        <v>0.19217391304347831</v>
      </c>
      <c r="D36" s="6">
        <f>AVERAGEIF(Dataset_A!$B:$B,'Extract Data_sheet'!$A36,Dataset_A!K:K)</f>
        <v>0.23453043478260868</v>
      </c>
      <c r="E36" s="7">
        <f>AVERAGEIF(Dataset_A!$B:$B,'Extract Data_sheet'!$A36,Dataset_A!L:L)</f>
        <v>0.8295652173913044</v>
      </c>
      <c r="F36" s="6">
        <f>AVERAGEIF(Dataset_A!$B:$B,'Extract Data_sheet'!$A36,Dataset_A!M:M)</f>
        <v>5.3213043478260856E-2</v>
      </c>
      <c r="G36" s="8">
        <f>SUMIF(Dataset_A!$B:$B,'Extract Data_sheet'!$A36,Dataset_A!N:N)</f>
        <v>47</v>
      </c>
      <c r="H36" s="8">
        <f>SUMIF(Dataset_A!$B:$B,'Extract Data_sheet'!$A36,Dataset_A!O:O)</f>
        <v>1313</v>
      </c>
      <c r="I36" s="8">
        <f>SUMIF(Dataset_A!$B:$B,'Extract Data_sheet'!$A36,Dataset_A!P:P)</f>
        <v>1360</v>
      </c>
      <c r="J36" s="8"/>
      <c r="K36" s="8" t="str">
        <f t="shared" si="0"/>
        <v>Tuesday</v>
      </c>
      <c r="L36" s="8" t="str">
        <f t="shared" si="1"/>
        <v>High Humidity</v>
      </c>
    </row>
    <row r="37" spans="1:15" x14ac:dyDescent="0.2">
      <c r="A37" s="15">
        <v>40576</v>
      </c>
      <c r="B37" s="6">
        <f>AVERAGEIF(Dataset_A!$B:$B,'Extract Data_sheet'!$A37,Dataset_A!I:I)</f>
        <v>1.9166666666666667</v>
      </c>
      <c r="C37" s="6">
        <f>AVERAGEIF(Dataset_A!$B:$B,'Extract Data_sheet'!$A37,Dataset_A!J:J)</f>
        <v>0.26</v>
      </c>
      <c r="D37" s="6">
        <f>AVERAGEIF(Dataset_A!$B:$B,'Extract Data_sheet'!$A37,Dataset_A!K:K)</f>
        <v>0.25441666666666668</v>
      </c>
      <c r="E37" s="7">
        <f>AVERAGEIF(Dataset_A!$B:$B,'Extract Data_sheet'!$A37,Dataset_A!L:L)</f>
        <v>0.77541666666666664</v>
      </c>
      <c r="F37" s="6">
        <f>AVERAGEIF(Dataset_A!$B:$B,'Extract Data_sheet'!$A37,Dataset_A!M:M)</f>
        <v>0.26430833333333331</v>
      </c>
      <c r="G37" s="8">
        <f>SUMIF(Dataset_A!$B:$B,'Extract Data_sheet'!$A37,Dataset_A!N:N)</f>
        <v>72</v>
      </c>
      <c r="H37" s="8">
        <f>SUMIF(Dataset_A!$B:$B,'Extract Data_sheet'!$A37,Dataset_A!O:O)</f>
        <v>1454</v>
      </c>
      <c r="I37" s="8">
        <f>SUMIF(Dataset_A!$B:$B,'Extract Data_sheet'!$A37,Dataset_A!P:P)</f>
        <v>1526</v>
      </c>
      <c r="J37" s="8"/>
      <c r="K37" s="8" t="str">
        <f t="shared" si="0"/>
        <v>Wednesday</v>
      </c>
      <c r="L37" s="8" t="str">
        <f t="shared" si="1"/>
        <v>Mid Humidity</v>
      </c>
    </row>
    <row r="38" spans="1:15" x14ac:dyDescent="0.2">
      <c r="A38" s="15">
        <v>40577</v>
      </c>
      <c r="B38" s="6">
        <f>AVERAGEIF(Dataset_A!$B:$B,'Extract Data_sheet'!$A38,Dataset_A!I:I)</f>
        <v>1</v>
      </c>
      <c r="C38" s="6">
        <f>AVERAGEIF(Dataset_A!$B:$B,'Extract Data_sheet'!$A38,Dataset_A!J:J)</f>
        <v>0.18695652173913049</v>
      </c>
      <c r="D38" s="6">
        <f>AVERAGEIF(Dataset_A!$B:$B,'Extract Data_sheet'!$A38,Dataset_A!K:K)</f>
        <v>0.17787826086956521</v>
      </c>
      <c r="E38" s="7">
        <f>AVERAGEIF(Dataset_A!$B:$B,'Extract Data_sheet'!$A38,Dataset_A!L:L)</f>
        <v>0.43782608695652192</v>
      </c>
      <c r="F38" s="6">
        <f>AVERAGEIF(Dataset_A!$B:$B,'Extract Data_sheet'!$A38,Dataset_A!M:M)</f>
        <v>0.27775217391304347</v>
      </c>
      <c r="G38" s="8">
        <f>SUMIF(Dataset_A!$B:$B,'Extract Data_sheet'!$A38,Dataset_A!N:N)</f>
        <v>61</v>
      </c>
      <c r="H38" s="8">
        <f>SUMIF(Dataset_A!$B:$B,'Extract Data_sheet'!$A38,Dataset_A!O:O)</f>
        <v>1489</v>
      </c>
      <c r="I38" s="8">
        <f>SUMIF(Dataset_A!$B:$B,'Extract Data_sheet'!$A38,Dataset_A!P:P)</f>
        <v>1550</v>
      </c>
      <c r="J38" s="8"/>
      <c r="K38" s="8" t="str">
        <f t="shared" si="0"/>
        <v>Thursday</v>
      </c>
      <c r="L38" s="8" t="str">
        <f t="shared" si="1"/>
        <v>Low Humidity</v>
      </c>
    </row>
    <row r="39" spans="1:15" x14ac:dyDescent="0.2">
      <c r="A39" s="15">
        <v>40578</v>
      </c>
      <c r="B39" s="6">
        <f>AVERAGEIF(Dataset_A!$B:$B,'Extract Data_sheet'!$A39,Dataset_A!I:I)</f>
        <v>1.8695652173913044</v>
      </c>
      <c r="C39" s="6">
        <f>AVERAGEIF(Dataset_A!$B:$B,'Extract Data_sheet'!$A39,Dataset_A!J:J)</f>
        <v>0.21130434782608701</v>
      </c>
      <c r="D39" s="6">
        <f>AVERAGEIF(Dataset_A!$B:$B,'Extract Data_sheet'!$A39,Dataset_A!K:K)</f>
        <v>0.2285869565217391</v>
      </c>
      <c r="E39" s="7">
        <f>AVERAGEIF(Dataset_A!$B:$B,'Extract Data_sheet'!$A39,Dataset_A!L:L)</f>
        <v>0.5852173913043478</v>
      </c>
      <c r="F39" s="6">
        <f>AVERAGEIF(Dataset_A!$B:$B,'Extract Data_sheet'!$A39,Dataset_A!M:M)</f>
        <v>0.12783913043478262</v>
      </c>
      <c r="G39" s="8">
        <f>SUMIF(Dataset_A!$B:$B,'Extract Data_sheet'!$A39,Dataset_A!N:N)</f>
        <v>88</v>
      </c>
      <c r="H39" s="8">
        <f>SUMIF(Dataset_A!$B:$B,'Extract Data_sheet'!$A39,Dataset_A!O:O)</f>
        <v>1620</v>
      </c>
      <c r="I39" s="8">
        <f>SUMIF(Dataset_A!$B:$B,'Extract Data_sheet'!$A39,Dataset_A!P:P)</f>
        <v>1708</v>
      </c>
      <c r="J39" s="8"/>
      <c r="K39" s="8" t="str">
        <f t="shared" si="0"/>
        <v>Friday</v>
      </c>
      <c r="L39" s="8" t="str">
        <f t="shared" si="1"/>
        <v>Mid Humidity</v>
      </c>
    </row>
    <row r="40" spans="1:15" x14ac:dyDescent="0.2">
      <c r="A40" s="15">
        <v>40579</v>
      </c>
      <c r="B40" s="6">
        <f>AVERAGEIF(Dataset_A!$B:$B,'Extract Data_sheet'!$A40,Dataset_A!I:I)</f>
        <v>2.375</v>
      </c>
      <c r="C40" s="6">
        <f>AVERAGEIF(Dataset_A!$B:$B,'Extract Data_sheet'!$A40,Dataset_A!J:J)</f>
        <v>0.23333333333333336</v>
      </c>
      <c r="D40" s="6">
        <f>AVERAGEIF(Dataset_A!$B:$B,'Extract Data_sheet'!$A40,Dataset_A!K:K)</f>
        <v>0.24305833333333335</v>
      </c>
      <c r="E40" s="7">
        <f>AVERAGEIF(Dataset_A!$B:$B,'Extract Data_sheet'!$A40,Dataset_A!L:L)</f>
        <v>0.9291666666666667</v>
      </c>
      <c r="F40" s="6">
        <f>AVERAGEIF(Dataset_A!$B:$B,'Extract Data_sheet'!$A40,Dataset_A!M:M)</f>
        <v>0.16107916666666666</v>
      </c>
      <c r="G40" s="8">
        <f>SUMIF(Dataset_A!$B:$B,'Extract Data_sheet'!$A40,Dataset_A!N:N)</f>
        <v>100</v>
      </c>
      <c r="H40" s="8">
        <f>SUMIF(Dataset_A!$B:$B,'Extract Data_sheet'!$A40,Dataset_A!O:O)</f>
        <v>905</v>
      </c>
      <c r="I40" s="8">
        <f>SUMIF(Dataset_A!$B:$B,'Extract Data_sheet'!$A40,Dataset_A!P:P)</f>
        <v>1005</v>
      </c>
      <c r="J40" s="8"/>
      <c r="K40" s="8" t="str">
        <f t="shared" si="0"/>
        <v>Saturday</v>
      </c>
      <c r="L40" s="8" t="str">
        <f t="shared" si="1"/>
        <v>High Humidity</v>
      </c>
    </row>
    <row r="41" spans="1:15" x14ac:dyDescent="0.2">
      <c r="A41" s="15">
        <v>40580</v>
      </c>
      <c r="B41" s="6">
        <f>AVERAGEIF(Dataset_A!$B:$B,'Extract Data_sheet'!$A41,Dataset_A!I:I)</f>
        <v>1</v>
      </c>
      <c r="C41" s="6">
        <f>AVERAGEIF(Dataset_A!$B:$B,'Extract Data_sheet'!$A41,Dataset_A!J:J)</f>
        <v>0.28583333333333333</v>
      </c>
      <c r="D41" s="6">
        <f>AVERAGEIF(Dataset_A!$B:$B,'Extract Data_sheet'!$A41,Dataset_A!K:K)</f>
        <v>0.29167083333333321</v>
      </c>
      <c r="E41" s="7">
        <f>AVERAGEIF(Dataset_A!$B:$B,'Extract Data_sheet'!$A41,Dataset_A!L:L)</f>
        <v>0.56833333333333347</v>
      </c>
      <c r="F41" s="6">
        <f>AVERAGEIF(Dataset_A!$B:$B,'Extract Data_sheet'!$A41,Dataset_A!M:M)</f>
        <v>0.14179999999999995</v>
      </c>
      <c r="G41" s="8">
        <f>SUMIF(Dataset_A!$B:$B,'Extract Data_sheet'!$A41,Dataset_A!N:N)</f>
        <v>354</v>
      </c>
      <c r="H41" s="8">
        <f>SUMIF(Dataset_A!$B:$B,'Extract Data_sheet'!$A41,Dataset_A!O:O)</f>
        <v>1269</v>
      </c>
      <c r="I41" s="8">
        <f>SUMIF(Dataset_A!$B:$B,'Extract Data_sheet'!$A41,Dataset_A!P:P)</f>
        <v>1623</v>
      </c>
      <c r="J41" s="8"/>
      <c r="K41" s="8" t="str">
        <f t="shared" si="0"/>
        <v>Sunday</v>
      </c>
      <c r="L41" s="8" t="str">
        <f t="shared" si="1"/>
        <v>Mid Humidity</v>
      </c>
    </row>
    <row r="42" spans="1:15" x14ac:dyDescent="0.2">
      <c r="A42" s="15">
        <v>40581</v>
      </c>
      <c r="B42" s="6">
        <f>AVERAGEIF(Dataset_A!$B:$B,'Extract Data_sheet'!$A42,Dataset_A!I:I)</f>
        <v>1.4583333333333333</v>
      </c>
      <c r="C42" s="6">
        <f>AVERAGEIF(Dataset_A!$B:$B,'Extract Data_sheet'!$A42,Dataset_A!J:J)</f>
        <v>0.27166666666666667</v>
      </c>
      <c r="D42" s="6">
        <f>AVERAGEIF(Dataset_A!$B:$B,'Extract Data_sheet'!$A42,Dataset_A!K:K)</f>
        <v>0.30365833333333336</v>
      </c>
      <c r="E42" s="7">
        <f>AVERAGEIF(Dataset_A!$B:$B,'Extract Data_sheet'!$A42,Dataset_A!L:L)</f>
        <v>0.73833333333333317</v>
      </c>
      <c r="F42" s="6">
        <f>AVERAGEIF(Dataset_A!$B:$B,'Extract Data_sheet'!$A42,Dataset_A!M:M)</f>
        <v>4.5408333333333328E-2</v>
      </c>
      <c r="G42" s="8">
        <f>SUMIF(Dataset_A!$B:$B,'Extract Data_sheet'!$A42,Dataset_A!N:N)</f>
        <v>120</v>
      </c>
      <c r="H42" s="8">
        <f>SUMIF(Dataset_A!$B:$B,'Extract Data_sheet'!$A42,Dataset_A!O:O)</f>
        <v>1592</v>
      </c>
      <c r="I42" s="8">
        <f>SUMIF(Dataset_A!$B:$B,'Extract Data_sheet'!$A42,Dataset_A!P:P)</f>
        <v>1712</v>
      </c>
      <c r="J42" s="8"/>
      <c r="K42" s="8" t="str">
        <f t="shared" si="0"/>
        <v>Monday</v>
      </c>
      <c r="L42" s="8" t="str">
        <f t="shared" si="1"/>
        <v>Mid Humidity</v>
      </c>
    </row>
    <row r="43" spans="1:15" x14ac:dyDescent="0.2">
      <c r="A43" s="15">
        <v>40582</v>
      </c>
      <c r="B43" s="6">
        <f>AVERAGEIF(Dataset_A!$B:$B,'Extract Data_sheet'!$A43,Dataset_A!I:I)</f>
        <v>1.25</v>
      </c>
      <c r="C43" s="6">
        <f>AVERAGEIF(Dataset_A!$B:$B,'Extract Data_sheet'!$A43,Dataset_A!J:J)</f>
        <v>0.22083333333333341</v>
      </c>
      <c r="D43" s="6">
        <f>AVERAGEIF(Dataset_A!$B:$B,'Extract Data_sheet'!$A43,Dataset_A!K:K)</f>
        <v>0.19824583333333332</v>
      </c>
      <c r="E43" s="7">
        <f>AVERAGEIF(Dataset_A!$B:$B,'Extract Data_sheet'!$A43,Dataset_A!L:L)</f>
        <v>0.53791666666666671</v>
      </c>
      <c r="F43" s="6">
        <f>AVERAGEIF(Dataset_A!$B:$B,'Extract Data_sheet'!$A43,Dataset_A!M:M)</f>
        <v>0.36194999999999999</v>
      </c>
      <c r="G43" s="8">
        <f>SUMIF(Dataset_A!$B:$B,'Extract Data_sheet'!$A43,Dataset_A!N:N)</f>
        <v>64</v>
      </c>
      <c r="H43" s="8">
        <f>SUMIF(Dataset_A!$B:$B,'Extract Data_sheet'!$A43,Dataset_A!O:O)</f>
        <v>1466</v>
      </c>
      <c r="I43" s="8">
        <f>SUMIF(Dataset_A!$B:$B,'Extract Data_sheet'!$A43,Dataset_A!P:P)</f>
        <v>1530</v>
      </c>
      <c r="J43" s="8"/>
      <c r="K43" s="8" t="str">
        <f t="shared" si="0"/>
        <v>Tuesday</v>
      </c>
      <c r="L43" s="8" t="str">
        <f t="shared" si="1"/>
        <v>Mid Humidity</v>
      </c>
    </row>
    <row r="44" spans="1:15" x14ac:dyDescent="0.2">
      <c r="A44" s="15">
        <v>40583</v>
      </c>
      <c r="B44" s="6">
        <f>AVERAGEIF(Dataset_A!$B:$B,'Extract Data_sheet'!$A44,Dataset_A!I:I)</f>
        <v>1.6521739130434783</v>
      </c>
      <c r="C44" s="6">
        <f>AVERAGEIF(Dataset_A!$B:$B,'Extract Data_sheet'!$A44,Dataset_A!J:J)</f>
        <v>0.1347826086956522</v>
      </c>
      <c r="D44" s="6">
        <f>AVERAGEIF(Dataset_A!$B:$B,'Extract Data_sheet'!$A44,Dataset_A!K:K)</f>
        <v>0.14428260869565218</v>
      </c>
      <c r="E44" s="7">
        <f>AVERAGEIF(Dataset_A!$B:$B,'Extract Data_sheet'!$A44,Dataset_A!L:L)</f>
        <v>0.49478260869565222</v>
      </c>
      <c r="F44" s="6">
        <f>AVERAGEIF(Dataset_A!$B:$B,'Extract Data_sheet'!$A44,Dataset_A!M:M)</f>
        <v>0.18883913043478256</v>
      </c>
      <c r="G44" s="8">
        <f>SUMIF(Dataset_A!$B:$B,'Extract Data_sheet'!$A44,Dataset_A!N:N)</f>
        <v>53</v>
      </c>
      <c r="H44" s="8">
        <f>SUMIF(Dataset_A!$B:$B,'Extract Data_sheet'!$A44,Dataset_A!O:O)</f>
        <v>1552</v>
      </c>
      <c r="I44" s="8">
        <f>SUMIF(Dataset_A!$B:$B,'Extract Data_sheet'!$A44,Dataset_A!P:P)</f>
        <v>1605</v>
      </c>
      <c r="J44" s="8"/>
      <c r="K44" s="8" t="str">
        <f t="shared" si="0"/>
        <v>Wednesday</v>
      </c>
      <c r="L44" s="8" t="str">
        <f t="shared" si="1"/>
        <v>Low Humidity</v>
      </c>
    </row>
    <row r="45" spans="1:15" x14ac:dyDescent="0.2">
      <c r="A45" s="15">
        <v>40584</v>
      </c>
      <c r="B45" s="6">
        <f>AVERAGEIF(Dataset_A!$B:$B,'Extract Data_sheet'!$A45,Dataset_A!I:I)</f>
        <v>1.3913043478260869</v>
      </c>
      <c r="C45" s="6">
        <f>AVERAGEIF(Dataset_A!$B:$B,'Extract Data_sheet'!$A45,Dataset_A!J:J)</f>
        <v>0.14434782608695657</v>
      </c>
      <c r="D45" s="6">
        <f>AVERAGEIF(Dataset_A!$B:$B,'Extract Data_sheet'!$A45,Dataset_A!K:K)</f>
        <v>0.14954782608695652</v>
      </c>
      <c r="E45" s="7">
        <f>AVERAGEIF(Dataset_A!$B:$B,'Extract Data_sheet'!$A45,Dataset_A!L:L)</f>
        <v>0.43739130434782603</v>
      </c>
      <c r="F45" s="6">
        <f>AVERAGEIF(Dataset_A!$B:$B,'Extract Data_sheet'!$A45,Dataset_A!M:M)</f>
        <v>0.22193478260869562</v>
      </c>
      <c r="G45" s="8">
        <f>SUMIF(Dataset_A!$B:$B,'Extract Data_sheet'!$A45,Dataset_A!N:N)</f>
        <v>47</v>
      </c>
      <c r="H45" s="8">
        <f>SUMIF(Dataset_A!$B:$B,'Extract Data_sheet'!$A45,Dataset_A!O:O)</f>
        <v>1491</v>
      </c>
      <c r="I45" s="8">
        <f>SUMIF(Dataset_A!$B:$B,'Extract Data_sheet'!$A45,Dataset_A!P:P)</f>
        <v>1538</v>
      </c>
      <c r="J45" s="8"/>
      <c r="K45" s="8" t="str">
        <f t="shared" si="0"/>
        <v>Thursday</v>
      </c>
      <c r="L45" s="8" t="str">
        <f t="shared" si="1"/>
        <v>Low Humidity</v>
      </c>
    </row>
    <row r="46" spans="1:15" x14ac:dyDescent="0.2">
      <c r="A46" s="15">
        <v>40585</v>
      </c>
      <c r="B46" s="6">
        <f>AVERAGEIF(Dataset_A!$B:$B,'Extract Data_sheet'!$A46,Dataset_A!I:I)</f>
        <v>1</v>
      </c>
      <c r="C46" s="6">
        <f>AVERAGEIF(Dataset_A!$B:$B,'Extract Data_sheet'!$A46,Dataset_A!J:J)</f>
        <v>0.18909090909090909</v>
      </c>
      <c r="D46" s="6">
        <f>AVERAGEIF(Dataset_A!$B:$B,'Extract Data_sheet'!$A46,Dataset_A!K:K)</f>
        <v>0.2135090909090909</v>
      </c>
      <c r="E46" s="7">
        <f>AVERAGEIF(Dataset_A!$B:$B,'Extract Data_sheet'!$A46,Dataset_A!L:L)</f>
        <v>0.50636363636363635</v>
      </c>
      <c r="F46" s="6">
        <f>AVERAGEIF(Dataset_A!$B:$B,'Extract Data_sheet'!$A46,Dataset_A!M:M)</f>
        <v>0.10855000000000001</v>
      </c>
      <c r="G46" s="8">
        <f>SUMIF(Dataset_A!$B:$B,'Extract Data_sheet'!$A46,Dataset_A!N:N)</f>
        <v>149</v>
      </c>
      <c r="H46" s="8">
        <f>SUMIF(Dataset_A!$B:$B,'Extract Data_sheet'!$A46,Dataset_A!O:O)</f>
        <v>1597</v>
      </c>
      <c r="I46" s="8">
        <f>SUMIF(Dataset_A!$B:$B,'Extract Data_sheet'!$A46,Dataset_A!P:P)</f>
        <v>1746</v>
      </c>
      <c r="J46" s="8"/>
      <c r="K46" s="8" t="str">
        <f t="shared" si="0"/>
        <v>Friday</v>
      </c>
      <c r="L46" s="8" t="str">
        <f t="shared" si="1"/>
        <v>Mid Humidity</v>
      </c>
    </row>
    <row r="47" spans="1:15" x14ac:dyDescent="0.2">
      <c r="A47" s="15">
        <v>40586</v>
      </c>
      <c r="B47" s="6">
        <f>AVERAGEIF(Dataset_A!$B:$B,'Extract Data_sheet'!$A47,Dataset_A!I:I)</f>
        <v>1</v>
      </c>
      <c r="C47" s="6">
        <f>AVERAGEIF(Dataset_A!$B:$B,'Extract Data_sheet'!$A47,Dataset_A!J:J)</f>
        <v>0.22249999999999995</v>
      </c>
      <c r="D47" s="6">
        <f>AVERAGEIF(Dataset_A!$B:$B,'Extract Data_sheet'!$A47,Dataset_A!K:K)</f>
        <v>0.23295416666666666</v>
      </c>
      <c r="E47" s="7">
        <f>AVERAGEIF(Dataset_A!$B:$B,'Extract Data_sheet'!$A47,Dataset_A!L:L)</f>
        <v>0.54416666666666669</v>
      </c>
      <c r="F47" s="6">
        <f>AVERAGEIF(Dataset_A!$B:$B,'Extract Data_sheet'!$A47,Dataset_A!M:M)</f>
        <v>0.20336666666666667</v>
      </c>
      <c r="G47" s="8">
        <f>SUMIF(Dataset_A!$B:$B,'Extract Data_sheet'!$A47,Dataset_A!N:N)</f>
        <v>288</v>
      </c>
      <c r="H47" s="8">
        <f>SUMIF(Dataset_A!$B:$B,'Extract Data_sheet'!$A47,Dataset_A!O:O)</f>
        <v>1184</v>
      </c>
      <c r="I47" s="8">
        <f>SUMIF(Dataset_A!$B:$B,'Extract Data_sheet'!$A47,Dataset_A!P:P)</f>
        <v>1472</v>
      </c>
      <c r="J47" s="8"/>
      <c r="K47" s="8" t="str">
        <f t="shared" si="0"/>
        <v>Saturday</v>
      </c>
      <c r="L47" s="8" t="str">
        <f t="shared" si="1"/>
        <v>Mid Humidity</v>
      </c>
    </row>
    <row r="48" spans="1:15" x14ac:dyDescent="0.2">
      <c r="A48" s="15">
        <v>40587</v>
      </c>
      <c r="B48" s="6">
        <f>AVERAGEIF(Dataset_A!$B:$B,'Extract Data_sheet'!$A48,Dataset_A!I:I)</f>
        <v>1.4347826086956521</v>
      </c>
      <c r="C48" s="6">
        <f>AVERAGEIF(Dataset_A!$B:$B,'Extract Data_sheet'!$A48,Dataset_A!J:J)</f>
        <v>0.31652173913043485</v>
      </c>
      <c r="D48" s="6">
        <f>AVERAGEIF(Dataset_A!$B:$B,'Extract Data_sheet'!$A48,Dataset_A!K:K)</f>
        <v>0.32411304347826098</v>
      </c>
      <c r="E48" s="7">
        <f>AVERAGEIF(Dataset_A!$B:$B,'Extract Data_sheet'!$A48,Dataset_A!L:L)</f>
        <v>0.45739130434782593</v>
      </c>
      <c r="F48" s="6">
        <f>AVERAGEIF(Dataset_A!$B:$B,'Extract Data_sheet'!$A48,Dataset_A!M:M)</f>
        <v>0.26088260869565216</v>
      </c>
      <c r="G48" s="8">
        <f>SUMIF(Dataset_A!$B:$B,'Extract Data_sheet'!$A48,Dataset_A!N:N)</f>
        <v>397</v>
      </c>
      <c r="H48" s="8">
        <f>SUMIF(Dataset_A!$B:$B,'Extract Data_sheet'!$A48,Dataset_A!O:O)</f>
        <v>1192</v>
      </c>
      <c r="I48" s="8">
        <f>SUMIF(Dataset_A!$B:$B,'Extract Data_sheet'!$A48,Dataset_A!P:P)</f>
        <v>1589</v>
      </c>
      <c r="J48" s="8"/>
      <c r="K48" s="8" t="str">
        <f t="shared" si="0"/>
        <v>Sunday</v>
      </c>
      <c r="L48" s="8" t="str">
        <f t="shared" si="1"/>
        <v>Low Humidity</v>
      </c>
    </row>
    <row r="49" spans="1:12" x14ac:dyDescent="0.2">
      <c r="A49" s="15">
        <v>40588</v>
      </c>
      <c r="B49" s="6">
        <f>AVERAGEIF(Dataset_A!$B:$B,'Extract Data_sheet'!$A49,Dataset_A!I:I)</f>
        <v>1</v>
      </c>
      <c r="C49" s="6">
        <f>AVERAGEIF(Dataset_A!$B:$B,'Extract Data_sheet'!$A49,Dataset_A!J:J)</f>
        <v>0.34749999999999998</v>
      </c>
      <c r="D49" s="6">
        <f>AVERAGEIF(Dataset_A!$B:$B,'Extract Data_sheet'!$A49,Dataset_A!K:K)</f>
        <v>0.3314125</v>
      </c>
      <c r="E49" s="7">
        <f>AVERAGEIF(Dataset_A!$B:$B,'Extract Data_sheet'!$A49,Dataset_A!L:L)</f>
        <v>0.44750000000000001</v>
      </c>
      <c r="F49" s="6">
        <f>AVERAGEIF(Dataset_A!$B:$B,'Extract Data_sheet'!$A49,Dataset_A!M:M)</f>
        <v>0.30037499999999995</v>
      </c>
      <c r="G49" s="8">
        <f>SUMIF(Dataset_A!$B:$B,'Extract Data_sheet'!$A49,Dataset_A!N:N)</f>
        <v>8</v>
      </c>
      <c r="H49" s="8">
        <f>SUMIF(Dataset_A!$B:$B,'Extract Data_sheet'!$A49,Dataset_A!O:O)</f>
        <v>143</v>
      </c>
      <c r="I49" s="8">
        <f>SUMIF(Dataset_A!$B:$B,'Extract Data_sheet'!$A49,Dataset_A!P:P)</f>
        <v>151</v>
      </c>
      <c r="J49" s="8"/>
      <c r="K49" s="8" t="str">
        <f t="shared" si="0"/>
        <v>Monday</v>
      </c>
      <c r="L49" s="8" t="str">
        <f t="shared" si="1"/>
        <v>Low Humidity</v>
      </c>
    </row>
  </sheetData>
  <mergeCells count="11">
    <mergeCell ref="A1:K2"/>
    <mergeCell ref="Q4:R4"/>
    <mergeCell ref="P28:Q28"/>
    <mergeCell ref="Q11:R11"/>
    <mergeCell ref="Q12:R12"/>
    <mergeCell ref="Q14:R14"/>
    <mergeCell ref="Q15:R15"/>
    <mergeCell ref="Q22:R22"/>
    <mergeCell ref="Q23:R23"/>
    <mergeCell ref="Q21:S21"/>
    <mergeCell ref="Q24:R24"/>
  </mergeCells>
  <phoneticPr fontId="6" type="noConversion"/>
  <conditionalFormatting sqref="A5:L49">
    <cfRule type="expression" dxfId="0" priority="3">
      <formula>$L5=$N$22</formula>
    </cfRule>
  </conditionalFormatting>
  <conditionalFormatting sqref="P28:Q28">
    <cfRule type="iconSet" priority="1">
      <iconSet iconSet="5ArrowsGray">
        <cfvo type="percent" val="0"/>
        <cfvo type="percent" val="20"/>
        <cfvo type="percent" val="40"/>
        <cfvo type="percent" val="60"/>
        <cfvo type="percent" val="80"/>
      </iconSet>
    </cfRule>
    <cfRule type="iconSet" priority="2">
      <iconSet iconSet="3ArrowsGray">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00B6-8E31-4C22-B378-237EC23FB710}">
  <sheetPr filterMode="1"/>
  <dimension ref="A4:I205"/>
  <sheetViews>
    <sheetView tabSelected="1" workbookViewId="0">
      <selection activeCell="J3" sqref="J3"/>
    </sheetView>
  </sheetViews>
  <sheetFormatPr defaultRowHeight="12.75" x14ac:dyDescent="0.2"/>
  <cols>
    <col min="1" max="1" width="13.85546875" bestFit="1" customWidth="1"/>
    <col min="2" max="2" width="14.28515625" bestFit="1" customWidth="1"/>
    <col min="3" max="3" width="6" bestFit="1" customWidth="1"/>
    <col min="4" max="4" width="11.5703125" bestFit="1" customWidth="1"/>
    <col min="5" max="5" width="9.28515625" bestFit="1" customWidth="1"/>
    <col min="6" max="6" width="11.7109375" bestFit="1" customWidth="1"/>
    <col min="7" max="7" width="9.140625" bestFit="1" customWidth="1"/>
    <col min="8" max="8" width="7.85546875" bestFit="1" customWidth="1"/>
    <col min="9" max="9" width="11.7109375" bestFit="1" customWidth="1"/>
    <col min="10" max="10" width="13.5703125" bestFit="1" customWidth="1"/>
    <col min="11" max="13" width="2" bestFit="1" customWidth="1"/>
    <col min="14" max="14" width="16.85546875" bestFit="1" customWidth="1"/>
    <col min="15" max="15" width="11.28515625" bestFit="1" customWidth="1"/>
    <col min="16" max="16" width="5" bestFit="1" customWidth="1"/>
    <col min="17" max="17" width="2" bestFit="1" customWidth="1"/>
    <col min="18" max="18" width="14.5703125" bestFit="1" customWidth="1"/>
    <col min="19" max="19" width="8.7109375" bestFit="1" customWidth="1"/>
    <col min="20" max="20" width="5" bestFit="1" customWidth="1"/>
    <col min="21" max="21" width="2" bestFit="1" customWidth="1"/>
    <col min="22" max="22" width="11.85546875" bestFit="1" customWidth="1"/>
    <col min="23" max="23" width="11.140625" bestFit="1" customWidth="1"/>
    <col min="24" max="25" width="2" bestFit="1" customWidth="1"/>
    <col min="26" max="26" width="14.42578125" bestFit="1" customWidth="1"/>
    <col min="27" max="27" width="9.85546875" bestFit="1" customWidth="1"/>
    <col min="28" max="29" width="2" bestFit="1" customWidth="1"/>
    <col min="30" max="30" width="13.140625" bestFit="1" customWidth="1"/>
    <col min="31" max="31" width="11.7109375" bestFit="1" customWidth="1"/>
    <col min="32" max="35" width="5" bestFit="1" customWidth="1"/>
    <col min="36" max="36" width="4" bestFit="1" customWidth="1"/>
    <col min="37" max="40" width="5" bestFit="1" customWidth="1"/>
    <col min="41" max="41" width="4" bestFit="1" customWidth="1"/>
    <col min="42" max="44" width="5" bestFit="1" customWidth="1"/>
    <col min="45" max="45" width="7.140625" bestFit="1" customWidth="1"/>
    <col min="46" max="48" width="5" bestFit="1" customWidth="1"/>
    <col min="49" max="49" width="4" bestFit="1" customWidth="1"/>
    <col min="50" max="54" width="5" bestFit="1" customWidth="1"/>
    <col min="55" max="55" width="4" bestFit="1" customWidth="1"/>
    <col min="56" max="56" width="5" bestFit="1" customWidth="1"/>
    <col min="57" max="57" width="7.140625" bestFit="1" customWidth="1"/>
    <col min="58" max="58" width="5" bestFit="1" customWidth="1"/>
    <col min="59" max="59" width="7.140625" bestFit="1" customWidth="1"/>
    <col min="60" max="60" width="11.7109375" bestFit="1" customWidth="1"/>
    <col min="61" max="61" width="4" bestFit="1" customWidth="1"/>
    <col min="62" max="62" width="3" bestFit="1" customWidth="1"/>
    <col min="63" max="64" width="4" bestFit="1" customWidth="1"/>
    <col min="65" max="65" width="3" bestFit="1" customWidth="1"/>
    <col min="66" max="66" width="4" bestFit="1" customWidth="1"/>
    <col min="67" max="67" width="14.5703125" bestFit="1" customWidth="1"/>
    <col min="68" max="68" width="8.7109375" bestFit="1" customWidth="1"/>
    <col min="69" max="69" width="4" bestFit="1" customWidth="1"/>
    <col min="70" max="70" width="5" bestFit="1" customWidth="1"/>
    <col min="71" max="78" width="4" bestFit="1" customWidth="1"/>
    <col min="79" max="79" width="3" bestFit="1" customWidth="1"/>
    <col min="80" max="81" width="4" bestFit="1" customWidth="1"/>
    <col min="82" max="84" width="3" bestFit="1" customWidth="1"/>
    <col min="85" max="85" width="4" bestFit="1" customWidth="1"/>
    <col min="86" max="86" width="3" bestFit="1" customWidth="1"/>
    <col min="87" max="88" width="4" bestFit="1" customWidth="1"/>
    <col min="89" max="89" width="11.85546875" bestFit="1" customWidth="1"/>
    <col min="90" max="90" width="11.140625" bestFit="1" customWidth="1"/>
    <col min="91" max="102" width="4" bestFit="1" customWidth="1"/>
    <col min="103" max="103" width="3" bestFit="1" customWidth="1"/>
    <col min="104" max="105" width="4" bestFit="1" customWidth="1"/>
    <col min="106" max="106" width="3" bestFit="1" customWidth="1"/>
    <col min="107" max="118" width="4" bestFit="1" customWidth="1"/>
    <col min="119" max="119" width="3" bestFit="1" customWidth="1"/>
    <col min="120" max="121" width="4" bestFit="1" customWidth="1"/>
    <col min="122" max="122" width="14.42578125" bestFit="1" customWidth="1"/>
    <col min="123" max="123" width="9.85546875" bestFit="1" customWidth="1"/>
    <col min="124" max="138" width="4" bestFit="1" customWidth="1"/>
    <col min="139" max="139" width="3" bestFit="1" customWidth="1"/>
    <col min="140" max="142" width="4" bestFit="1" customWidth="1"/>
    <col min="143" max="143" width="3" bestFit="1" customWidth="1"/>
    <col min="144" max="159" width="4" bestFit="1" customWidth="1"/>
    <col min="160" max="160" width="13.140625" bestFit="1" customWidth="1"/>
    <col min="161" max="161" width="11.7109375" bestFit="1" customWidth="1"/>
  </cols>
  <sheetData>
    <row r="4" spans="1:9" x14ac:dyDescent="0.2">
      <c r="A4" s="20" t="s">
        <v>47</v>
      </c>
      <c r="B4" s="20" t="s">
        <v>46</v>
      </c>
    </row>
    <row r="5" spans="1:9" x14ac:dyDescent="0.2">
      <c r="A5" s="20" t="s">
        <v>44</v>
      </c>
      <c r="B5" t="s">
        <v>13</v>
      </c>
      <c r="C5" t="s">
        <v>14</v>
      </c>
      <c r="D5" t="s">
        <v>15</v>
      </c>
      <c r="E5" t="s">
        <v>16</v>
      </c>
      <c r="F5" t="s">
        <v>17</v>
      </c>
      <c r="G5" t="s">
        <v>11</v>
      </c>
      <c r="H5" t="s">
        <v>12</v>
      </c>
      <c r="I5" t="s">
        <v>45</v>
      </c>
    </row>
    <row r="6" spans="1:9" x14ac:dyDescent="0.2">
      <c r="A6" s="21" t="s">
        <v>48</v>
      </c>
      <c r="G6">
        <v>985</v>
      </c>
      <c r="I6">
        <v>985</v>
      </c>
    </row>
    <row r="7" spans="1:9" x14ac:dyDescent="0.2">
      <c r="A7" s="21" t="s">
        <v>49</v>
      </c>
      <c r="H7">
        <v>801</v>
      </c>
      <c r="I7">
        <v>801</v>
      </c>
    </row>
    <row r="8" spans="1:9" x14ac:dyDescent="0.2">
      <c r="A8" s="21" t="s">
        <v>50</v>
      </c>
      <c r="B8">
        <v>1349</v>
      </c>
      <c r="I8">
        <v>1349</v>
      </c>
    </row>
    <row r="9" spans="1:9" x14ac:dyDescent="0.2">
      <c r="A9" s="21" t="s">
        <v>51</v>
      </c>
      <c r="C9">
        <v>1562</v>
      </c>
      <c r="I9">
        <v>1562</v>
      </c>
    </row>
    <row r="10" spans="1:9" x14ac:dyDescent="0.2">
      <c r="A10" s="21" t="s">
        <v>52</v>
      </c>
      <c r="D10">
        <v>1600</v>
      </c>
      <c r="I10">
        <v>1600</v>
      </c>
    </row>
    <row r="11" spans="1:9" x14ac:dyDescent="0.2">
      <c r="A11" s="21" t="s">
        <v>53</v>
      </c>
      <c r="E11">
        <v>1606</v>
      </c>
      <c r="I11">
        <v>1606</v>
      </c>
    </row>
    <row r="12" spans="1:9" x14ac:dyDescent="0.2">
      <c r="A12" s="21" t="s">
        <v>54</v>
      </c>
      <c r="F12">
        <v>1510</v>
      </c>
      <c r="I12">
        <v>1510</v>
      </c>
    </row>
    <row r="13" spans="1:9" x14ac:dyDescent="0.2">
      <c r="A13" s="21" t="s">
        <v>55</v>
      </c>
      <c r="G13">
        <v>959</v>
      </c>
      <c r="I13">
        <v>959</v>
      </c>
    </row>
    <row r="14" spans="1:9" x14ac:dyDescent="0.2">
      <c r="A14" s="21" t="s">
        <v>56</v>
      </c>
      <c r="H14">
        <v>822</v>
      </c>
      <c r="I14">
        <v>822</v>
      </c>
    </row>
    <row r="15" spans="1:9" x14ac:dyDescent="0.2">
      <c r="A15" s="21" t="s">
        <v>57</v>
      </c>
      <c r="B15">
        <v>1321</v>
      </c>
      <c r="I15">
        <v>1321</v>
      </c>
    </row>
    <row r="16" spans="1:9" x14ac:dyDescent="0.2">
      <c r="A16" s="21" t="s">
        <v>58</v>
      </c>
      <c r="C16">
        <v>1263</v>
      </c>
      <c r="I16">
        <v>1263</v>
      </c>
    </row>
    <row r="17" spans="1:9" x14ac:dyDescent="0.2">
      <c r="A17" s="21" t="s">
        <v>59</v>
      </c>
      <c r="D17">
        <v>1162</v>
      </c>
      <c r="I17">
        <v>1162</v>
      </c>
    </row>
    <row r="18" spans="1:9" x14ac:dyDescent="0.2">
      <c r="A18" s="21" t="s">
        <v>60</v>
      </c>
      <c r="E18">
        <v>1406</v>
      </c>
      <c r="I18">
        <v>1406</v>
      </c>
    </row>
    <row r="19" spans="1:9" x14ac:dyDescent="0.2">
      <c r="A19" s="21" t="s">
        <v>61</v>
      </c>
      <c r="F19">
        <v>1421</v>
      </c>
      <c r="I19">
        <v>1421</v>
      </c>
    </row>
    <row r="20" spans="1:9" x14ac:dyDescent="0.2">
      <c r="A20" s="21" t="s">
        <v>62</v>
      </c>
      <c r="G20">
        <v>1248</v>
      </c>
      <c r="I20">
        <v>1248</v>
      </c>
    </row>
    <row r="21" spans="1:9" x14ac:dyDescent="0.2">
      <c r="A21" s="21" t="s">
        <v>63</v>
      </c>
      <c r="H21">
        <v>1204</v>
      </c>
      <c r="I21">
        <v>1204</v>
      </c>
    </row>
    <row r="22" spans="1:9" x14ac:dyDescent="0.2">
      <c r="A22" s="21" t="s">
        <v>64</v>
      </c>
      <c r="B22">
        <v>1000</v>
      </c>
      <c r="I22">
        <v>1000</v>
      </c>
    </row>
    <row r="23" spans="1:9" x14ac:dyDescent="0.2">
      <c r="A23" s="21" t="s">
        <v>99</v>
      </c>
      <c r="C23">
        <v>683</v>
      </c>
      <c r="I23">
        <v>683</v>
      </c>
    </row>
    <row r="24" spans="1:9" x14ac:dyDescent="0.2">
      <c r="A24" s="21" t="s">
        <v>65</v>
      </c>
      <c r="D24">
        <v>1650</v>
      </c>
      <c r="I24">
        <v>1650</v>
      </c>
    </row>
    <row r="25" spans="1:9" x14ac:dyDescent="0.2">
      <c r="A25" s="21" t="s">
        <v>66</v>
      </c>
      <c r="E25">
        <v>1927</v>
      </c>
      <c r="I25">
        <v>1927</v>
      </c>
    </row>
    <row r="26" spans="1:9" x14ac:dyDescent="0.2">
      <c r="A26" s="21" t="s">
        <v>67</v>
      </c>
      <c r="F26">
        <v>1543</v>
      </c>
      <c r="I26">
        <v>1543</v>
      </c>
    </row>
    <row r="27" spans="1:9" x14ac:dyDescent="0.2">
      <c r="A27" s="21" t="s">
        <v>68</v>
      </c>
      <c r="G27">
        <v>981</v>
      </c>
      <c r="I27">
        <v>981</v>
      </c>
    </row>
    <row r="28" spans="1:9" x14ac:dyDescent="0.2">
      <c r="A28" s="21" t="s">
        <v>69</v>
      </c>
      <c r="H28">
        <v>986</v>
      </c>
      <c r="I28">
        <v>986</v>
      </c>
    </row>
    <row r="29" spans="1:9" x14ac:dyDescent="0.2">
      <c r="A29" s="21" t="s">
        <v>70</v>
      </c>
      <c r="B29">
        <v>1416</v>
      </c>
      <c r="I29">
        <v>1416</v>
      </c>
    </row>
    <row r="30" spans="1:9" x14ac:dyDescent="0.2">
      <c r="A30" s="21" t="s">
        <v>71</v>
      </c>
      <c r="C30">
        <v>1985</v>
      </c>
      <c r="I30">
        <v>1985</v>
      </c>
    </row>
    <row r="31" spans="1:9" x14ac:dyDescent="0.2">
      <c r="A31" s="21" t="s">
        <v>100</v>
      </c>
      <c r="D31">
        <v>506</v>
      </c>
      <c r="I31">
        <v>506</v>
      </c>
    </row>
    <row r="32" spans="1:9" x14ac:dyDescent="0.2">
      <c r="A32" s="21" t="s">
        <v>72</v>
      </c>
      <c r="E32">
        <v>431</v>
      </c>
      <c r="I32">
        <v>431</v>
      </c>
    </row>
    <row r="33" spans="1:9" x14ac:dyDescent="0.2">
      <c r="A33" s="21" t="s">
        <v>73</v>
      </c>
      <c r="F33">
        <v>1167</v>
      </c>
      <c r="I33">
        <v>1167</v>
      </c>
    </row>
    <row r="34" spans="1:9" x14ac:dyDescent="0.2">
      <c r="A34" s="21" t="s">
        <v>74</v>
      </c>
      <c r="G34">
        <v>1098</v>
      </c>
      <c r="I34">
        <v>1098</v>
      </c>
    </row>
    <row r="35" spans="1:9" x14ac:dyDescent="0.2">
      <c r="A35" s="21" t="s">
        <v>75</v>
      </c>
      <c r="H35">
        <v>1096</v>
      </c>
      <c r="I35">
        <v>1096</v>
      </c>
    </row>
    <row r="36" spans="1:9" x14ac:dyDescent="0.2">
      <c r="A36" s="21" t="s">
        <v>76</v>
      </c>
      <c r="B36">
        <v>1501</v>
      </c>
      <c r="I36">
        <v>1501</v>
      </c>
    </row>
    <row r="37" spans="1:9" x14ac:dyDescent="0.2">
      <c r="A37" s="21" t="s">
        <v>101</v>
      </c>
      <c r="C37">
        <v>1360</v>
      </c>
      <c r="I37">
        <v>1360</v>
      </c>
    </row>
    <row r="38" spans="1:9" x14ac:dyDescent="0.2">
      <c r="A38" s="21" t="s">
        <v>85</v>
      </c>
      <c r="D38">
        <v>1526</v>
      </c>
      <c r="I38">
        <v>1526</v>
      </c>
    </row>
    <row r="39" spans="1:9" x14ac:dyDescent="0.2">
      <c r="A39" s="21" t="s">
        <v>86</v>
      </c>
      <c r="E39">
        <v>1550</v>
      </c>
      <c r="I39">
        <v>1550</v>
      </c>
    </row>
    <row r="40" spans="1:9" x14ac:dyDescent="0.2">
      <c r="A40" s="21" t="s">
        <v>87</v>
      </c>
      <c r="F40">
        <v>1708</v>
      </c>
      <c r="I40">
        <v>1708</v>
      </c>
    </row>
    <row r="41" spans="1:9" x14ac:dyDescent="0.2">
      <c r="A41" s="21" t="s">
        <v>88</v>
      </c>
      <c r="G41">
        <v>1005</v>
      </c>
      <c r="I41">
        <v>1005</v>
      </c>
    </row>
    <row r="42" spans="1:9" x14ac:dyDescent="0.2">
      <c r="A42" s="21" t="s">
        <v>89</v>
      </c>
      <c r="H42">
        <v>1623</v>
      </c>
      <c r="I42">
        <v>1623</v>
      </c>
    </row>
    <row r="43" spans="1:9" x14ac:dyDescent="0.2">
      <c r="A43" s="21" t="s">
        <v>90</v>
      </c>
      <c r="B43">
        <v>1712</v>
      </c>
      <c r="I43">
        <v>1712</v>
      </c>
    </row>
    <row r="44" spans="1:9" x14ac:dyDescent="0.2">
      <c r="A44" s="21" t="s">
        <v>91</v>
      </c>
      <c r="C44">
        <v>1530</v>
      </c>
      <c r="I44">
        <v>1530</v>
      </c>
    </row>
    <row r="45" spans="1:9" x14ac:dyDescent="0.2">
      <c r="A45" s="21" t="s">
        <v>92</v>
      </c>
      <c r="D45">
        <v>1605</v>
      </c>
      <c r="I45">
        <v>1605</v>
      </c>
    </row>
    <row r="46" spans="1:9" x14ac:dyDescent="0.2">
      <c r="A46" s="21" t="s">
        <v>93</v>
      </c>
      <c r="E46">
        <v>1538</v>
      </c>
      <c r="I46">
        <v>1538</v>
      </c>
    </row>
    <row r="47" spans="1:9" x14ac:dyDescent="0.2">
      <c r="A47" s="21" t="s">
        <v>94</v>
      </c>
      <c r="F47">
        <v>1746</v>
      </c>
      <c r="I47">
        <v>1746</v>
      </c>
    </row>
    <row r="48" spans="1:9" x14ac:dyDescent="0.2">
      <c r="A48" s="21" t="s">
        <v>95</v>
      </c>
      <c r="G48">
        <v>1472</v>
      </c>
      <c r="I48">
        <v>1472</v>
      </c>
    </row>
    <row r="49" spans="1:9" x14ac:dyDescent="0.2">
      <c r="A49" s="21" t="s">
        <v>96</v>
      </c>
      <c r="H49">
        <v>1589</v>
      </c>
      <c r="I49">
        <v>1589</v>
      </c>
    </row>
    <row r="50" spans="1:9" x14ac:dyDescent="0.2">
      <c r="A50" s="21" t="s">
        <v>97</v>
      </c>
      <c r="B50">
        <v>151</v>
      </c>
      <c r="I50">
        <v>151</v>
      </c>
    </row>
    <row r="51" spans="1:9" x14ac:dyDescent="0.2">
      <c r="A51" s="21" t="s">
        <v>45</v>
      </c>
      <c r="B51">
        <v>8450</v>
      </c>
      <c r="C51">
        <v>8383</v>
      </c>
      <c r="D51">
        <v>8049</v>
      </c>
      <c r="E51">
        <v>8458</v>
      </c>
      <c r="F51">
        <v>9095</v>
      </c>
      <c r="G51">
        <v>7748</v>
      </c>
      <c r="H51">
        <v>8121</v>
      </c>
      <c r="I51">
        <v>58304</v>
      </c>
    </row>
    <row r="60" spans="1:9" x14ac:dyDescent="0.2">
      <c r="A60" s="20" t="s">
        <v>47</v>
      </c>
      <c r="B60" s="20" t="s">
        <v>46</v>
      </c>
    </row>
    <row r="61" spans="1:9" x14ac:dyDescent="0.2">
      <c r="A61" s="20" t="s">
        <v>44</v>
      </c>
      <c r="B61">
        <v>1</v>
      </c>
      <c r="C61">
        <v>2</v>
      </c>
      <c r="D61">
        <v>3</v>
      </c>
      <c r="E61">
        <v>4</v>
      </c>
      <c r="F61" t="s">
        <v>45</v>
      </c>
    </row>
    <row r="62" spans="1:9" x14ac:dyDescent="0.2">
      <c r="A62" s="21" t="s">
        <v>13</v>
      </c>
      <c r="B62">
        <v>4204</v>
      </c>
      <c r="C62">
        <v>3975</v>
      </c>
      <c r="D62">
        <v>271</v>
      </c>
      <c r="F62">
        <v>8450</v>
      </c>
    </row>
    <row r="63" spans="1:9" x14ac:dyDescent="0.2">
      <c r="A63" s="21" t="s">
        <v>14</v>
      </c>
      <c r="B63">
        <v>3593</v>
      </c>
      <c r="C63">
        <v>4315</v>
      </c>
      <c r="D63">
        <v>475</v>
      </c>
      <c r="F63">
        <v>8383</v>
      </c>
    </row>
    <row r="64" spans="1:9" x14ac:dyDescent="0.2">
      <c r="A64" s="21" t="s">
        <v>15</v>
      </c>
      <c r="B64">
        <v>5456</v>
      </c>
      <c r="C64">
        <v>1606</v>
      </c>
      <c r="D64">
        <v>951</v>
      </c>
      <c r="E64">
        <v>36</v>
      </c>
      <c r="F64">
        <v>8049</v>
      </c>
    </row>
    <row r="65" spans="1:6" x14ac:dyDescent="0.2">
      <c r="A65" s="21" t="s">
        <v>16</v>
      </c>
      <c r="B65">
        <v>6638</v>
      </c>
      <c r="C65">
        <v>1794</v>
      </c>
      <c r="D65">
        <v>26</v>
      </c>
      <c r="F65">
        <v>8458</v>
      </c>
    </row>
    <row r="66" spans="1:6" x14ac:dyDescent="0.2">
      <c r="A66" s="21" t="s">
        <v>17</v>
      </c>
      <c r="B66">
        <v>6173</v>
      </c>
      <c r="C66">
        <v>2636</v>
      </c>
      <c r="D66">
        <v>286</v>
      </c>
      <c r="F66">
        <v>9095</v>
      </c>
    </row>
    <row r="67" spans="1:6" x14ac:dyDescent="0.2">
      <c r="A67" s="21" t="s">
        <v>11</v>
      </c>
      <c r="B67">
        <v>4648</v>
      </c>
      <c r="C67">
        <v>2539</v>
      </c>
      <c r="D67">
        <v>561</v>
      </c>
      <c r="F67">
        <v>7748</v>
      </c>
    </row>
    <row r="68" spans="1:6" x14ac:dyDescent="0.2">
      <c r="A68" s="21" t="s">
        <v>12</v>
      </c>
      <c r="B68">
        <v>6661</v>
      </c>
      <c r="C68">
        <v>1241</v>
      </c>
      <c r="D68">
        <v>219</v>
      </c>
      <c r="F68">
        <v>8121</v>
      </c>
    </row>
    <row r="69" spans="1:6" x14ac:dyDescent="0.2">
      <c r="A69" s="21" t="s">
        <v>45</v>
      </c>
      <c r="B69">
        <v>37373</v>
      </c>
      <c r="C69">
        <v>18106</v>
      </c>
      <c r="D69">
        <v>2789</v>
      </c>
      <c r="E69">
        <v>36</v>
      </c>
      <c r="F69">
        <v>58304</v>
      </c>
    </row>
    <row r="78" spans="1:6" x14ac:dyDescent="0.2">
      <c r="A78" s="20" t="s">
        <v>44</v>
      </c>
      <c r="B78" t="s">
        <v>47</v>
      </c>
    </row>
    <row r="79" spans="1:6" x14ac:dyDescent="0.2">
      <c r="A79" s="21">
        <v>0</v>
      </c>
      <c r="B79">
        <v>703</v>
      </c>
    </row>
    <row r="80" spans="1:6" x14ac:dyDescent="0.2">
      <c r="A80" s="21">
        <v>1</v>
      </c>
      <c r="B80">
        <v>460</v>
      </c>
    </row>
    <row r="81" spans="1:2" x14ac:dyDescent="0.2">
      <c r="A81" s="21">
        <v>2</v>
      </c>
      <c r="B81">
        <v>294</v>
      </c>
    </row>
    <row r="82" spans="1:2" x14ac:dyDescent="0.2">
      <c r="A82" s="21">
        <v>3</v>
      </c>
      <c r="B82">
        <v>151</v>
      </c>
    </row>
    <row r="83" spans="1:2" x14ac:dyDescent="0.2">
      <c r="A83" s="21">
        <v>4</v>
      </c>
      <c r="B83">
        <v>69</v>
      </c>
    </row>
    <row r="84" spans="1:2" x14ac:dyDescent="0.2">
      <c r="A84" s="21">
        <v>5</v>
      </c>
      <c r="B84">
        <v>164</v>
      </c>
    </row>
    <row r="85" spans="1:2" x14ac:dyDescent="0.2">
      <c r="A85" s="21">
        <v>6</v>
      </c>
      <c r="B85">
        <v>822</v>
      </c>
    </row>
    <row r="86" spans="1:2" x14ac:dyDescent="0.2">
      <c r="A86" s="21">
        <v>7</v>
      </c>
      <c r="B86">
        <v>2339</v>
      </c>
    </row>
    <row r="87" spans="1:2" x14ac:dyDescent="0.2">
      <c r="A87" s="21">
        <v>8</v>
      </c>
      <c r="B87">
        <v>5388</v>
      </c>
    </row>
    <row r="88" spans="1:2" x14ac:dyDescent="0.2">
      <c r="A88" s="21">
        <v>9</v>
      </c>
      <c r="B88">
        <v>3672</v>
      </c>
    </row>
    <row r="89" spans="1:2" x14ac:dyDescent="0.2">
      <c r="A89" s="21">
        <v>10</v>
      </c>
      <c r="B89">
        <v>2253</v>
      </c>
    </row>
    <row r="90" spans="1:2" x14ac:dyDescent="0.2">
      <c r="A90" s="21">
        <v>11</v>
      </c>
      <c r="B90">
        <v>2494</v>
      </c>
    </row>
    <row r="91" spans="1:2" x14ac:dyDescent="0.2">
      <c r="A91" s="21">
        <v>12</v>
      </c>
      <c r="B91">
        <v>3283</v>
      </c>
    </row>
    <row r="92" spans="1:2" x14ac:dyDescent="0.2">
      <c r="A92" s="21">
        <v>13</v>
      </c>
      <c r="B92">
        <v>3376</v>
      </c>
    </row>
    <row r="93" spans="1:2" x14ac:dyDescent="0.2">
      <c r="A93" s="21">
        <v>14</v>
      </c>
      <c r="B93">
        <v>3200</v>
      </c>
    </row>
    <row r="94" spans="1:2" x14ac:dyDescent="0.2">
      <c r="A94" s="21">
        <v>15</v>
      </c>
      <c r="B94">
        <v>3352</v>
      </c>
    </row>
    <row r="95" spans="1:2" x14ac:dyDescent="0.2">
      <c r="A95" s="21">
        <v>16</v>
      </c>
      <c r="B95">
        <v>3928</v>
      </c>
    </row>
    <row r="96" spans="1:2" x14ac:dyDescent="0.2">
      <c r="A96" s="21">
        <v>17</v>
      </c>
      <c r="B96">
        <v>6169</v>
      </c>
    </row>
    <row r="97" spans="1:9" x14ac:dyDescent="0.2">
      <c r="A97" s="21">
        <v>18</v>
      </c>
      <c r="B97">
        <v>5283</v>
      </c>
    </row>
    <row r="98" spans="1:9" x14ac:dyDescent="0.2">
      <c r="A98" s="21">
        <v>19</v>
      </c>
      <c r="B98">
        <v>3661</v>
      </c>
    </row>
    <row r="99" spans="1:9" x14ac:dyDescent="0.2">
      <c r="A99" s="21">
        <v>20</v>
      </c>
      <c r="B99">
        <v>2656</v>
      </c>
    </row>
    <row r="100" spans="1:9" x14ac:dyDescent="0.2">
      <c r="A100" s="21">
        <v>21</v>
      </c>
      <c r="B100">
        <v>1996</v>
      </c>
    </row>
    <row r="101" spans="1:9" x14ac:dyDescent="0.2">
      <c r="A101" s="21">
        <v>22</v>
      </c>
      <c r="B101">
        <v>1508</v>
      </c>
    </row>
    <row r="102" spans="1:9" x14ac:dyDescent="0.2">
      <c r="A102" s="21">
        <v>23</v>
      </c>
      <c r="B102">
        <v>1083</v>
      </c>
    </row>
    <row r="103" spans="1:9" x14ac:dyDescent="0.2">
      <c r="A103" s="21" t="s">
        <v>45</v>
      </c>
      <c r="B103">
        <v>58304</v>
      </c>
    </row>
    <row r="110" spans="1:9" x14ac:dyDescent="0.2">
      <c r="A110" s="20" t="s">
        <v>47</v>
      </c>
      <c r="B110" s="20" t="s">
        <v>46</v>
      </c>
    </row>
    <row r="111" spans="1:9" x14ac:dyDescent="0.2">
      <c r="A111" s="20" t="s">
        <v>44</v>
      </c>
      <c r="B111" t="s">
        <v>13</v>
      </c>
      <c r="C111" t="s">
        <v>14</v>
      </c>
      <c r="D111" t="s">
        <v>15</v>
      </c>
      <c r="E111" t="s">
        <v>16</v>
      </c>
      <c r="F111" t="s">
        <v>17</v>
      </c>
      <c r="G111" t="s">
        <v>11</v>
      </c>
      <c r="H111" t="s">
        <v>12</v>
      </c>
      <c r="I111" t="s">
        <v>45</v>
      </c>
    </row>
    <row r="112" spans="1:9" x14ac:dyDescent="0.2">
      <c r="A112" s="21">
        <v>0.02</v>
      </c>
      <c r="B112">
        <v>105</v>
      </c>
      <c r="G112">
        <v>40</v>
      </c>
      <c r="H112">
        <v>23</v>
      </c>
      <c r="I112">
        <v>168</v>
      </c>
    </row>
    <row r="113" spans="1:9" x14ac:dyDescent="0.2">
      <c r="A113" s="21">
        <v>0.04</v>
      </c>
      <c r="B113">
        <v>179</v>
      </c>
      <c r="G113">
        <v>169</v>
      </c>
      <c r="H113">
        <v>39</v>
      </c>
      <c r="I113">
        <v>387</v>
      </c>
    </row>
    <row r="114" spans="1:9" x14ac:dyDescent="0.2">
      <c r="A114" s="21">
        <v>0.06</v>
      </c>
      <c r="B114">
        <v>109</v>
      </c>
      <c r="D114">
        <v>151</v>
      </c>
      <c r="F114">
        <v>61</v>
      </c>
      <c r="G114">
        <v>247</v>
      </c>
      <c r="H114">
        <v>40</v>
      </c>
      <c r="I114">
        <v>608</v>
      </c>
    </row>
    <row r="115" spans="1:9" x14ac:dyDescent="0.2">
      <c r="A115" s="21">
        <v>0.08</v>
      </c>
      <c r="D115">
        <v>3</v>
      </c>
      <c r="F115">
        <v>119</v>
      </c>
      <c r="G115">
        <v>197</v>
      </c>
      <c r="H115">
        <v>38</v>
      </c>
      <c r="I115">
        <v>357</v>
      </c>
    </row>
    <row r="116" spans="1:9" x14ac:dyDescent="0.2">
      <c r="A116" s="21">
        <v>0.1</v>
      </c>
      <c r="B116">
        <v>92</v>
      </c>
      <c r="D116">
        <v>223</v>
      </c>
      <c r="E116">
        <v>277</v>
      </c>
      <c r="F116">
        <v>419</v>
      </c>
      <c r="G116">
        <v>97</v>
      </c>
      <c r="H116">
        <v>151</v>
      </c>
      <c r="I116">
        <v>1259</v>
      </c>
    </row>
    <row r="117" spans="1:9" x14ac:dyDescent="0.2">
      <c r="A117" s="21">
        <v>0.12</v>
      </c>
      <c r="B117">
        <v>369</v>
      </c>
      <c r="C117">
        <v>175</v>
      </c>
      <c r="D117">
        <v>139</v>
      </c>
      <c r="E117">
        <v>389</v>
      </c>
      <c r="F117">
        <v>528</v>
      </c>
      <c r="G117">
        <v>380</v>
      </c>
      <c r="H117">
        <v>124</v>
      </c>
      <c r="I117">
        <v>2104</v>
      </c>
    </row>
    <row r="118" spans="1:9" x14ac:dyDescent="0.2">
      <c r="A118" s="21">
        <v>0.14000000000000001</v>
      </c>
      <c r="B118">
        <v>1209</v>
      </c>
      <c r="C118">
        <v>286</v>
      </c>
      <c r="D118">
        <v>435</v>
      </c>
      <c r="E118">
        <v>1100</v>
      </c>
      <c r="F118">
        <v>638</v>
      </c>
      <c r="G118">
        <v>190</v>
      </c>
      <c r="H118">
        <v>477</v>
      </c>
      <c r="I118">
        <v>4335</v>
      </c>
    </row>
    <row r="119" spans="1:9" x14ac:dyDescent="0.2">
      <c r="A119" s="21">
        <v>0.16</v>
      </c>
      <c r="B119">
        <v>2159</v>
      </c>
      <c r="C119">
        <v>1709</v>
      </c>
      <c r="D119">
        <v>459</v>
      </c>
      <c r="E119">
        <v>925</v>
      </c>
      <c r="F119">
        <v>816</v>
      </c>
      <c r="G119">
        <v>347</v>
      </c>
      <c r="H119">
        <v>588</v>
      </c>
      <c r="I119">
        <v>7003</v>
      </c>
    </row>
    <row r="120" spans="1:9" x14ac:dyDescent="0.2">
      <c r="A120" s="21">
        <v>0.18</v>
      </c>
      <c r="B120">
        <v>825</v>
      </c>
      <c r="C120">
        <v>398</v>
      </c>
      <c r="D120">
        <v>552</v>
      </c>
      <c r="E120">
        <v>714</v>
      </c>
      <c r="F120">
        <v>646</v>
      </c>
      <c r="G120">
        <v>555</v>
      </c>
      <c r="H120">
        <v>355</v>
      </c>
      <c r="I120">
        <v>4045</v>
      </c>
    </row>
    <row r="121" spans="1:9" x14ac:dyDescent="0.2">
      <c r="A121" s="21">
        <v>0.2</v>
      </c>
      <c r="B121">
        <v>1117</v>
      </c>
      <c r="C121">
        <v>716</v>
      </c>
      <c r="D121">
        <v>1189</v>
      </c>
      <c r="E121">
        <v>1595</v>
      </c>
      <c r="F121">
        <v>2265</v>
      </c>
      <c r="G121">
        <v>669</v>
      </c>
      <c r="H121">
        <v>375</v>
      </c>
      <c r="I121">
        <v>7926</v>
      </c>
    </row>
    <row r="122" spans="1:9" x14ac:dyDescent="0.2">
      <c r="A122" s="21">
        <v>0.22</v>
      </c>
      <c r="B122">
        <v>199</v>
      </c>
      <c r="C122">
        <v>1724</v>
      </c>
      <c r="D122">
        <v>1301</v>
      </c>
      <c r="E122">
        <v>1409</v>
      </c>
      <c r="F122">
        <v>1062</v>
      </c>
      <c r="G122">
        <v>1032</v>
      </c>
      <c r="H122">
        <v>485</v>
      </c>
      <c r="I122">
        <v>7212</v>
      </c>
    </row>
    <row r="123" spans="1:9" x14ac:dyDescent="0.2">
      <c r="A123" s="21">
        <v>0.24</v>
      </c>
      <c r="B123">
        <v>452</v>
      </c>
      <c r="C123">
        <v>1649</v>
      </c>
      <c r="D123">
        <v>1208</v>
      </c>
      <c r="E123">
        <v>431</v>
      </c>
      <c r="F123">
        <v>1205</v>
      </c>
      <c r="G123">
        <v>534</v>
      </c>
      <c r="H123">
        <v>486</v>
      </c>
      <c r="I123">
        <v>5965</v>
      </c>
    </row>
    <row r="124" spans="1:9" x14ac:dyDescent="0.2">
      <c r="A124" s="21">
        <v>0.26</v>
      </c>
      <c r="B124">
        <v>225</v>
      </c>
      <c r="C124">
        <v>636</v>
      </c>
      <c r="D124">
        <v>172</v>
      </c>
      <c r="E124">
        <v>779</v>
      </c>
      <c r="F124">
        <v>388</v>
      </c>
      <c r="G124">
        <v>251</v>
      </c>
      <c r="H124">
        <v>706</v>
      </c>
      <c r="I124">
        <v>3157</v>
      </c>
    </row>
    <row r="125" spans="1:9" x14ac:dyDescent="0.2">
      <c r="A125" s="21">
        <v>0.28000000000000003</v>
      </c>
      <c r="B125">
        <v>37</v>
      </c>
      <c r="C125">
        <v>292</v>
      </c>
      <c r="D125">
        <v>214</v>
      </c>
      <c r="E125">
        <v>298</v>
      </c>
      <c r="F125">
        <v>355</v>
      </c>
      <c r="G125">
        <v>373</v>
      </c>
      <c r="H125">
        <v>389</v>
      </c>
      <c r="I125">
        <v>1958</v>
      </c>
    </row>
    <row r="126" spans="1:9" x14ac:dyDescent="0.2">
      <c r="A126" s="21">
        <v>0.3</v>
      </c>
      <c r="B126">
        <v>183</v>
      </c>
      <c r="C126">
        <v>598</v>
      </c>
      <c r="D126">
        <v>370</v>
      </c>
      <c r="E126">
        <v>471</v>
      </c>
      <c r="F126">
        <v>519</v>
      </c>
      <c r="G126">
        <v>710</v>
      </c>
      <c r="H126">
        <v>700</v>
      </c>
      <c r="I126">
        <v>3551</v>
      </c>
    </row>
    <row r="127" spans="1:9" x14ac:dyDescent="0.2">
      <c r="A127" s="21">
        <v>0.32</v>
      </c>
      <c r="B127">
        <v>581</v>
      </c>
      <c r="C127">
        <v>200</v>
      </c>
      <c r="D127">
        <v>247</v>
      </c>
      <c r="E127">
        <v>70</v>
      </c>
      <c r="F127">
        <v>74</v>
      </c>
      <c r="G127">
        <v>535</v>
      </c>
      <c r="H127">
        <v>259</v>
      </c>
      <c r="I127">
        <v>1966</v>
      </c>
    </row>
    <row r="128" spans="1:9" x14ac:dyDescent="0.2">
      <c r="A128" s="21">
        <v>0.34</v>
      </c>
      <c r="B128">
        <v>301</v>
      </c>
      <c r="D128">
        <v>418</v>
      </c>
      <c r="G128">
        <v>567</v>
      </c>
      <c r="H128">
        <v>1192</v>
      </c>
      <c r="I128">
        <v>2478</v>
      </c>
    </row>
    <row r="129" spans="1:9" x14ac:dyDescent="0.2">
      <c r="A129" s="21">
        <v>0.36</v>
      </c>
      <c r="B129">
        <v>240</v>
      </c>
      <c r="D129">
        <v>490</v>
      </c>
      <c r="G129">
        <v>56</v>
      </c>
      <c r="H129">
        <v>555</v>
      </c>
      <c r="I129">
        <v>1341</v>
      </c>
    </row>
    <row r="130" spans="1:9" x14ac:dyDescent="0.2">
      <c r="A130" s="21">
        <v>0.38</v>
      </c>
      <c r="B130">
        <v>68</v>
      </c>
      <c r="D130">
        <v>243</v>
      </c>
      <c r="G130">
        <v>36</v>
      </c>
      <c r="H130">
        <v>174</v>
      </c>
      <c r="I130">
        <v>521</v>
      </c>
    </row>
    <row r="131" spans="1:9" x14ac:dyDescent="0.2">
      <c r="A131" s="21">
        <v>0.4</v>
      </c>
      <c r="D131">
        <v>235</v>
      </c>
      <c r="G131">
        <v>98</v>
      </c>
      <c r="H131">
        <v>652</v>
      </c>
      <c r="I131">
        <v>985</v>
      </c>
    </row>
    <row r="132" spans="1:9" x14ac:dyDescent="0.2">
      <c r="A132" s="21">
        <v>0.42</v>
      </c>
      <c r="G132">
        <v>249</v>
      </c>
      <c r="H132">
        <v>270</v>
      </c>
      <c r="I132">
        <v>519</v>
      </c>
    </row>
    <row r="133" spans="1:9" x14ac:dyDescent="0.2">
      <c r="A133" s="21">
        <v>0.44</v>
      </c>
      <c r="G133">
        <v>177</v>
      </c>
      <c r="H133">
        <v>17</v>
      </c>
      <c r="I133">
        <v>194</v>
      </c>
    </row>
    <row r="134" spans="1:9" x14ac:dyDescent="0.2">
      <c r="A134" s="21">
        <v>0.46</v>
      </c>
      <c r="G134">
        <v>239</v>
      </c>
      <c r="H134">
        <v>26</v>
      </c>
      <c r="I134">
        <v>265</v>
      </c>
    </row>
    <row r="135" spans="1:9" x14ac:dyDescent="0.2">
      <c r="A135" s="21" t="s">
        <v>45</v>
      </c>
      <c r="B135">
        <v>8450</v>
      </c>
      <c r="C135">
        <v>8383</v>
      </c>
      <c r="D135">
        <v>8049</v>
      </c>
      <c r="E135">
        <v>8458</v>
      </c>
      <c r="F135">
        <v>9095</v>
      </c>
      <c r="G135">
        <v>7748</v>
      </c>
      <c r="H135">
        <v>8121</v>
      </c>
      <c r="I135">
        <v>58304</v>
      </c>
    </row>
    <row r="143" spans="1:9" x14ac:dyDescent="0.2">
      <c r="A143" s="20" t="s">
        <v>44</v>
      </c>
      <c r="B143" t="s">
        <v>47</v>
      </c>
    </row>
    <row r="144" spans="1:9" x14ac:dyDescent="0.2">
      <c r="A144" s="22">
        <v>40568</v>
      </c>
      <c r="B144">
        <v>1985</v>
      </c>
    </row>
    <row r="145" spans="1:2" x14ac:dyDescent="0.2">
      <c r="A145" s="22">
        <v>40563</v>
      </c>
      <c r="B145">
        <v>1927</v>
      </c>
    </row>
    <row r="146" spans="1:2" x14ac:dyDescent="0.2">
      <c r="A146" s="22">
        <v>40585</v>
      </c>
      <c r="B146">
        <v>1746</v>
      </c>
    </row>
    <row r="147" spans="1:2" x14ac:dyDescent="0.2">
      <c r="A147" s="22">
        <v>40581</v>
      </c>
      <c r="B147">
        <v>1712</v>
      </c>
    </row>
    <row r="148" spans="1:2" hidden="1" x14ac:dyDescent="0.2">
      <c r="A148" s="22">
        <v>40578</v>
      </c>
      <c r="B148">
        <v>1708</v>
      </c>
    </row>
    <row r="149" spans="1:2" hidden="1" x14ac:dyDescent="0.2">
      <c r="A149" s="22" t="s">
        <v>45</v>
      </c>
      <c r="B149">
        <v>9078</v>
      </c>
    </row>
    <row r="150" spans="1:2" hidden="1" x14ac:dyDescent="0.2"/>
    <row r="151" spans="1:2" hidden="1" x14ac:dyDescent="0.2"/>
    <row r="152" spans="1:2" hidden="1" x14ac:dyDescent="0.2"/>
    <row r="153" spans="1:2" hidden="1" x14ac:dyDescent="0.2"/>
    <row r="154" spans="1:2" hidden="1" x14ac:dyDescent="0.2"/>
    <row r="155" spans="1:2" hidden="1" x14ac:dyDescent="0.2"/>
    <row r="156" spans="1:2" hidden="1" x14ac:dyDescent="0.2"/>
    <row r="157" spans="1:2" hidden="1" x14ac:dyDescent="0.2"/>
    <row r="158" spans="1:2" hidden="1" x14ac:dyDescent="0.2"/>
    <row r="159" spans="1:2" hidden="1" x14ac:dyDescent="0.2"/>
    <row r="160" spans="1:2"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97" spans="1:2" x14ac:dyDescent="0.2">
      <c r="A197" s="20" t="s">
        <v>44</v>
      </c>
      <c r="B197" t="s">
        <v>98</v>
      </c>
    </row>
    <row r="198" spans="1:2" x14ac:dyDescent="0.2">
      <c r="A198" s="21" t="s">
        <v>13</v>
      </c>
      <c r="B198">
        <v>534</v>
      </c>
    </row>
    <row r="199" spans="1:2" x14ac:dyDescent="0.2">
      <c r="A199" s="21" t="s">
        <v>14</v>
      </c>
      <c r="B199">
        <v>457</v>
      </c>
    </row>
    <row r="200" spans="1:2" x14ac:dyDescent="0.2">
      <c r="A200" s="21" t="s">
        <v>15</v>
      </c>
      <c r="B200">
        <v>344</v>
      </c>
    </row>
    <row r="201" spans="1:2" x14ac:dyDescent="0.2">
      <c r="A201" s="21" t="s">
        <v>16</v>
      </c>
      <c r="B201">
        <v>332</v>
      </c>
    </row>
    <row r="202" spans="1:2" x14ac:dyDescent="0.2">
      <c r="A202" s="21" t="s">
        <v>17</v>
      </c>
      <c r="B202">
        <v>552</v>
      </c>
    </row>
    <row r="203" spans="1:2" x14ac:dyDescent="0.2">
      <c r="A203" s="21" t="s">
        <v>11</v>
      </c>
      <c r="B203">
        <v>1225</v>
      </c>
    </row>
    <row r="204" spans="1:2" x14ac:dyDescent="0.2">
      <c r="A204" s="21" t="s">
        <v>12</v>
      </c>
      <c r="B204">
        <v>1477</v>
      </c>
    </row>
    <row r="205" spans="1:2" x14ac:dyDescent="0.2">
      <c r="A205" s="21" t="s">
        <v>45</v>
      </c>
      <c r="B205">
        <v>4921</v>
      </c>
    </row>
  </sheetData>
  <autoFilter ref="A143:B189" xr:uid="{162800B6-8E31-4C22-B378-237EC23FB710}">
    <filterColumn colId="1">
      <top10 val="5" filterVal="1712"/>
    </filterColumn>
  </autoFilter>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59B4-5B42-4051-82CA-BF9200E08880}">
  <dimension ref="A1:E58"/>
  <sheetViews>
    <sheetView workbookViewId="0">
      <selection activeCell="G37" sqref="G37"/>
    </sheetView>
  </sheetViews>
  <sheetFormatPr defaultRowHeight="12.75" x14ac:dyDescent="0.2"/>
  <cols>
    <col min="2" max="2" width="14" customWidth="1"/>
    <col min="3" max="3" width="22.85546875" customWidth="1"/>
    <col min="4" max="4" width="38.140625" customWidth="1"/>
    <col min="5" max="5" width="37.85546875" customWidth="1"/>
  </cols>
  <sheetData>
    <row r="1" spans="1:5" x14ac:dyDescent="0.2">
      <c r="A1" t="s">
        <v>27</v>
      </c>
      <c r="B1" t="s">
        <v>23</v>
      </c>
      <c r="C1" t="s">
        <v>79</v>
      </c>
      <c r="D1" t="s">
        <v>80</v>
      </c>
      <c r="E1" t="s">
        <v>81</v>
      </c>
    </row>
    <row r="2" spans="1:5" x14ac:dyDescent="0.2">
      <c r="A2" s="3">
        <v>40544</v>
      </c>
      <c r="B2">
        <v>985</v>
      </c>
    </row>
    <row r="3" spans="1:5" x14ac:dyDescent="0.2">
      <c r="A3" s="3">
        <v>40545</v>
      </c>
      <c r="B3">
        <v>801</v>
      </c>
    </row>
    <row r="4" spans="1:5" x14ac:dyDescent="0.2">
      <c r="A4" s="3">
        <v>40546</v>
      </c>
      <c r="B4">
        <v>1349</v>
      </c>
    </row>
    <row r="5" spans="1:5" x14ac:dyDescent="0.2">
      <c r="A5" s="3">
        <v>40547</v>
      </c>
      <c r="B5">
        <v>1562</v>
      </c>
    </row>
    <row r="6" spans="1:5" x14ac:dyDescent="0.2">
      <c r="A6" s="3">
        <v>40548</v>
      </c>
      <c r="B6">
        <v>1600</v>
      </c>
    </row>
    <row r="7" spans="1:5" x14ac:dyDescent="0.2">
      <c r="A7" s="3">
        <v>40549</v>
      </c>
      <c r="B7">
        <v>1606</v>
      </c>
    </row>
    <row r="8" spans="1:5" x14ac:dyDescent="0.2">
      <c r="A8" s="3">
        <v>40550</v>
      </c>
      <c r="B8">
        <v>1510</v>
      </c>
    </row>
    <row r="9" spans="1:5" x14ac:dyDescent="0.2">
      <c r="A9" s="3">
        <v>40551</v>
      </c>
      <c r="B9">
        <v>959</v>
      </c>
    </row>
    <row r="10" spans="1:5" x14ac:dyDescent="0.2">
      <c r="A10" s="3">
        <v>40552</v>
      </c>
      <c r="B10">
        <v>822</v>
      </c>
    </row>
    <row r="11" spans="1:5" x14ac:dyDescent="0.2">
      <c r="A11" s="3">
        <v>40553</v>
      </c>
      <c r="B11">
        <v>1321</v>
      </c>
    </row>
    <row r="12" spans="1:5" x14ac:dyDescent="0.2">
      <c r="A12" s="3">
        <v>40554</v>
      </c>
      <c r="B12">
        <v>1263</v>
      </c>
    </row>
    <row r="13" spans="1:5" x14ac:dyDescent="0.2">
      <c r="A13" s="3">
        <v>40555</v>
      </c>
      <c r="B13">
        <v>1162</v>
      </c>
    </row>
    <row r="14" spans="1:5" x14ac:dyDescent="0.2">
      <c r="A14" s="3">
        <v>40556</v>
      </c>
      <c r="B14">
        <v>1406</v>
      </c>
    </row>
    <row r="15" spans="1:5" x14ac:dyDescent="0.2">
      <c r="A15" s="3">
        <v>40557</v>
      </c>
      <c r="B15">
        <v>1421</v>
      </c>
    </row>
    <row r="16" spans="1:5" x14ac:dyDescent="0.2">
      <c r="A16" s="3">
        <v>40558</v>
      </c>
      <c r="B16">
        <v>1248</v>
      </c>
    </row>
    <row r="17" spans="1:2" x14ac:dyDescent="0.2">
      <c r="A17" s="3">
        <v>40559</v>
      </c>
      <c r="B17">
        <v>1204</v>
      </c>
    </row>
    <row r="18" spans="1:2" x14ac:dyDescent="0.2">
      <c r="A18" s="3">
        <v>40560</v>
      </c>
      <c r="B18">
        <v>1000</v>
      </c>
    </row>
    <row r="19" spans="1:2" x14ac:dyDescent="0.2">
      <c r="A19" s="3">
        <v>40561</v>
      </c>
      <c r="B19">
        <v>683</v>
      </c>
    </row>
    <row r="20" spans="1:2" x14ac:dyDescent="0.2">
      <c r="A20" s="3">
        <v>40562</v>
      </c>
      <c r="B20">
        <v>1650</v>
      </c>
    </row>
    <row r="21" spans="1:2" x14ac:dyDescent="0.2">
      <c r="A21" s="3">
        <v>40563</v>
      </c>
      <c r="B21">
        <v>1927</v>
      </c>
    </row>
    <row r="22" spans="1:2" x14ac:dyDescent="0.2">
      <c r="A22" s="3">
        <v>40564</v>
      </c>
      <c r="B22">
        <v>1543</v>
      </c>
    </row>
    <row r="23" spans="1:2" x14ac:dyDescent="0.2">
      <c r="A23" s="3">
        <v>40565</v>
      </c>
      <c r="B23">
        <v>981</v>
      </c>
    </row>
    <row r="24" spans="1:2" x14ac:dyDescent="0.2">
      <c r="A24" s="3">
        <v>40566</v>
      </c>
      <c r="B24">
        <v>986</v>
      </c>
    </row>
    <row r="25" spans="1:2" x14ac:dyDescent="0.2">
      <c r="A25" s="3">
        <v>40567</v>
      </c>
      <c r="B25">
        <v>1416</v>
      </c>
    </row>
    <row r="26" spans="1:2" x14ac:dyDescent="0.2">
      <c r="A26" s="3">
        <v>40568</v>
      </c>
      <c r="B26">
        <v>1985</v>
      </c>
    </row>
    <row r="27" spans="1:2" x14ac:dyDescent="0.2">
      <c r="A27" s="3">
        <v>40569</v>
      </c>
      <c r="B27">
        <v>506</v>
      </c>
    </row>
    <row r="28" spans="1:2" x14ac:dyDescent="0.2">
      <c r="A28" s="3">
        <v>40570</v>
      </c>
      <c r="B28">
        <v>431</v>
      </c>
    </row>
    <row r="29" spans="1:2" x14ac:dyDescent="0.2">
      <c r="A29" s="3">
        <v>40571</v>
      </c>
      <c r="B29">
        <v>1167</v>
      </c>
    </row>
    <row r="30" spans="1:2" x14ac:dyDescent="0.2">
      <c r="A30" s="3">
        <v>40572</v>
      </c>
      <c r="B30">
        <v>1098</v>
      </c>
    </row>
    <row r="31" spans="1:2" x14ac:dyDescent="0.2">
      <c r="A31" s="3">
        <v>40573</v>
      </c>
      <c r="B31">
        <v>1096</v>
      </c>
    </row>
    <row r="32" spans="1:2" x14ac:dyDescent="0.2">
      <c r="A32" s="3">
        <v>40574</v>
      </c>
      <c r="B32">
        <v>1501</v>
      </c>
    </row>
    <row r="33" spans="1:5" x14ac:dyDescent="0.2">
      <c r="A33" s="3">
        <v>40575</v>
      </c>
      <c r="B33">
        <v>1360</v>
      </c>
    </row>
    <row r="34" spans="1:5" x14ac:dyDescent="0.2">
      <c r="A34" s="3">
        <v>40576</v>
      </c>
      <c r="B34">
        <v>1526</v>
      </c>
    </row>
    <row r="35" spans="1:5" x14ac:dyDescent="0.2">
      <c r="A35" s="3">
        <v>40577</v>
      </c>
      <c r="B35">
        <v>1550</v>
      </c>
    </row>
    <row r="36" spans="1:5" x14ac:dyDescent="0.2">
      <c r="A36" s="3">
        <v>40578</v>
      </c>
      <c r="B36">
        <v>1708</v>
      </c>
    </row>
    <row r="37" spans="1:5" x14ac:dyDescent="0.2">
      <c r="A37" s="3">
        <v>40579</v>
      </c>
      <c r="B37">
        <v>1005</v>
      </c>
    </row>
    <row r="38" spans="1:5" x14ac:dyDescent="0.2">
      <c r="A38" s="3">
        <v>40580</v>
      </c>
      <c r="B38">
        <v>1623</v>
      </c>
    </row>
    <row r="39" spans="1:5" x14ac:dyDescent="0.2">
      <c r="A39" s="3">
        <v>40581</v>
      </c>
      <c r="B39">
        <v>1712</v>
      </c>
    </row>
    <row r="40" spans="1:5" x14ac:dyDescent="0.2">
      <c r="A40" s="3">
        <v>40582</v>
      </c>
      <c r="B40">
        <v>1530</v>
      </c>
    </row>
    <row r="41" spans="1:5" x14ac:dyDescent="0.2">
      <c r="A41" s="3">
        <v>40583</v>
      </c>
      <c r="B41">
        <v>1605</v>
      </c>
    </row>
    <row r="42" spans="1:5" x14ac:dyDescent="0.2">
      <c r="A42" s="3">
        <v>40584</v>
      </c>
      <c r="B42">
        <v>1538</v>
      </c>
    </row>
    <row r="43" spans="1:5" x14ac:dyDescent="0.2">
      <c r="A43" s="3">
        <v>40585</v>
      </c>
      <c r="B43">
        <v>1746</v>
      </c>
    </row>
    <row r="44" spans="1:5" x14ac:dyDescent="0.2">
      <c r="A44" s="3">
        <v>40586</v>
      </c>
      <c r="B44">
        <v>1472</v>
      </c>
    </row>
    <row r="45" spans="1:5" x14ac:dyDescent="0.2">
      <c r="A45" s="3">
        <v>40587</v>
      </c>
      <c r="B45">
        <v>1589</v>
      </c>
    </row>
    <row r="46" spans="1:5" x14ac:dyDescent="0.2">
      <c r="A46" s="3">
        <v>40588</v>
      </c>
      <c r="B46">
        <v>151</v>
      </c>
      <c r="C46">
        <v>151</v>
      </c>
      <c r="D46" s="23">
        <v>151</v>
      </c>
      <c r="E46" s="23">
        <v>151</v>
      </c>
    </row>
    <row r="47" spans="1:5" x14ac:dyDescent="0.2">
      <c r="A47" s="3">
        <v>40589</v>
      </c>
      <c r="C47">
        <f t="shared" ref="C47:C58" si="0">_xlfn.FORECAST.ETS(A47,$B$2:$B$46,$A$2:$A$46,1,1)</f>
        <v>1387.2167441635288</v>
      </c>
      <c r="D47" s="23">
        <f t="shared" ref="D47:D58" si="1">C47-_xlfn.FORECAST.ETS.CONFINT(A47,$B$2:$B$46,$A$2:$A$46,0.95,1,1)</f>
        <v>585.50542669163815</v>
      </c>
      <c r="E47" s="23">
        <f t="shared" ref="E47:E58" si="2">C47+_xlfn.FORECAST.ETS.CONFINT(A47,$B$2:$B$46,$A$2:$A$46,0.95,1,1)</f>
        <v>2188.9280616354195</v>
      </c>
    </row>
    <row r="48" spans="1:5" x14ac:dyDescent="0.2">
      <c r="A48" s="3">
        <v>40590</v>
      </c>
      <c r="C48">
        <f t="shared" si="0"/>
        <v>1392.5597746183603</v>
      </c>
      <c r="D48" s="23">
        <f t="shared" si="1"/>
        <v>586.76970401902065</v>
      </c>
      <c r="E48" s="23">
        <f t="shared" si="2"/>
        <v>2198.3498452177</v>
      </c>
    </row>
    <row r="49" spans="1:5" x14ac:dyDescent="0.2">
      <c r="A49" s="3">
        <v>40591</v>
      </c>
      <c r="C49">
        <f t="shared" si="0"/>
        <v>1397.902805073192</v>
      </c>
      <c r="D49" s="23">
        <f t="shared" si="1"/>
        <v>587.97397139650093</v>
      </c>
      <c r="E49" s="23">
        <f t="shared" si="2"/>
        <v>2207.831638749883</v>
      </c>
    </row>
    <row r="50" spans="1:5" x14ac:dyDescent="0.2">
      <c r="A50" s="3">
        <v>40592</v>
      </c>
      <c r="C50">
        <f t="shared" si="0"/>
        <v>1403.2458355280237</v>
      </c>
      <c r="D50" s="23">
        <f t="shared" si="1"/>
        <v>589.11835455358994</v>
      </c>
      <c r="E50" s="23">
        <f t="shared" si="2"/>
        <v>2217.3733165024573</v>
      </c>
    </row>
    <row r="51" spans="1:5" x14ac:dyDescent="0.2">
      <c r="A51" s="3">
        <v>40593</v>
      </c>
      <c r="C51">
        <f t="shared" si="0"/>
        <v>1408.5888659828554</v>
      </c>
      <c r="D51" s="23">
        <f t="shared" si="1"/>
        <v>590.2029898038752</v>
      </c>
      <c r="E51" s="23">
        <f t="shared" si="2"/>
        <v>2226.9747421618358</v>
      </c>
    </row>
    <row r="52" spans="1:5" x14ac:dyDescent="0.2">
      <c r="A52" s="3">
        <v>40594</v>
      </c>
      <c r="C52">
        <f t="shared" si="0"/>
        <v>1413.9318964376871</v>
      </c>
      <c r="D52" s="23">
        <f t="shared" si="1"/>
        <v>591.22802367584165</v>
      </c>
      <c r="E52" s="23">
        <f t="shared" si="2"/>
        <v>2236.6357691995327</v>
      </c>
    </row>
    <row r="53" spans="1:5" x14ac:dyDescent="0.2">
      <c r="A53" s="3">
        <v>40595</v>
      </c>
      <c r="C53">
        <f t="shared" si="0"/>
        <v>1419.2749268925186</v>
      </c>
      <c r="D53" s="23">
        <f t="shared" si="1"/>
        <v>592.19361254419198</v>
      </c>
      <c r="E53" s="23">
        <f t="shared" si="2"/>
        <v>2246.3562412408451</v>
      </c>
    </row>
    <row r="54" spans="1:5" x14ac:dyDescent="0.2">
      <c r="A54" s="3">
        <v>40596</v>
      </c>
      <c r="C54">
        <f t="shared" si="0"/>
        <v>1424.6179573473503</v>
      </c>
      <c r="D54" s="23">
        <f t="shared" si="1"/>
        <v>593.09992226226586</v>
      </c>
      <c r="E54" s="23">
        <f t="shared" si="2"/>
        <v>2256.1359924324347</v>
      </c>
    </row>
    <row r="55" spans="1:5" x14ac:dyDescent="0.2">
      <c r="A55" s="3">
        <v>40597</v>
      </c>
      <c r="C55">
        <f t="shared" si="0"/>
        <v>1429.960987802182</v>
      </c>
      <c r="D55" s="23">
        <f t="shared" si="1"/>
        <v>593.94712779612632</v>
      </c>
      <c r="E55" s="23">
        <f t="shared" si="2"/>
        <v>2265.9748478082374</v>
      </c>
    </row>
    <row r="56" spans="1:5" x14ac:dyDescent="0.2">
      <c r="A56" s="3">
        <v>40598</v>
      </c>
      <c r="C56">
        <f t="shared" si="0"/>
        <v>1435.3040182570135</v>
      </c>
      <c r="D56" s="23">
        <f t="shared" si="1"/>
        <v>594.73541286086618</v>
      </c>
      <c r="E56" s="23">
        <f t="shared" si="2"/>
        <v>2275.8726236531606</v>
      </c>
    </row>
    <row r="57" spans="1:5" x14ac:dyDescent="0.2">
      <c r="A57" s="3">
        <v>40599</v>
      </c>
      <c r="C57">
        <f t="shared" si="0"/>
        <v>1440.6470487118452</v>
      </c>
      <c r="D57" s="23">
        <f t="shared" si="1"/>
        <v>595.46496955964824</v>
      </c>
      <c r="E57" s="23">
        <f t="shared" si="2"/>
        <v>2285.8291278640422</v>
      </c>
    </row>
    <row r="58" spans="1:5" x14ac:dyDescent="0.2">
      <c r="A58" s="3">
        <v>40600</v>
      </c>
      <c r="C58">
        <f t="shared" si="0"/>
        <v>1445.9900791666769</v>
      </c>
      <c r="D58" s="23">
        <f t="shared" si="1"/>
        <v>596.13599802596889</v>
      </c>
      <c r="E58" s="23">
        <f t="shared" si="2"/>
        <v>2295.8441603073848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0ACE-89ED-4503-8CA2-AFBC41479752}">
  <dimension ref="A1:U1001"/>
  <sheetViews>
    <sheetView workbookViewId="0">
      <selection activeCell="R13" sqref="R13"/>
    </sheetView>
  </sheetViews>
  <sheetFormatPr defaultRowHeight="12.75" x14ac:dyDescent="0.2"/>
  <cols>
    <col min="1" max="1" width="9.28515625" bestFit="1" customWidth="1"/>
    <col min="2" max="2" width="8.140625" bestFit="1" customWidth="1"/>
    <col min="3" max="3" width="10" bestFit="1" customWidth="1"/>
    <col min="4" max="4" width="7.42578125" bestFit="1" customWidth="1"/>
    <col min="5" max="5" width="8.85546875" bestFit="1" customWidth="1"/>
    <col min="6" max="6" width="5.28515625" bestFit="1" customWidth="1"/>
    <col min="7" max="7" width="10.140625" bestFit="1" customWidth="1"/>
    <col min="8" max="8" width="11.7109375" bestFit="1" customWidth="1"/>
    <col min="9" max="9" width="14" bestFit="1" customWidth="1"/>
    <col min="10" max="10" width="8.42578125" bestFit="1" customWidth="1"/>
    <col min="11" max="11" width="10.7109375" bestFit="1" customWidth="1"/>
    <col min="12" max="12" width="11.28515625" bestFit="1" customWidth="1"/>
    <col min="13" max="13" width="14.42578125" bestFit="1" customWidth="1"/>
    <col min="14" max="14" width="9.42578125" bestFit="1" customWidth="1"/>
    <col min="15" max="15" width="13" bestFit="1" customWidth="1"/>
    <col min="16" max="16" width="14.140625" bestFit="1" customWidth="1"/>
    <col min="18" max="19" width="12.28515625" bestFit="1" customWidth="1"/>
    <col min="20" max="20" width="12" bestFit="1" customWidth="1"/>
    <col min="22" max="22" width="12" bestFit="1" customWidth="1"/>
    <col min="24" max="24" width="12" bestFit="1" customWidth="1"/>
  </cols>
  <sheetData>
    <row r="1" spans="1:21" x14ac:dyDescent="0.2">
      <c r="A1" t="s">
        <v>8</v>
      </c>
      <c r="B1" t="s">
        <v>9</v>
      </c>
      <c r="C1" t="s">
        <v>0</v>
      </c>
      <c r="D1" t="s">
        <v>1</v>
      </c>
      <c r="E1" t="s">
        <v>2</v>
      </c>
      <c r="F1" t="s">
        <v>3</v>
      </c>
      <c r="G1" t="s">
        <v>4</v>
      </c>
      <c r="H1" t="s">
        <v>5</v>
      </c>
      <c r="I1" t="s">
        <v>6</v>
      </c>
      <c r="J1" t="s">
        <v>7</v>
      </c>
      <c r="K1" t="s">
        <v>18</v>
      </c>
      <c r="L1" t="s">
        <v>19</v>
      </c>
      <c r="M1" t="s">
        <v>20</v>
      </c>
      <c r="N1" t="s">
        <v>21</v>
      </c>
      <c r="O1" t="s">
        <v>22</v>
      </c>
      <c r="P1" t="s">
        <v>23</v>
      </c>
      <c r="S1" s="19" t="s">
        <v>30</v>
      </c>
    </row>
    <row r="2" spans="1:21" x14ac:dyDescent="0.2">
      <c r="A2">
        <v>1</v>
      </c>
      <c r="B2" s="3">
        <v>40544</v>
      </c>
      <c r="C2">
        <v>1</v>
      </c>
      <c r="D2">
        <v>2011</v>
      </c>
      <c r="E2" t="s">
        <v>10</v>
      </c>
      <c r="F2">
        <v>0</v>
      </c>
      <c r="G2" t="b">
        <v>0</v>
      </c>
      <c r="H2" t="s">
        <v>11</v>
      </c>
      <c r="I2">
        <v>1</v>
      </c>
      <c r="J2">
        <v>0.24</v>
      </c>
      <c r="K2">
        <v>0.28789999999999999</v>
      </c>
      <c r="L2">
        <v>0.81</v>
      </c>
      <c r="M2">
        <v>0</v>
      </c>
      <c r="N2">
        <v>3</v>
      </c>
      <c r="O2">
        <v>13</v>
      </c>
      <c r="P2">
        <v>16</v>
      </c>
      <c r="S2" t="str">
        <f>IF(Dataset_A[[#This Row],[Hr]]&gt;=19,"Evening Time",IF(Dataset_A[[#This Row],[Hr]]&gt;=9,"Day Time",IF(Dataset_A[[#This Row],[Hr]]&gt;=0,"Night Time","")))</f>
        <v>Night Time</v>
      </c>
    </row>
    <row r="3" spans="1:21" x14ac:dyDescent="0.2">
      <c r="A3">
        <v>2</v>
      </c>
      <c r="B3" s="3">
        <v>40544</v>
      </c>
      <c r="C3">
        <v>1</v>
      </c>
      <c r="D3">
        <v>2011</v>
      </c>
      <c r="E3" t="s">
        <v>10</v>
      </c>
      <c r="F3">
        <v>1</v>
      </c>
      <c r="G3" t="b">
        <v>0</v>
      </c>
      <c r="H3" t="s">
        <v>11</v>
      </c>
      <c r="I3">
        <v>1</v>
      </c>
      <c r="J3">
        <v>0.22</v>
      </c>
      <c r="K3">
        <v>0.2727</v>
      </c>
      <c r="L3">
        <v>0.8</v>
      </c>
      <c r="M3">
        <v>0</v>
      </c>
      <c r="N3">
        <v>8</v>
      </c>
      <c r="O3">
        <v>32</v>
      </c>
      <c r="P3">
        <v>40</v>
      </c>
      <c r="S3" t="str">
        <f>IF(Dataset_A[[#This Row],[Hr]]&gt;=19,"Evening Time",IF(Dataset_A[[#This Row],[Hr]]&gt;=9,"Day Time",IF(Dataset_A[[#This Row],[Hr]]&gt;=0,"Night Time","")))</f>
        <v>Night Time</v>
      </c>
      <c r="T3" s="29" t="s">
        <v>42</v>
      </c>
      <c r="U3" s="29"/>
    </row>
    <row r="4" spans="1:21" x14ac:dyDescent="0.2">
      <c r="A4">
        <v>3</v>
      </c>
      <c r="B4" s="3">
        <v>40544</v>
      </c>
      <c r="C4">
        <v>1</v>
      </c>
      <c r="D4">
        <v>2011</v>
      </c>
      <c r="E4" t="s">
        <v>10</v>
      </c>
      <c r="F4">
        <v>2</v>
      </c>
      <c r="G4" t="b">
        <v>0</v>
      </c>
      <c r="H4" t="s">
        <v>11</v>
      </c>
      <c r="I4">
        <v>1</v>
      </c>
      <c r="J4">
        <v>0.22</v>
      </c>
      <c r="K4">
        <v>0.2727</v>
      </c>
      <c r="L4">
        <v>0.8</v>
      </c>
      <c r="M4">
        <v>0</v>
      </c>
      <c r="N4">
        <v>5</v>
      </c>
      <c r="O4">
        <v>27</v>
      </c>
      <c r="P4">
        <v>32</v>
      </c>
      <c r="S4" t="str">
        <f>IF(Dataset_A[[#This Row],[Hr]]&gt;=19,"Evening Time",IF(Dataset_A[[#This Row],[Hr]]&gt;=9,"Day Time",IF(Dataset_A[[#This Row],[Hr]]&gt;=0,"Night Time","")))</f>
        <v>Night Time</v>
      </c>
      <c r="T4" s="17" t="s">
        <v>39</v>
      </c>
      <c r="U4" s="17" t="s">
        <v>33</v>
      </c>
    </row>
    <row r="5" spans="1:21" x14ac:dyDescent="0.2">
      <c r="A5">
        <v>4</v>
      </c>
      <c r="B5" s="3">
        <v>40544</v>
      </c>
      <c r="C5">
        <v>1</v>
      </c>
      <c r="D5">
        <v>2011</v>
      </c>
      <c r="E5" t="s">
        <v>10</v>
      </c>
      <c r="F5">
        <v>3</v>
      </c>
      <c r="G5" t="b">
        <v>0</v>
      </c>
      <c r="H5" t="s">
        <v>11</v>
      </c>
      <c r="I5">
        <v>1</v>
      </c>
      <c r="J5">
        <v>0.24</v>
      </c>
      <c r="K5">
        <v>0.28789999999999999</v>
      </c>
      <c r="L5">
        <v>0.75</v>
      </c>
      <c r="M5">
        <v>0</v>
      </c>
      <c r="N5">
        <v>3</v>
      </c>
      <c r="O5">
        <v>10</v>
      </c>
      <c r="P5">
        <v>13</v>
      </c>
      <c r="S5" t="str">
        <f>IF(Dataset_A[[#This Row],[Hr]]&gt;=19,"Evening Time",IF(Dataset_A[[#This Row],[Hr]]&gt;=9,"Day Time",IF(Dataset_A[[#This Row],[Hr]]&gt;=0,"Night Time","")))</f>
        <v>Night Time</v>
      </c>
      <c r="T5" s="17" t="s">
        <v>40</v>
      </c>
      <c r="U5" s="17" t="s">
        <v>31</v>
      </c>
    </row>
    <row r="6" spans="1:21" x14ac:dyDescent="0.2">
      <c r="A6">
        <v>5</v>
      </c>
      <c r="B6" s="3">
        <v>40544</v>
      </c>
      <c r="C6">
        <v>1</v>
      </c>
      <c r="D6">
        <v>2011</v>
      </c>
      <c r="E6" t="s">
        <v>10</v>
      </c>
      <c r="F6">
        <v>4</v>
      </c>
      <c r="G6" t="b">
        <v>0</v>
      </c>
      <c r="H6" t="s">
        <v>11</v>
      </c>
      <c r="I6">
        <v>1</v>
      </c>
      <c r="J6">
        <v>0.24</v>
      </c>
      <c r="K6">
        <v>0.28789999999999999</v>
      </c>
      <c r="L6">
        <v>0.75</v>
      </c>
      <c r="M6">
        <v>0</v>
      </c>
      <c r="N6">
        <v>0</v>
      </c>
      <c r="O6">
        <v>1</v>
      </c>
      <c r="P6">
        <v>1</v>
      </c>
      <c r="S6" t="str">
        <f>IF(Dataset_A[[#This Row],[Hr]]&gt;=19,"Evening Time",IF(Dataset_A[[#This Row],[Hr]]&gt;=9,"Day Time",IF(Dataset_A[[#This Row],[Hr]]&gt;=0,"Night Time","")))</f>
        <v>Night Time</v>
      </c>
      <c r="T6" s="18" t="s">
        <v>41</v>
      </c>
      <c r="U6" s="17" t="s">
        <v>32</v>
      </c>
    </row>
    <row r="7" spans="1:21" x14ac:dyDescent="0.2">
      <c r="A7">
        <v>6</v>
      </c>
      <c r="B7" s="3">
        <v>40544</v>
      </c>
      <c r="C7">
        <v>1</v>
      </c>
      <c r="D7">
        <v>2011</v>
      </c>
      <c r="E7" t="s">
        <v>10</v>
      </c>
      <c r="F7">
        <v>5</v>
      </c>
      <c r="G7" t="b">
        <v>0</v>
      </c>
      <c r="H7" t="s">
        <v>11</v>
      </c>
      <c r="I7">
        <v>2</v>
      </c>
      <c r="J7">
        <v>0.24</v>
      </c>
      <c r="K7">
        <v>0.2576</v>
      </c>
      <c r="L7">
        <v>0.75</v>
      </c>
      <c r="M7">
        <v>8.9599999999999999E-2</v>
      </c>
      <c r="N7">
        <v>0</v>
      </c>
      <c r="O7">
        <v>1</v>
      </c>
      <c r="P7">
        <v>1</v>
      </c>
      <c r="S7" t="str">
        <f>IF(Dataset_A[[#This Row],[Hr]]&gt;=19,"Evening Time",IF(Dataset_A[[#This Row],[Hr]]&gt;=9,"Day Time",IF(Dataset_A[[#This Row],[Hr]]&gt;=0,"Night Time","")))</f>
        <v>Night Time</v>
      </c>
    </row>
    <row r="8" spans="1:21" x14ac:dyDescent="0.2">
      <c r="A8">
        <v>7</v>
      </c>
      <c r="B8" s="3">
        <v>40544</v>
      </c>
      <c r="C8">
        <v>1</v>
      </c>
      <c r="D8">
        <v>2011</v>
      </c>
      <c r="E8" t="s">
        <v>10</v>
      </c>
      <c r="F8">
        <v>6</v>
      </c>
      <c r="G8" t="b">
        <v>0</v>
      </c>
      <c r="H8" t="s">
        <v>11</v>
      </c>
      <c r="I8">
        <v>1</v>
      </c>
      <c r="J8">
        <v>0.22</v>
      </c>
      <c r="K8">
        <v>0.2727</v>
      </c>
      <c r="L8">
        <v>0.8</v>
      </c>
      <c r="M8">
        <v>0</v>
      </c>
      <c r="N8">
        <v>2</v>
      </c>
      <c r="O8">
        <v>0</v>
      </c>
      <c r="P8">
        <v>2</v>
      </c>
      <c r="S8" t="str">
        <f>IF(Dataset_A[[#This Row],[Hr]]&gt;=19,"Evening Time",IF(Dataset_A[[#This Row],[Hr]]&gt;=9,"Day Time",IF(Dataset_A[[#This Row],[Hr]]&gt;=0,"Night Time","")))</f>
        <v>Night Time</v>
      </c>
    </row>
    <row r="9" spans="1:21" x14ac:dyDescent="0.2">
      <c r="A9">
        <v>8</v>
      </c>
      <c r="B9" s="3">
        <v>40544</v>
      </c>
      <c r="C9">
        <v>1</v>
      </c>
      <c r="D9">
        <v>2011</v>
      </c>
      <c r="E9" t="s">
        <v>10</v>
      </c>
      <c r="F9">
        <v>7</v>
      </c>
      <c r="G9" t="b">
        <v>0</v>
      </c>
      <c r="H9" t="s">
        <v>11</v>
      </c>
      <c r="I9">
        <v>1</v>
      </c>
      <c r="J9">
        <v>0.2</v>
      </c>
      <c r="K9">
        <v>0.2576</v>
      </c>
      <c r="L9">
        <v>0.86</v>
      </c>
      <c r="M9">
        <v>0</v>
      </c>
      <c r="N9">
        <v>1</v>
      </c>
      <c r="O9">
        <v>2</v>
      </c>
      <c r="P9">
        <v>3</v>
      </c>
      <c r="S9" t="str">
        <f>IF(Dataset_A[[#This Row],[Hr]]&gt;=19,"Evening Time",IF(Dataset_A[[#This Row],[Hr]]&gt;=9,"Day Time",IF(Dataset_A[[#This Row],[Hr]]&gt;=0,"Night Time","")))</f>
        <v>Night Time</v>
      </c>
    </row>
    <row r="10" spans="1:21" x14ac:dyDescent="0.2">
      <c r="A10">
        <v>9</v>
      </c>
      <c r="B10" s="3">
        <v>40544</v>
      </c>
      <c r="C10">
        <v>1</v>
      </c>
      <c r="D10">
        <v>2011</v>
      </c>
      <c r="E10" t="s">
        <v>10</v>
      </c>
      <c r="F10">
        <v>8</v>
      </c>
      <c r="G10" t="b">
        <v>0</v>
      </c>
      <c r="H10" t="s">
        <v>11</v>
      </c>
      <c r="I10">
        <v>1</v>
      </c>
      <c r="J10">
        <v>0.24</v>
      </c>
      <c r="K10">
        <v>0</v>
      </c>
      <c r="L10">
        <v>0.75</v>
      </c>
      <c r="M10">
        <v>0</v>
      </c>
      <c r="N10">
        <v>1</v>
      </c>
      <c r="O10">
        <v>7</v>
      </c>
      <c r="P10">
        <v>8</v>
      </c>
      <c r="S10" t="str">
        <f>IF(Dataset_A[[#This Row],[Hr]]&gt;=19,"Evening Time",IF(Dataset_A[[#This Row],[Hr]]&gt;=9,"Day Time",IF(Dataset_A[[#This Row],[Hr]]&gt;=0,"Night Time","")))</f>
        <v>Night Time</v>
      </c>
    </row>
    <row r="11" spans="1:21" x14ac:dyDescent="0.2">
      <c r="A11">
        <v>10</v>
      </c>
      <c r="B11" s="3">
        <v>40544</v>
      </c>
      <c r="C11">
        <v>1</v>
      </c>
      <c r="D11">
        <v>2011</v>
      </c>
      <c r="E11" t="s">
        <v>10</v>
      </c>
      <c r="F11">
        <v>9</v>
      </c>
      <c r="G11" t="b">
        <v>0</v>
      </c>
      <c r="H11" t="s">
        <v>11</v>
      </c>
      <c r="I11">
        <v>1</v>
      </c>
      <c r="J11">
        <v>0.32</v>
      </c>
      <c r="K11">
        <v>0.34849999999999998</v>
      </c>
      <c r="L11">
        <v>0.76</v>
      </c>
      <c r="M11">
        <v>0</v>
      </c>
      <c r="N11">
        <v>8</v>
      </c>
      <c r="O11">
        <v>6</v>
      </c>
      <c r="P11">
        <v>14</v>
      </c>
      <c r="S11" t="str">
        <f>IF(Dataset_A[[#This Row],[Hr]]&gt;=19,"Evening Time",IF(Dataset_A[[#This Row],[Hr]]&gt;=9,"Day Time",IF(Dataset_A[[#This Row],[Hr]]&gt;=0,"Night Time","")))</f>
        <v>Day Time</v>
      </c>
    </row>
    <row r="12" spans="1:21" x14ac:dyDescent="0.2">
      <c r="A12">
        <v>11</v>
      </c>
      <c r="B12" s="3">
        <v>40544</v>
      </c>
      <c r="C12">
        <v>1</v>
      </c>
      <c r="D12">
        <v>2011</v>
      </c>
      <c r="E12" t="s">
        <v>10</v>
      </c>
      <c r="F12">
        <v>10</v>
      </c>
      <c r="G12" t="b">
        <v>0</v>
      </c>
      <c r="H12" t="s">
        <v>11</v>
      </c>
      <c r="I12">
        <v>1</v>
      </c>
      <c r="J12">
        <v>0.38</v>
      </c>
      <c r="K12">
        <v>0.39389999999999997</v>
      </c>
      <c r="L12">
        <v>0.76</v>
      </c>
      <c r="M12">
        <v>0.25369999999999998</v>
      </c>
      <c r="N12">
        <v>12</v>
      </c>
      <c r="O12">
        <v>24</v>
      </c>
      <c r="P12">
        <v>36</v>
      </c>
      <c r="S12" t="str">
        <f>IF(Dataset_A[[#This Row],[Hr]]&gt;=19,"Evening Time",IF(Dataset_A[[#This Row],[Hr]]&gt;=9,"Day Time",IF(Dataset_A[[#This Row],[Hr]]&gt;=0,"Night Time","")))</f>
        <v>Day Time</v>
      </c>
    </row>
    <row r="13" spans="1:21" x14ac:dyDescent="0.2">
      <c r="A13">
        <v>12</v>
      </c>
      <c r="B13" s="3">
        <v>40544</v>
      </c>
      <c r="C13">
        <v>1</v>
      </c>
      <c r="D13">
        <v>2011</v>
      </c>
      <c r="E13" t="s">
        <v>10</v>
      </c>
      <c r="F13">
        <v>11</v>
      </c>
      <c r="G13" t="b">
        <v>0</v>
      </c>
      <c r="H13" t="s">
        <v>11</v>
      </c>
      <c r="I13">
        <v>1</v>
      </c>
      <c r="J13">
        <v>0.36</v>
      </c>
      <c r="K13">
        <v>0.33329999999999999</v>
      </c>
      <c r="L13">
        <v>0.81</v>
      </c>
      <c r="M13">
        <v>0.28360000000000002</v>
      </c>
      <c r="N13">
        <v>26</v>
      </c>
      <c r="O13">
        <v>30</v>
      </c>
      <c r="P13">
        <v>56</v>
      </c>
      <c r="S13" t="str">
        <f>IF(Dataset_A[[#This Row],[Hr]]&gt;=19,"Evening Time",IF(Dataset_A[[#This Row],[Hr]]&gt;=9,"Day Time",IF(Dataset_A[[#This Row],[Hr]]&gt;=0,"Night Time","")))</f>
        <v>Day Time</v>
      </c>
    </row>
    <row r="14" spans="1:21" x14ac:dyDescent="0.2">
      <c r="A14">
        <v>13</v>
      </c>
      <c r="B14" s="3">
        <v>40544</v>
      </c>
      <c r="C14">
        <v>1</v>
      </c>
      <c r="D14">
        <v>2011</v>
      </c>
      <c r="E14" t="s">
        <v>10</v>
      </c>
      <c r="F14">
        <v>12</v>
      </c>
      <c r="G14" t="b">
        <v>0</v>
      </c>
      <c r="H14" t="s">
        <v>11</v>
      </c>
      <c r="I14">
        <v>1</v>
      </c>
      <c r="J14">
        <v>0.42</v>
      </c>
      <c r="K14">
        <v>0.42420000000000002</v>
      </c>
      <c r="L14">
        <v>0.77</v>
      </c>
      <c r="M14">
        <v>0.28360000000000002</v>
      </c>
      <c r="N14">
        <v>29</v>
      </c>
      <c r="O14">
        <v>55</v>
      </c>
      <c r="P14">
        <v>84</v>
      </c>
      <c r="S14" t="str">
        <f>IF(Dataset_A[[#This Row],[Hr]]&gt;=19,"Evening Time",IF(Dataset_A[[#This Row],[Hr]]&gt;=9,"Day Time",IF(Dataset_A[[#This Row],[Hr]]&gt;=0,"Night Time","")))</f>
        <v>Day Time</v>
      </c>
    </row>
    <row r="15" spans="1:21" x14ac:dyDescent="0.2">
      <c r="A15">
        <v>14</v>
      </c>
      <c r="B15" s="3">
        <v>40544</v>
      </c>
      <c r="C15">
        <v>1</v>
      </c>
      <c r="D15">
        <v>2011</v>
      </c>
      <c r="E15" t="s">
        <v>10</v>
      </c>
      <c r="F15">
        <v>13</v>
      </c>
      <c r="G15" t="b">
        <v>0</v>
      </c>
      <c r="H15" t="s">
        <v>11</v>
      </c>
      <c r="I15">
        <v>2</v>
      </c>
      <c r="J15">
        <v>0.46</v>
      </c>
      <c r="K15">
        <v>0.45450000000000002</v>
      </c>
      <c r="L15">
        <v>0.72</v>
      </c>
      <c r="M15">
        <v>0.29849999999999999</v>
      </c>
      <c r="N15">
        <v>47</v>
      </c>
      <c r="O15">
        <v>47</v>
      </c>
      <c r="P15">
        <v>94</v>
      </c>
      <c r="S15" t="str">
        <f>IF(Dataset_A[[#This Row],[Hr]]&gt;=19,"Evening Time",IF(Dataset_A[[#This Row],[Hr]]&gt;=9,"Day Time",IF(Dataset_A[[#This Row],[Hr]]&gt;=0,"Night Time","")))</f>
        <v>Day Time</v>
      </c>
    </row>
    <row r="16" spans="1:21" x14ac:dyDescent="0.2">
      <c r="A16">
        <v>15</v>
      </c>
      <c r="B16" s="3">
        <v>40544</v>
      </c>
      <c r="C16">
        <v>1</v>
      </c>
      <c r="D16">
        <v>2011</v>
      </c>
      <c r="E16" t="s">
        <v>10</v>
      </c>
      <c r="F16">
        <v>14</v>
      </c>
      <c r="G16" t="b">
        <v>0</v>
      </c>
      <c r="H16" t="s">
        <v>11</v>
      </c>
      <c r="I16">
        <v>2</v>
      </c>
      <c r="J16">
        <v>0.46</v>
      </c>
      <c r="K16">
        <v>0.45450000000000002</v>
      </c>
      <c r="L16">
        <v>0.72</v>
      </c>
      <c r="M16">
        <v>0.28360000000000002</v>
      </c>
      <c r="N16">
        <v>35</v>
      </c>
      <c r="O16">
        <v>71</v>
      </c>
      <c r="P16">
        <v>106</v>
      </c>
      <c r="S16" t="str">
        <f>IF(Dataset_A[[#This Row],[Hr]]&gt;=19,"Evening Time",IF(Dataset_A[[#This Row],[Hr]]&gt;=9,"Day Time",IF(Dataset_A[[#This Row],[Hr]]&gt;=0,"Night Time","")))</f>
        <v>Day Time</v>
      </c>
    </row>
    <row r="17" spans="1:21" x14ac:dyDescent="0.2">
      <c r="A17">
        <v>16</v>
      </c>
      <c r="B17" s="3">
        <v>40544</v>
      </c>
      <c r="C17">
        <v>1</v>
      </c>
      <c r="D17">
        <v>2011</v>
      </c>
      <c r="E17" t="s">
        <v>10</v>
      </c>
      <c r="F17">
        <v>15</v>
      </c>
      <c r="G17" t="b">
        <v>0</v>
      </c>
      <c r="H17" t="s">
        <v>11</v>
      </c>
      <c r="I17">
        <v>2</v>
      </c>
      <c r="J17">
        <v>0.44</v>
      </c>
      <c r="K17">
        <v>0.43940000000000001</v>
      </c>
      <c r="L17">
        <v>0.77</v>
      </c>
      <c r="M17">
        <v>0.29849999999999999</v>
      </c>
      <c r="N17">
        <v>40</v>
      </c>
      <c r="O17">
        <v>70</v>
      </c>
      <c r="P17">
        <v>110</v>
      </c>
      <c r="S17" t="str">
        <f>IF(Dataset_A[[#This Row],[Hr]]&gt;=19,"Evening Time",IF(Dataset_A[[#This Row],[Hr]]&gt;=9,"Day Time",IF(Dataset_A[[#This Row],[Hr]]&gt;=0,"Night Time","")))</f>
        <v>Day Time</v>
      </c>
    </row>
    <row r="18" spans="1:21" x14ac:dyDescent="0.2">
      <c r="A18">
        <v>17</v>
      </c>
      <c r="B18" s="3">
        <v>40544</v>
      </c>
      <c r="C18">
        <v>1</v>
      </c>
      <c r="D18">
        <v>2011</v>
      </c>
      <c r="E18" t="s">
        <v>10</v>
      </c>
      <c r="F18">
        <v>16</v>
      </c>
      <c r="G18" t="b">
        <v>0</v>
      </c>
      <c r="H18" t="s">
        <v>11</v>
      </c>
      <c r="I18">
        <v>2</v>
      </c>
      <c r="J18">
        <v>0.42</v>
      </c>
      <c r="K18">
        <v>0.42420000000000002</v>
      </c>
      <c r="L18">
        <v>0.82</v>
      </c>
      <c r="M18">
        <v>0.29849999999999999</v>
      </c>
      <c r="N18">
        <v>41</v>
      </c>
      <c r="O18">
        <v>52</v>
      </c>
      <c r="P18">
        <v>93</v>
      </c>
      <c r="S18" t="str">
        <f>IF(Dataset_A[[#This Row],[Hr]]&gt;=19,"Evening Time",IF(Dataset_A[[#This Row],[Hr]]&gt;=9,"Day Time",IF(Dataset_A[[#This Row],[Hr]]&gt;=0,"Night Time","")))</f>
        <v>Day Time</v>
      </c>
    </row>
    <row r="19" spans="1:21" x14ac:dyDescent="0.2">
      <c r="A19">
        <v>18</v>
      </c>
      <c r="B19" s="3">
        <v>40544</v>
      </c>
      <c r="C19">
        <v>1</v>
      </c>
      <c r="D19">
        <v>2011</v>
      </c>
      <c r="E19" t="s">
        <v>10</v>
      </c>
      <c r="F19">
        <v>17</v>
      </c>
      <c r="G19" t="b">
        <v>0</v>
      </c>
      <c r="H19" t="s">
        <v>11</v>
      </c>
      <c r="I19">
        <v>2</v>
      </c>
      <c r="J19">
        <v>0.44</v>
      </c>
      <c r="K19">
        <v>0</v>
      </c>
      <c r="L19">
        <v>0.82</v>
      </c>
      <c r="M19">
        <v>0.28360000000000002</v>
      </c>
      <c r="N19">
        <v>15</v>
      </c>
      <c r="O19">
        <v>52</v>
      </c>
      <c r="P19">
        <v>67</v>
      </c>
      <c r="S19" t="str">
        <f>IF(Dataset_A[[#This Row],[Hr]]&gt;=19,"Evening Time",IF(Dataset_A[[#This Row],[Hr]]&gt;=9,"Day Time",IF(Dataset_A[[#This Row],[Hr]]&gt;=0,"Night Time","")))</f>
        <v>Day Time</v>
      </c>
    </row>
    <row r="20" spans="1:21" x14ac:dyDescent="0.2">
      <c r="A20">
        <v>19</v>
      </c>
      <c r="B20" s="3">
        <v>40544</v>
      </c>
      <c r="C20">
        <v>1</v>
      </c>
      <c r="D20">
        <v>2011</v>
      </c>
      <c r="E20" t="s">
        <v>10</v>
      </c>
      <c r="F20">
        <v>18</v>
      </c>
      <c r="G20" t="b">
        <v>0</v>
      </c>
      <c r="H20" t="s">
        <v>11</v>
      </c>
      <c r="I20">
        <v>3</v>
      </c>
      <c r="J20">
        <v>0.42</v>
      </c>
      <c r="K20">
        <v>0.42420000000000002</v>
      </c>
      <c r="L20">
        <v>0.88</v>
      </c>
      <c r="M20">
        <v>0.25369999999999998</v>
      </c>
      <c r="N20">
        <v>9</v>
      </c>
      <c r="O20">
        <v>26</v>
      </c>
      <c r="P20">
        <v>35</v>
      </c>
      <c r="S20" t="str">
        <f>IF(Dataset_A[[#This Row],[Hr]]&gt;=19,"Evening Time",IF(Dataset_A[[#This Row],[Hr]]&gt;=9,"Day Time",IF(Dataset_A[[#This Row],[Hr]]&gt;=0,"Night Time","")))</f>
        <v>Day Time</v>
      </c>
    </row>
    <row r="21" spans="1:21" x14ac:dyDescent="0.2">
      <c r="A21">
        <v>20</v>
      </c>
      <c r="B21" s="3">
        <v>40544</v>
      </c>
      <c r="C21">
        <v>1</v>
      </c>
      <c r="D21">
        <v>2011</v>
      </c>
      <c r="E21" t="s">
        <v>10</v>
      </c>
      <c r="F21">
        <v>19</v>
      </c>
      <c r="G21" t="b">
        <v>0</v>
      </c>
      <c r="H21" t="s">
        <v>11</v>
      </c>
      <c r="I21">
        <v>3</v>
      </c>
      <c r="J21">
        <v>0.42</v>
      </c>
      <c r="K21">
        <v>0.42420000000000002</v>
      </c>
      <c r="L21">
        <v>0.88</v>
      </c>
      <c r="M21">
        <v>0.25369999999999998</v>
      </c>
      <c r="N21">
        <v>6</v>
      </c>
      <c r="O21">
        <v>31</v>
      </c>
      <c r="P21">
        <v>37</v>
      </c>
      <c r="S21" t="str">
        <f>IF(Dataset_A[[#This Row],[Hr]]&gt;=19,"Evening Time",IF(Dataset_A[[#This Row],[Hr]]&gt;=9,"Day Time",IF(Dataset_A[[#This Row],[Hr]]&gt;=0,"Night Time","")))</f>
        <v>Evening Time</v>
      </c>
      <c r="U21" t="s">
        <v>24</v>
      </c>
    </row>
    <row r="22" spans="1:21" x14ac:dyDescent="0.2">
      <c r="A22">
        <v>21</v>
      </c>
      <c r="B22" s="3">
        <v>40544</v>
      </c>
      <c r="C22">
        <v>1</v>
      </c>
      <c r="D22">
        <v>2011</v>
      </c>
      <c r="E22" t="s">
        <v>10</v>
      </c>
      <c r="F22">
        <v>20</v>
      </c>
      <c r="G22" t="b">
        <v>0</v>
      </c>
      <c r="H22" t="s">
        <v>11</v>
      </c>
      <c r="I22">
        <v>2</v>
      </c>
      <c r="J22">
        <v>0.4</v>
      </c>
      <c r="K22">
        <v>0.40910000000000002</v>
      </c>
      <c r="L22">
        <v>0.87</v>
      </c>
      <c r="M22">
        <v>0.25369999999999998</v>
      </c>
      <c r="N22">
        <v>11</v>
      </c>
      <c r="O22">
        <v>25</v>
      </c>
      <c r="P22">
        <v>36</v>
      </c>
      <c r="S22" t="str">
        <f>IF(Dataset_A[[#This Row],[Hr]]&gt;=19,"Evening Time",IF(Dataset_A[[#This Row],[Hr]]&gt;=9,"Day Time",IF(Dataset_A[[#This Row],[Hr]]&gt;=0,"Night Time","")))</f>
        <v>Evening Time</v>
      </c>
    </row>
    <row r="23" spans="1:21" x14ac:dyDescent="0.2">
      <c r="A23">
        <v>22</v>
      </c>
      <c r="B23" s="3">
        <v>40544</v>
      </c>
      <c r="C23">
        <v>1</v>
      </c>
      <c r="D23">
        <v>2011</v>
      </c>
      <c r="E23" t="s">
        <v>10</v>
      </c>
      <c r="F23">
        <v>21</v>
      </c>
      <c r="G23" t="b">
        <v>0</v>
      </c>
      <c r="H23" t="s">
        <v>11</v>
      </c>
      <c r="I23">
        <v>2</v>
      </c>
      <c r="J23">
        <v>0.4</v>
      </c>
      <c r="K23">
        <v>0.40910000000000002</v>
      </c>
      <c r="L23">
        <v>0.87</v>
      </c>
      <c r="M23">
        <v>0.19400000000000001</v>
      </c>
      <c r="N23">
        <v>3</v>
      </c>
      <c r="O23">
        <v>31</v>
      </c>
      <c r="P23">
        <v>34</v>
      </c>
      <c r="S23" t="str">
        <f>IF(Dataset_A[[#This Row],[Hr]]&gt;=19,"Evening Time",IF(Dataset_A[[#This Row],[Hr]]&gt;=9,"Day Time",IF(Dataset_A[[#This Row],[Hr]]&gt;=0,"Night Time","")))</f>
        <v>Evening Time</v>
      </c>
    </row>
    <row r="24" spans="1:21" x14ac:dyDescent="0.2">
      <c r="A24">
        <v>23</v>
      </c>
      <c r="B24" s="3">
        <v>40544</v>
      </c>
      <c r="C24">
        <v>1</v>
      </c>
      <c r="D24">
        <v>2011</v>
      </c>
      <c r="E24" t="s">
        <v>10</v>
      </c>
      <c r="F24">
        <v>22</v>
      </c>
      <c r="G24" t="b">
        <v>0</v>
      </c>
      <c r="H24" t="s">
        <v>11</v>
      </c>
      <c r="I24">
        <v>2</v>
      </c>
      <c r="J24">
        <v>0.4</v>
      </c>
      <c r="K24">
        <v>0.40910000000000002</v>
      </c>
      <c r="L24">
        <v>0.94</v>
      </c>
      <c r="M24">
        <v>0.22389999999999999</v>
      </c>
      <c r="N24">
        <v>11</v>
      </c>
      <c r="O24">
        <v>17</v>
      </c>
      <c r="P24">
        <v>28</v>
      </c>
      <c r="S24" t="str">
        <f>IF(Dataset_A[[#This Row],[Hr]]&gt;=19,"Evening Time",IF(Dataset_A[[#This Row],[Hr]]&gt;=9,"Day Time",IF(Dataset_A[[#This Row],[Hr]]&gt;=0,"Night Time","")))</f>
        <v>Evening Time</v>
      </c>
    </row>
    <row r="25" spans="1:21" x14ac:dyDescent="0.2">
      <c r="A25">
        <v>24</v>
      </c>
      <c r="B25" s="3">
        <v>40544</v>
      </c>
      <c r="C25">
        <v>1</v>
      </c>
      <c r="D25">
        <v>2011</v>
      </c>
      <c r="E25" t="s">
        <v>10</v>
      </c>
      <c r="F25">
        <v>23</v>
      </c>
      <c r="G25" t="b">
        <v>0</v>
      </c>
      <c r="H25" t="s">
        <v>11</v>
      </c>
      <c r="I25">
        <v>2</v>
      </c>
      <c r="J25">
        <v>0.46</v>
      </c>
      <c r="K25">
        <v>0</v>
      </c>
      <c r="L25">
        <v>0.88</v>
      </c>
      <c r="M25">
        <v>0.29849999999999999</v>
      </c>
      <c r="N25">
        <v>15</v>
      </c>
      <c r="O25">
        <v>24</v>
      </c>
      <c r="P25">
        <v>39</v>
      </c>
      <c r="S25" t="str">
        <f>IF(Dataset_A[[#This Row],[Hr]]&gt;=19,"Evening Time",IF(Dataset_A[[#This Row],[Hr]]&gt;=9,"Day Time",IF(Dataset_A[[#This Row],[Hr]]&gt;=0,"Night Time","")))</f>
        <v>Evening Time</v>
      </c>
    </row>
    <row r="26" spans="1:21" x14ac:dyDescent="0.2">
      <c r="A26">
        <v>25</v>
      </c>
      <c r="B26" s="3">
        <v>40545</v>
      </c>
      <c r="C26">
        <v>1</v>
      </c>
      <c r="D26">
        <v>2011</v>
      </c>
      <c r="E26" t="s">
        <v>10</v>
      </c>
      <c r="F26">
        <v>0</v>
      </c>
      <c r="G26" t="b">
        <v>1</v>
      </c>
      <c r="H26" t="s">
        <v>12</v>
      </c>
      <c r="I26">
        <v>2</v>
      </c>
      <c r="J26">
        <v>0.46</v>
      </c>
      <c r="K26">
        <v>0.45450000000000002</v>
      </c>
      <c r="L26">
        <v>0.88</v>
      </c>
      <c r="M26">
        <v>0.29849999999999999</v>
      </c>
      <c r="N26">
        <v>4</v>
      </c>
      <c r="O26">
        <v>13</v>
      </c>
      <c r="P26">
        <v>17</v>
      </c>
      <c r="S26" t="str">
        <f>IF(Dataset_A[[#This Row],[Hr]]&gt;=19,"Evening Time",IF(Dataset_A[[#This Row],[Hr]]&gt;=9,"Day Time",IF(Dataset_A[[#This Row],[Hr]]&gt;=0,"Night Time","")))</f>
        <v>Night Time</v>
      </c>
    </row>
    <row r="27" spans="1:21" x14ac:dyDescent="0.2">
      <c r="A27">
        <v>26</v>
      </c>
      <c r="B27" s="3">
        <v>40545</v>
      </c>
      <c r="C27">
        <v>1</v>
      </c>
      <c r="D27">
        <v>2011</v>
      </c>
      <c r="E27" t="s">
        <v>10</v>
      </c>
      <c r="F27">
        <v>1</v>
      </c>
      <c r="G27" t="b">
        <v>1</v>
      </c>
      <c r="H27" t="s">
        <v>12</v>
      </c>
      <c r="I27">
        <v>2</v>
      </c>
      <c r="J27">
        <v>0.44</v>
      </c>
      <c r="K27">
        <v>0.43940000000000001</v>
      </c>
      <c r="L27">
        <v>0.94</v>
      </c>
      <c r="M27">
        <v>0.25369999999999998</v>
      </c>
      <c r="N27">
        <v>1</v>
      </c>
      <c r="O27">
        <v>16</v>
      </c>
      <c r="P27">
        <v>17</v>
      </c>
      <c r="S27" t="str">
        <f>IF(Dataset_A[[#This Row],[Hr]]&gt;=19,"Evening Time",IF(Dataset_A[[#This Row],[Hr]]&gt;=9,"Day Time",IF(Dataset_A[[#This Row],[Hr]]&gt;=0,"Night Time","")))</f>
        <v>Night Time</v>
      </c>
    </row>
    <row r="28" spans="1:21" x14ac:dyDescent="0.2">
      <c r="A28">
        <v>27</v>
      </c>
      <c r="B28" s="3">
        <v>40545</v>
      </c>
      <c r="C28">
        <v>1</v>
      </c>
      <c r="D28">
        <v>2011</v>
      </c>
      <c r="E28" t="s">
        <v>10</v>
      </c>
      <c r="F28">
        <v>2</v>
      </c>
      <c r="G28" t="b">
        <v>1</v>
      </c>
      <c r="H28" t="s">
        <v>12</v>
      </c>
      <c r="I28">
        <v>2</v>
      </c>
      <c r="J28">
        <v>0.42</v>
      </c>
      <c r="K28">
        <v>0.42420000000000002</v>
      </c>
      <c r="L28">
        <v>1</v>
      </c>
      <c r="M28">
        <v>0.28360000000000002</v>
      </c>
      <c r="N28">
        <v>1</v>
      </c>
      <c r="O28">
        <v>8</v>
      </c>
      <c r="P28">
        <v>9</v>
      </c>
      <c r="S28" t="str">
        <f>IF(Dataset_A[[#This Row],[Hr]]&gt;=19,"Evening Time",IF(Dataset_A[[#This Row],[Hr]]&gt;=9,"Day Time",IF(Dataset_A[[#This Row],[Hr]]&gt;=0,"Night Time","")))</f>
        <v>Night Time</v>
      </c>
    </row>
    <row r="29" spans="1:21" x14ac:dyDescent="0.2">
      <c r="A29">
        <v>28</v>
      </c>
      <c r="B29" s="3">
        <v>40545</v>
      </c>
      <c r="C29">
        <v>1</v>
      </c>
      <c r="D29">
        <v>2011</v>
      </c>
      <c r="E29" t="s">
        <v>10</v>
      </c>
      <c r="F29">
        <v>3</v>
      </c>
      <c r="G29" t="b">
        <v>1</v>
      </c>
      <c r="H29" t="s">
        <v>12</v>
      </c>
      <c r="I29">
        <v>2</v>
      </c>
      <c r="J29">
        <v>0.46</v>
      </c>
      <c r="K29">
        <v>0.45450000000000002</v>
      </c>
      <c r="L29">
        <v>0.94</v>
      </c>
      <c r="M29">
        <v>0.19400000000000001</v>
      </c>
      <c r="N29">
        <v>2</v>
      </c>
      <c r="O29">
        <v>4</v>
      </c>
      <c r="P29">
        <v>6</v>
      </c>
      <c r="S29" t="str">
        <f>IF(Dataset_A[[#This Row],[Hr]]&gt;=19,"Evening Time",IF(Dataset_A[[#This Row],[Hr]]&gt;=9,"Day Time",IF(Dataset_A[[#This Row],[Hr]]&gt;=0,"Night Time","")))</f>
        <v>Night Time</v>
      </c>
    </row>
    <row r="30" spans="1:21" x14ac:dyDescent="0.2">
      <c r="A30">
        <v>29</v>
      </c>
      <c r="B30" s="3">
        <v>40545</v>
      </c>
      <c r="C30">
        <v>1</v>
      </c>
      <c r="D30">
        <v>2011</v>
      </c>
      <c r="E30" t="s">
        <v>10</v>
      </c>
      <c r="F30">
        <v>4</v>
      </c>
      <c r="G30" t="b">
        <v>1</v>
      </c>
      <c r="H30" t="s">
        <v>12</v>
      </c>
      <c r="I30">
        <v>2</v>
      </c>
      <c r="J30">
        <v>0.46</v>
      </c>
      <c r="K30">
        <v>0</v>
      </c>
      <c r="L30">
        <v>0.94</v>
      </c>
      <c r="M30">
        <v>0.19400000000000001</v>
      </c>
      <c r="N30">
        <v>2</v>
      </c>
      <c r="O30">
        <v>1</v>
      </c>
      <c r="P30">
        <v>3</v>
      </c>
      <c r="S30" t="str">
        <f>IF(Dataset_A[[#This Row],[Hr]]&gt;=19,"Evening Time",IF(Dataset_A[[#This Row],[Hr]]&gt;=9,"Day Time",IF(Dataset_A[[#This Row],[Hr]]&gt;=0,"Night Time","")))</f>
        <v>Night Time</v>
      </c>
    </row>
    <row r="31" spans="1:21" x14ac:dyDescent="0.2">
      <c r="A31">
        <v>30</v>
      </c>
      <c r="B31" s="3">
        <v>40545</v>
      </c>
      <c r="C31">
        <v>1</v>
      </c>
      <c r="D31">
        <v>2011</v>
      </c>
      <c r="E31" t="s">
        <v>10</v>
      </c>
      <c r="F31">
        <v>6</v>
      </c>
      <c r="G31" t="b">
        <v>1</v>
      </c>
      <c r="H31" t="s">
        <v>12</v>
      </c>
      <c r="I31">
        <v>3</v>
      </c>
      <c r="J31">
        <v>0.42</v>
      </c>
      <c r="K31">
        <v>0.42420000000000002</v>
      </c>
      <c r="L31">
        <v>0.77</v>
      </c>
      <c r="M31">
        <v>0.29849999999999999</v>
      </c>
      <c r="N31">
        <v>0</v>
      </c>
      <c r="O31">
        <v>2</v>
      </c>
      <c r="P31">
        <v>2</v>
      </c>
      <c r="S31" t="str">
        <f>IF(Dataset_A[[#This Row],[Hr]]&gt;=19,"Evening Time",IF(Dataset_A[[#This Row],[Hr]]&gt;=9,"Day Time",IF(Dataset_A[[#This Row],[Hr]]&gt;=0,"Night Time","")))</f>
        <v>Night Time</v>
      </c>
    </row>
    <row r="32" spans="1:21" x14ac:dyDescent="0.2">
      <c r="A32">
        <v>31</v>
      </c>
      <c r="B32" s="3">
        <v>40545</v>
      </c>
      <c r="C32">
        <v>1</v>
      </c>
      <c r="D32">
        <v>2011</v>
      </c>
      <c r="E32" t="s">
        <v>10</v>
      </c>
      <c r="F32">
        <v>7</v>
      </c>
      <c r="G32" t="b">
        <v>1</v>
      </c>
      <c r="H32" t="s">
        <v>12</v>
      </c>
      <c r="I32">
        <v>2</v>
      </c>
      <c r="J32">
        <v>0.4</v>
      </c>
      <c r="K32">
        <v>0.40910000000000002</v>
      </c>
      <c r="L32">
        <v>0.76</v>
      </c>
      <c r="M32">
        <v>0.19400000000000001</v>
      </c>
      <c r="N32">
        <v>0</v>
      </c>
      <c r="O32">
        <v>1</v>
      </c>
      <c r="P32">
        <v>1</v>
      </c>
      <c r="S32" t="str">
        <f>IF(Dataset_A[[#This Row],[Hr]]&gt;=19,"Evening Time",IF(Dataset_A[[#This Row],[Hr]]&gt;=9,"Day Time",IF(Dataset_A[[#This Row],[Hr]]&gt;=0,"Night Time","")))</f>
        <v>Night Time</v>
      </c>
    </row>
    <row r="33" spans="1:19" x14ac:dyDescent="0.2">
      <c r="A33">
        <v>32</v>
      </c>
      <c r="B33" s="3">
        <v>40545</v>
      </c>
      <c r="C33">
        <v>1</v>
      </c>
      <c r="D33">
        <v>2011</v>
      </c>
      <c r="E33" t="s">
        <v>10</v>
      </c>
      <c r="F33">
        <v>8</v>
      </c>
      <c r="G33" t="b">
        <v>1</v>
      </c>
      <c r="H33" t="s">
        <v>12</v>
      </c>
      <c r="I33">
        <v>3</v>
      </c>
      <c r="J33">
        <v>0.4</v>
      </c>
      <c r="K33">
        <v>0.40910000000000002</v>
      </c>
      <c r="L33">
        <v>0.71</v>
      </c>
      <c r="M33">
        <v>0.22389999999999999</v>
      </c>
      <c r="N33">
        <v>0</v>
      </c>
      <c r="O33">
        <v>8</v>
      </c>
      <c r="P33">
        <v>8</v>
      </c>
      <c r="S33" t="str">
        <f>IF(Dataset_A[[#This Row],[Hr]]&gt;=19,"Evening Time",IF(Dataset_A[[#This Row],[Hr]]&gt;=9,"Day Time",IF(Dataset_A[[#This Row],[Hr]]&gt;=0,"Night Time","")))</f>
        <v>Night Time</v>
      </c>
    </row>
    <row r="34" spans="1:19" x14ac:dyDescent="0.2">
      <c r="A34">
        <v>33</v>
      </c>
      <c r="B34" s="3">
        <v>40545</v>
      </c>
      <c r="C34">
        <v>1</v>
      </c>
      <c r="D34">
        <v>2011</v>
      </c>
      <c r="E34" t="s">
        <v>10</v>
      </c>
      <c r="F34">
        <v>9</v>
      </c>
      <c r="G34" t="b">
        <v>1</v>
      </c>
      <c r="H34" t="s">
        <v>12</v>
      </c>
      <c r="I34">
        <v>2</v>
      </c>
      <c r="J34">
        <v>0.38</v>
      </c>
      <c r="K34">
        <v>0</v>
      </c>
      <c r="L34">
        <v>0.76</v>
      </c>
      <c r="M34">
        <v>0.22389999999999999</v>
      </c>
      <c r="N34">
        <v>1</v>
      </c>
      <c r="O34">
        <v>19</v>
      </c>
      <c r="P34">
        <v>20</v>
      </c>
      <c r="S34" t="str">
        <f>IF(Dataset_A[[#This Row],[Hr]]&gt;=19,"Evening Time",IF(Dataset_A[[#This Row],[Hr]]&gt;=9,"Day Time",IF(Dataset_A[[#This Row],[Hr]]&gt;=0,"Night Time","")))</f>
        <v>Day Time</v>
      </c>
    </row>
    <row r="35" spans="1:19" x14ac:dyDescent="0.2">
      <c r="A35">
        <v>34</v>
      </c>
      <c r="B35" s="3">
        <v>40545</v>
      </c>
      <c r="C35">
        <v>1</v>
      </c>
      <c r="D35">
        <v>2011</v>
      </c>
      <c r="E35" t="s">
        <v>10</v>
      </c>
      <c r="F35">
        <v>10</v>
      </c>
      <c r="G35" t="b">
        <v>1</v>
      </c>
      <c r="H35" t="s">
        <v>12</v>
      </c>
      <c r="I35">
        <v>2</v>
      </c>
      <c r="J35">
        <v>0.36</v>
      </c>
      <c r="K35">
        <v>0.34849999999999998</v>
      </c>
      <c r="L35">
        <v>0.81</v>
      </c>
      <c r="M35">
        <v>0.22389999999999999</v>
      </c>
      <c r="N35">
        <v>7</v>
      </c>
      <c r="O35">
        <v>46</v>
      </c>
      <c r="P35">
        <v>53</v>
      </c>
      <c r="S35" t="str">
        <f>IF(Dataset_A[[#This Row],[Hr]]&gt;=19,"Evening Time",IF(Dataset_A[[#This Row],[Hr]]&gt;=9,"Day Time",IF(Dataset_A[[#This Row],[Hr]]&gt;=0,"Night Time","")))</f>
        <v>Day Time</v>
      </c>
    </row>
    <row r="36" spans="1:19" x14ac:dyDescent="0.2">
      <c r="A36">
        <v>35</v>
      </c>
      <c r="B36" s="3">
        <v>40545</v>
      </c>
      <c r="C36">
        <v>1</v>
      </c>
      <c r="D36">
        <v>2011</v>
      </c>
      <c r="E36" t="s">
        <v>10</v>
      </c>
      <c r="F36">
        <v>11</v>
      </c>
      <c r="G36" t="b">
        <v>1</v>
      </c>
      <c r="H36" t="s">
        <v>12</v>
      </c>
      <c r="I36">
        <v>2</v>
      </c>
      <c r="J36">
        <v>0.36</v>
      </c>
      <c r="K36">
        <v>0.33329999999999999</v>
      </c>
      <c r="L36">
        <v>0.71</v>
      </c>
      <c r="M36">
        <v>0.25369999999999998</v>
      </c>
      <c r="N36">
        <v>16</v>
      </c>
      <c r="O36">
        <v>54</v>
      </c>
      <c r="P36">
        <v>70</v>
      </c>
      <c r="S36" t="str">
        <f>IF(Dataset_A[[#This Row],[Hr]]&gt;=19,"Evening Time",IF(Dataset_A[[#This Row],[Hr]]&gt;=9,"Day Time",IF(Dataset_A[[#This Row],[Hr]]&gt;=0,"Night Time","")))</f>
        <v>Day Time</v>
      </c>
    </row>
    <row r="37" spans="1:19" x14ac:dyDescent="0.2">
      <c r="A37">
        <v>36</v>
      </c>
      <c r="B37" s="3">
        <v>40545</v>
      </c>
      <c r="C37">
        <v>1</v>
      </c>
      <c r="D37">
        <v>2011</v>
      </c>
      <c r="E37" t="s">
        <v>10</v>
      </c>
      <c r="F37">
        <v>12</v>
      </c>
      <c r="G37" t="b">
        <v>1</v>
      </c>
      <c r="H37" t="s">
        <v>12</v>
      </c>
      <c r="I37">
        <v>2</v>
      </c>
      <c r="J37">
        <v>0.36</v>
      </c>
      <c r="K37">
        <v>0.33329999999999999</v>
      </c>
      <c r="L37">
        <v>0.66</v>
      </c>
      <c r="M37">
        <v>0.29849999999999999</v>
      </c>
      <c r="N37">
        <v>20</v>
      </c>
      <c r="O37">
        <v>73</v>
      </c>
      <c r="P37">
        <v>93</v>
      </c>
      <c r="S37" t="str">
        <f>IF(Dataset_A[[#This Row],[Hr]]&gt;=19,"Evening Time",IF(Dataset_A[[#This Row],[Hr]]&gt;=9,"Day Time",IF(Dataset_A[[#This Row],[Hr]]&gt;=0,"Night Time","")))</f>
        <v>Day Time</v>
      </c>
    </row>
    <row r="38" spans="1:19" x14ac:dyDescent="0.2">
      <c r="A38">
        <v>37</v>
      </c>
      <c r="B38" s="3">
        <v>40545</v>
      </c>
      <c r="C38">
        <v>1</v>
      </c>
      <c r="D38">
        <v>2011</v>
      </c>
      <c r="E38" t="s">
        <v>10</v>
      </c>
      <c r="F38">
        <v>13</v>
      </c>
      <c r="G38" t="b">
        <v>1</v>
      </c>
      <c r="H38" t="s">
        <v>12</v>
      </c>
      <c r="I38">
        <v>2</v>
      </c>
      <c r="J38">
        <v>0.36</v>
      </c>
      <c r="K38">
        <v>0.34849999999999998</v>
      </c>
      <c r="L38">
        <v>0.66</v>
      </c>
      <c r="M38">
        <v>0.1343</v>
      </c>
      <c r="N38">
        <v>11</v>
      </c>
      <c r="O38">
        <v>64</v>
      </c>
      <c r="P38">
        <v>75</v>
      </c>
      <c r="S38" t="str">
        <f>IF(Dataset_A[[#This Row],[Hr]]&gt;=19,"Evening Time",IF(Dataset_A[[#This Row],[Hr]]&gt;=9,"Day Time",IF(Dataset_A[[#This Row],[Hr]]&gt;=0,"Night Time","")))</f>
        <v>Day Time</v>
      </c>
    </row>
    <row r="39" spans="1:19" x14ac:dyDescent="0.2">
      <c r="A39">
        <v>38</v>
      </c>
      <c r="B39" s="3">
        <v>40545</v>
      </c>
      <c r="C39">
        <v>1</v>
      </c>
      <c r="D39">
        <v>2011</v>
      </c>
      <c r="E39" t="s">
        <v>10</v>
      </c>
      <c r="F39">
        <v>14</v>
      </c>
      <c r="G39" t="b">
        <v>1</v>
      </c>
      <c r="H39" t="s">
        <v>12</v>
      </c>
      <c r="I39">
        <v>3</v>
      </c>
      <c r="J39">
        <v>0.36</v>
      </c>
      <c r="K39">
        <v>0</v>
      </c>
      <c r="L39">
        <v>0.76</v>
      </c>
      <c r="M39">
        <v>0.19400000000000001</v>
      </c>
      <c r="N39">
        <v>4</v>
      </c>
      <c r="O39">
        <v>55</v>
      </c>
      <c r="P39">
        <v>59</v>
      </c>
      <c r="S39" t="str">
        <f>IF(Dataset_A[[#This Row],[Hr]]&gt;=19,"Evening Time",IF(Dataset_A[[#This Row],[Hr]]&gt;=9,"Day Time",IF(Dataset_A[[#This Row],[Hr]]&gt;=0,"Night Time","")))</f>
        <v>Day Time</v>
      </c>
    </row>
    <row r="40" spans="1:19" x14ac:dyDescent="0.2">
      <c r="A40">
        <v>39</v>
      </c>
      <c r="B40" s="3">
        <v>40545</v>
      </c>
      <c r="C40">
        <v>1</v>
      </c>
      <c r="D40">
        <v>2011</v>
      </c>
      <c r="E40" t="s">
        <v>10</v>
      </c>
      <c r="F40">
        <v>15</v>
      </c>
      <c r="G40" t="b">
        <v>1</v>
      </c>
      <c r="H40" t="s">
        <v>12</v>
      </c>
      <c r="I40">
        <v>3</v>
      </c>
      <c r="J40">
        <v>0.34</v>
      </c>
      <c r="K40">
        <v>0.33329999999999999</v>
      </c>
      <c r="L40">
        <v>0.81</v>
      </c>
      <c r="M40">
        <v>0.16420000000000001</v>
      </c>
      <c r="N40">
        <v>19</v>
      </c>
      <c r="O40">
        <v>55</v>
      </c>
      <c r="P40">
        <v>74</v>
      </c>
      <c r="S40" t="str">
        <f>IF(Dataset_A[[#This Row],[Hr]]&gt;=19,"Evening Time",IF(Dataset_A[[#This Row],[Hr]]&gt;=9,"Day Time",IF(Dataset_A[[#This Row],[Hr]]&gt;=0,"Night Time","")))</f>
        <v>Day Time</v>
      </c>
    </row>
    <row r="41" spans="1:19" x14ac:dyDescent="0.2">
      <c r="A41">
        <v>40</v>
      </c>
      <c r="B41" s="3">
        <v>40545</v>
      </c>
      <c r="C41">
        <v>1</v>
      </c>
      <c r="D41">
        <v>2011</v>
      </c>
      <c r="E41" t="s">
        <v>10</v>
      </c>
      <c r="F41">
        <v>16</v>
      </c>
      <c r="G41" t="b">
        <v>1</v>
      </c>
      <c r="H41" t="s">
        <v>12</v>
      </c>
      <c r="I41">
        <v>3</v>
      </c>
      <c r="J41">
        <v>0.34</v>
      </c>
      <c r="K41">
        <v>0.33329999999999999</v>
      </c>
      <c r="L41">
        <v>0.71</v>
      </c>
      <c r="M41">
        <v>0.16420000000000001</v>
      </c>
      <c r="N41">
        <v>9</v>
      </c>
      <c r="O41">
        <v>67</v>
      </c>
      <c r="P41">
        <v>76</v>
      </c>
      <c r="S41" t="str">
        <f>IF(Dataset_A[[#This Row],[Hr]]&gt;=19,"Evening Time",IF(Dataset_A[[#This Row],[Hr]]&gt;=9,"Day Time",IF(Dataset_A[[#This Row],[Hr]]&gt;=0,"Night Time","")))</f>
        <v>Day Time</v>
      </c>
    </row>
    <row r="42" spans="1:19" x14ac:dyDescent="0.2">
      <c r="A42">
        <v>41</v>
      </c>
      <c r="B42" s="3">
        <v>40545</v>
      </c>
      <c r="C42">
        <v>1</v>
      </c>
      <c r="D42">
        <v>2011</v>
      </c>
      <c r="E42" t="s">
        <v>10</v>
      </c>
      <c r="F42">
        <v>17</v>
      </c>
      <c r="G42" t="b">
        <v>1</v>
      </c>
      <c r="H42" t="s">
        <v>12</v>
      </c>
      <c r="I42">
        <v>1</v>
      </c>
      <c r="J42">
        <v>0.34</v>
      </c>
      <c r="K42">
        <v>0.33329999999999999</v>
      </c>
      <c r="L42">
        <v>0.56999999999999995</v>
      </c>
      <c r="M42">
        <v>0.19400000000000001</v>
      </c>
      <c r="N42">
        <v>7</v>
      </c>
      <c r="O42">
        <v>58</v>
      </c>
      <c r="P42">
        <v>65</v>
      </c>
      <c r="S42" t="str">
        <f>IF(Dataset_A[[#This Row],[Hr]]&gt;=19,"Evening Time",IF(Dataset_A[[#This Row],[Hr]]&gt;=9,"Day Time",IF(Dataset_A[[#This Row],[Hr]]&gt;=0,"Night Time","")))</f>
        <v>Day Time</v>
      </c>
    </row>
    <row r="43" spans="1:19" x14ac:dyDescent="0.2">
      <c r="A43">
        <v>42</v>
      </c>
      <c r="B43" s="3">
        <v>40545</v>
      </c>
      <c r="C43">
        <v>1</v>
      </c>
      <c r="D43">
        <v>2011</v>
      </c>
      <c r="E43" t="s">
        <v>10</v>
      </c>
      <c r="F43">
        <v>18</v>
      </c>
      <c r="G43" t="b">
        <v>1</v>
      </c>
      <c r="H43" t="s">
        <v>12</v>
      </c>
      <c r="I43">
        <v>2</v>
      </c>
      <c r="J43">
        <v>0.36</v>
      </c>
      <c r="K43">
        <v>0.33329999999999999</v>
      </c>
      <c r="L43">
        <v>0.46</v>
      </c>
      <c r="M43">
        <v>0.32840000000000003</v>
      </c>
      <c r="N43">
        <v>10</v>
      </c>
      <c r="O43">
        <v>43</v>
      </c>
      <c r="P43">
        <v>53</v>
      </c>
      <c r="S43" t="str">
        <f>IF(Dataset_A[[#This Row],[Hr]]&gt;=19,"Evening Time",IF(Dataset_A[[#This Row],[Hr]]&gt;=9,"Day Time",IF(Dataset_A[[#This Row],[Hr]]&gt;=0,"Night Time","")))</f>
        <v>Day Time</v>
      </c>
    </row>
    <row r="44" spans="1:19" x14ac:dyDescent="0.2">
      <c r="A44">
        <v>43</v>
      </c>
      <c r="B44" s="3">
        <v>40545</v>
      </c>
      <c r="C44">
        <v>1</v>
      </c>
      <c r="D44">
        <v>2011</v>
      </c>
      <c r="E44" t="s">
        <v>10</v>
      </c>
      <c r="F44">
        <v>19</v>
      </c>
      <c r="G44" t="b">
        <v>1</v>
      </c>
      <c r="H44" t="s">
        <v>12</v>
      </c>
      <c r="I44">
        <v>1</v>
      </c>
      <c r="J44">
        <v>0.32</v>
      </c>
      <c r="K44">
        <v>0.28789999999999999</v>
      </c>
      <c r="L44">
        <v>0.42</v>
      </c>
      <c r="M44">
        <v>0.44779999999999998</v>
      </c>
      <c r="N44">
        <v>1</v>
      </c>
      <c r="O44">
        <v>29</v>
      </c>
      <c r="P44">
        <v>30</v>
      </c>
      <c r="S44" t="str">
        <f>IF(Dataset_A[[#This Row],[Hr]]&gt;=19,"Evening Time",IF(Dataset_A[[#This Row],[Hr]]&gt;=9,"Day Time",IF(Dataset_A[[#This Row],[Hr]]&gt;=0,"Night Time","")))</f>
        <v>Evening Time</v>
      </c>
    </row>
    <row r="45" spans="1:19" x14ac:dyDescent="0.2">
      <c r="A45">
        <v>44</v>
      </c>
      <c r="B45" s="3">
        <v>40545</v>
      </c>
      <c r="C45">
        <v>1</v>
      </c>
      <c r="D45">
        <v>2011</v>
      </c>
      <c r="E45" t="s">
        <v>10</v>
      </c>
      <c r="F45">
        <v>20</v>
      </c>
      <c r="G45" t="b">
        <v>1</v>
      </c>
      <c r="H45" t="s">
        <v>12</v>
      </c>
      <c r="I45">
        <v>1</v>
      </c>
      <c r="J45">
        <v>0.3</v>
      </c>
      <c r="K45">
        <v>0</v>
      </c>
      <c r="L45">
        <v>0.39</v>
      </c>
      <c r="M45">
        <v>0.35820000000000002</v>
      </c>
      <c r="N45">
        <v>5</v>
      </c>
      <c r="O45">
        <v>17</v>
      </c>
      <c r="P45">
        <v>22</v>
      </c>
      <c r="S45" t="str">
        <f>IF(Dataset_A[[#This Row],[Hr]]&gt;=19,"Evening Time",IF(Dataset_A[[#This Row],[Hr]]&gt;=9,"Day Time",IF(Dataset_A[[#This Row],[Hr]]&gt;=0,"Night Time","")))</f>
        <v>Evening Time</v>
      </c>
    </row>
    <row r="46" spans="1:19" x14ac:dyDescent="0.2">
      <c r="A46">
        <v>45</v>
      </c>
      <c r="B46" s="3">
        <v>40545</v>
      </c>
      <c r="C46">
        <v>1</v>
      </c>
      <c r="D46">
        <v>2011</v>
      </c>
      <c r="E46" t="s">
        <v>10</v>
      </c>
      <c r="F46">
        <v>21</v>
      </c>
      <c r="G46" t="b">
        <v>1</v>
      </c>
      <c r="H46" t="s">
        <v>12</v>
      </c>
      <c r="I46">
        <v>1</v>
      </c>
      <c r="J46">
        <v>0.26</v>
      </c>
      <c r="K46">
        <v>0.2273</v>
      </c>
      <c r="L46">
        <v>0.44</v>
      </c>
      <c r="M46">
        <v>0.32840000000000003</v>
      </c>
      <c r="N46">
        <v>11</v>
      </c>
      <c r="O46">
        <v>20</v>
      </c>
      <c r="P46">
        <v>31</v>
      </c>
      <c r="S46" t="str">
        <f>IF(Dataset_A[[#This Row],[Hr]]&gt;=19,"Evening Time",IF(Dataset_A[[#This Row],[Hr]]&gt;=9,"Day Time",IF(Dataset_A[[#This Row],[Hr]]&gt;=0,"Night Time","")))</f>
        <v>Evening Time</v>
      </c>
    </row>
    <row r="47" spans="1:19" x14ac:dyDescent="0.2">
      <c r="A47">
        <v>46</v>
      </c>
      <c r="B47" s="3">
        <v>40545</v>
      </c>
      <c r="C47">
        <v>1</v>
      </c>
      <c r="D47">
        <v>2011</v>
      </c>
      <c r="E47" t="s">
        <v>10</v>
      </c>
      <c r="F47">
        <v>22</v>
      </c>
      <c r="G47" t="b">
        <v>1</v>
      </c>
      <c r="H47" t="s">
        <v>12</v>
      </c>
      <c r="I47">
        <v>1</v>
      </c>
      <c r="J47">
        <v>0.24</v>
      </c>
      <c r="K47">
        <v>0.21210000000000001</v>
      </c>
      <c r="L47">
        <v>0.44</v>
      </c>
      <c r="M47">
        <v>0.29849999999999999</v>
      </c>
      <c r="N47">
        <v>0</v>
      </c>
      <c r="O47">
        <v>9</v>
      </c>
      <c r="P47">
        <v>9</v>
      </c>
      <c r="S47" t="str">
        <f>IF(Dataset_A[[#This Row],[Hr]]&gt;=19,"Evening Time",IF(Dataset_A[[#This Row],[Hr]]&gt;=9,"Day Time",IF(Dataset_A[[#This Row],[Hr]]&gt;=0,"Night Time","")))</f>
        <v>Evening Time</v>
      </c>
    </row>
    <row r="48" spans="1:19" x14ac:dyDescent="0.2">
      <c r="A48">
        <v>47</v>
      </c>
      <c r="B48" s="3">
        <v>40545</v>
      </c>
      <c r="C48">
        <v>1</v>
      </c>
      <c r="D48">
        <v>2011</v>
      </c>
      <c r="E48" t="s">
        <v>10</v>
      </c>
      <c r="F48">
        <v>23</v>
      </c>
      <c r="G48" t="b">
        <v>1</v>
      </c>
      <c r="H48" t="s">
        <v>12</v>
      </c>
      <c r="I48">
        <v>1</v>
      </c>
      <c r="J48">
        <v>0.22</v>
      </c>
      <c r="K48">
        <v>0.2273</v>
      </c>
      <c r="L48">
        <v>0.47</v>
      </c>
      <c r="M48">
        <v>0.16420000000000001</v>
      </c>
      <c r="N48">
        <v>0</v>
      </c>
      <c r="O48">
        <v>8</v>
      </c>
      <c r="P48">
        <v>8</v>
      </c>
      <c r="S48" t="str">
        <f>IF(Dataset_A[[#This Row],[Hr]]&gt;=19,"Evening Time",IF(Dataset_A[[#This Row],[Hr]]&gt;=9,"Day Time",IF(Dataset_A[[#This Row],[Hr]]&gt;=0,"Night Time","")))</f>
        <v>Evening Time</v>
      </c>
    </row>
    <row r="49" spans="1:19" x14ac:dyDescent="0.2">
      <c r="A49">
        <v>48</v>
      </c>
      <c r="B49" s="3">
        <v>40546</v>
      </c>
      <c r="C49">
        <v>1</v>
      </c>
      <c r="D49">
        <v>2011</v>
      </c>
      <c r="E49" t="s">
        <v>10</v>
      </c>
      <c r="F49">
        <v>0</v>
      </c>
      <c r="G49" t="b">
        <v>0</v>
      </c>
      <c r="H49" t="s">
        <v>13</v>
      </c>
      <c r="I49">
        <v>1</v>
      </c>
      <c r="J49">
        <v>0.22</v>
      </c>
      <c r="K49">
        <v>0.19700000000000001</v>
      </c>
      <c r="L49">
        <v>0.44</v>
      </c>
      <c r="M49">
        <v>0.35820000000000002</v>
      </c>
      <c r="N49">
        <v>0</v>
      </c>
      <c r="O49">
        <v>5</v>
      </c>
      <c r="P49">
        <v>5</v>
      </c>
      <c r="S49" t="str">
        <f>IF(Dataset_A[[#This Row],[Hr]]&gt;=19,"Evening Time",IF(Dataset_A[[#This Row],[Hr]]&gt;=9,"Day Time",IF(Dataset_A[[#This Row],[Hr]]&gt;=0,"Night Time","")))</f>
        <v>Night Time</v>
      </c>
    </row>
    <row r="50" spans="1:19" x14ac:dyDescent="0.2">
      <c r="A50">
        <v>49</v>
      </c>
      <c r="B50" s="3">
        <v>40546</v>
      </c>
      <c r="C50">
        <v>1</v>
      </c>
      <c r="D50">
        <v>2011</v>
      </c>
      <c r="E50" t="s">
        <v>10</v>
      </c>
      <c r="F50">
        <v>1</v>
      </c>
      <c r="G50" t="b">
        <v>0</v>
      </c>
      <c r="H50" t="s">
        <v>13</v>
      </c>
      <c r="I50">
        <v>1</v>
      </c>
      <c r="J50">
        <v>0.2</v>
      </c>
      <c r="K50">
        <v>0</v>
      </c>
      <c r="L50">
        <v>0.44</v>
      </c>
      <c r="M50">
        <v>0.41789999999999999</v>
      </c>
      <c r="N50">
        <v>0</v>
      </c>
      <c r="O50">
        <v>2</v>
      </c>
      <c r="P50">
        <v>2</v>
      </c>
      <c r="S50" t="str">
        <f>IF(Dataset_A[[#This Row],[Hr]]&gt;=19,"Evening Time",IF(Dataset_A[[#This Row],[Hr]]&gt;=9,"Day Time",IF(Dataset_A[[#This Row],[Hr]]&gt;=0,"Night Time","")))</f>
        <v>Night Time</v>
      </c>
    </row>
    <row r="51" spans="1:19" x14ac:dyDescent="0.2">
      <c r="A51">
        <v>50</v>
      </c>
      <c r="B51" s="3">
        <v>40546</v>
      </c>
      <c r="C51">
        <v>1</v>
      </c>
      <c r="D51">
        <v>2011</v>
      </c>
      <c r="E51" t="s">
        <v>10</v>
      </c>
      <c r="F51">
        <v>4</v>
      </c>
      <c r="G51" t="b">
        <v>0</v>
      </c>
      <c r="H51" t="s">
        <v>13</v>
      </c>
      <c r="I51">
        <v>1</v>
      </c>
      <c r="J51">
        <v>0.16</v>
      </c>
      <c r="K51">
        <v>0.13639999999999999</v>
      </c>
      <c r="L51">
        <v>0.47</v>
      </c>
      <c r="M51">
        <v>0.3881</v>
      </c>
      <c r="N51">
        <v>0</v>
      </c>
      <c r="O51">
        <v>1</v>
      </c>
      <c r="P51">
        <v>1</v>
      </c>
      <c r="S51" t="str">
        <f>IF(Dataset_A[[#This Row],[Hr]]&gt;=19,"Evening Time",IF(Dataset_A[[#This Row],[Hr]]&gt;=9,"Day Time",IF(Dataset_A[[#This Row],[Hr]]&gt;=0,"Night Time","")))</f>
        <v>Night Time</v>
      </c>
    </row>
    <row r="52" spans="1:19" x14ac:dyDescent="0.2">
      <c r="A52">
        <v>51</v>
      </c>
      <c r="B52" s="3">
        <v>40546</v>
      </c>
      <c r="C52">
        <v>1</v>
      </c>
      <c r="D52">
        <v>2011</v>
      </c>
      <c r="E52" t="s">
        <v>10</v>
      </c>
      <c r="F52">
        <v>5</v>
      </c>
      <c r="G52" t="b">
        <v>0</v>
      </c>
      <c r="H52" t="s">
        <v>13</v>
      </c>
      <c r="I52">
        <v>1</v>
      </c>
      <c r="J52">
        <v>0.16</v>
      </c>
      <c r="K52">
        <v>0.13639999999999999</v>
      </c>
      <c r="L52">
        <v>0.47</v>
      </c>
      <c r="M52">
        <v>0.28360000000000002</v>
      </c>
      <c r="N52">
        <v>0</v>
      </c>
      <c r="O52">
        <v>3</v>
      </c>
      <c r="P52">
        <v>3</v>
      </c>
      <c r="S52" t="str">
        <f>IF(Dataset_A[[#This Row],[Hr]]&gt;=19,"Evening Time",IF(Dataset_A[[#This Row],[Hr]]&gt;=9,"Day Time",IF(Dataset_A[[#This Row],[Hr]]&gt;=0,"Night Time","")))</f>
        <v>Night Time</v>
      </c>
    </row>
    <row r="53" spans="1:19" x14ac:dyDescent="0.2">
      <c r="A53">
        <v>52</v>
      </c>
      <c r="B53" s="3">
        <v>40546</v>
      </c>
      <c r="C53">
        <v>1</v>
      </c>
      <c r="D53">
        <v>2011</v>
      </c>
      <c r="E53" t="s">
        <v>10</v>
      </c>
      <c r="F53">
        <v>6</v>
      </c>
      <c r="G53" t="b">
        <v>0</v>
      </c>
      <c r="H53" t="s">
        <v>13</v>
      </c>
      <c r="I53">
        <v>1</v>
      </c>
      <c r="J53">
        <v>0.14000000000000001</v>
      </c>
      <c r="K53">
        <v>0.1061</v>
      </c>
      <c r="L53">
        <v>0.5</v>
      </c>
      <c r="M53">
        <v>0.3881</v>
      </c>
      <c r="N53">
        <v>0</v>
      </c>
      <c r="O53">
        <v>30</v>
      </c>
      <c r="P53">
        <v>30</v>
      </c>
      <c r="S53" t="str">
        <f>IF(Dataset_A[[#This Row],[Hr]]&gt;=19,"Evening Time",IF(Dataset_A[[#This Row],[Hr]]&gt;=9,"Day Time",IF(Dataset_A[[#This Row],[Hr]]&gt;=0,"Night Time","")))</f>
        <v>Night Time</v>
      </c>
    </row>
    <row r="54" spans="1:19" x14ac:dyDescent="0.2">
      <c r="A54">
        <v>53</v>
      </c>
      <c r="B54" s="3">
        <v>40546</v>
      </c>
      <c r="C54">
        <v>1</v>
      </c>
      <c r="D54">
        <v>2011</v>
      </c>
      <c r="E54" t="s">
        <v>10</v>
      </c>
      <c r="F54">
        <v>7</v>
      </c>
      <c r="G54" t="b">
        <v>0</v>
      </c>
      <c r="H54" t="s">
        <v>13</v>
      </c>
      <c r="I54">
        <v>1</v>
      </c>
      <c r="J54">
        <v>0.14000000000000001</v>
      </c>
      <c r="K54">
        <v>0.13639999999999999</v>
      </c>
      <c r="L54">
        <v>0.5</v>
      </c>
      <c r="M54">
        <v>0.19400000000000001</v>
      </c>
      <c r="N54">
        <v>1</v>
      </c>
      <c r="O54">
        <v>63</v>
      </c>
      <c r="P54">
        <v>64</v>
      </c>
      <c r="S54" t="str">
        <f>IF(Dataset_A[[#This Row],[Hr]]&gt;=19,"Evening Time",IF(Dataset_A[[#This Row],[Hr]]&gt;=9,"Day Time",IF(Dataset_A[[#This Row],[Hr]]&gt;=0,"Night Time","")))</f>
        <v>Night Time</v>
      </c>
    </row>
    <row r="55" spans="1:19" x14ac:dyDescent="0.2">
      <c r="A55">
        <v>54</v>
      </c>
      <c r="B55" s="3">
        <v>40546</v>
      </c>
      <c r="C55">
        <v>1</v>
      </c>
      <c r="D55">
        <v>2011</v>
      </c>
      <c r="E55" t="s">
        <v>10</v>
      </c>
      <c r="F55">
        <v>8</v>
      </c>
      <c r="G55" t="b">
        <v>0</v>
      </c>
      <c r="H55" t="s">
        <v>13</v>
      </c>
      <c r="I55">
        <v>1</v>
      </c>
      <c r="J55">
        <v>0.14000000000000001</v>
      </c>
      <c r="K55">
        <v>0.1212</v>
      </c>
      <c r="L55">
        <v>0.5</v>
      </c>
      <c r="M55">
        <v>0.28360000000000002</v>
      </c>
      <c r="N55">
        <v>1</v>
      </c>
      <c r="O55">
        <v>153</v>
      </c>
      <c r="P55">
        <v>154</v>
      </c>
      <c r="S55" t="str">
        <f>IF(Dataset_A[[#This Row],[Hr]]&gt;=19,"Evening Time",IF(Dataset_A[[#This Row],[Hr]]&gt;=9,"Day Time",IF(Dataset_A[[#This Row],[Hr]]&gt;=0,"Night Time","")))</f>
        <v>Night Time</v>
      </c>
    </row>
    <row r="56" spans="1:19" x14ac:dyDescent="0.2">
      <c r="A56">
        <v>55</v>
      </c>
      <c r="B56" s="3">
        <v>40546</v>
      </c>
      <c r="C56">
        <v>1</v>
      </c>
      <c r="D56">
        <v>2011</v>
      </c>
      <c r="E56" t="s">
        <v>10</v>
      </c>
      <c r="F56">
        <v>9</v>
      </c>
      <c r="G56" t="b">
        <v>0</v>
      </c>
      <c r="H56" t="s">
        <v>13</v>
      </c>
      <c r="I56">
        <v>1</v>
      </c>
      <c r="J56">
        <v>0.16</v>
      </c>
      <c r="K56">
        <v>0.13639999999999999</v>
      </c>
      <c r="L56">
        <v>0.43</v>
      </c>
      <c r="M56">
        <v>0.3881</v>
      </c>
      <c r="N56">
        <v>7</v>
      </c>
      <c r="O56">
        <v>81</v>
      </c>
      <c r="P56">
        <v>88</v>
      </c>
      <c r="S56" t="str">
        <f>IF(Dataset_A[[#This Row],[Hr]]&gt;=19,"Evening Time",IF(Dataset_A[[#This Row],[Hr]]&gt;=9,"Day Time",IF(Dataset_A[[#This Row],[Hr]]&gt;=0,"Night Time","")))</f>
        <v>Day Time</v>
      </c>
    </row>
    <row r="57" spans="1:19" x14ac:dyDescent="0.2">
      <c r="A57">
        <v>56</v>
      </c>
      <c r="B57" s="3">
        <v>40546</v>
      </c>
      <c r="C57">
        <v>1</v>
      </c>
      <c r="D57">
        <v>2011</v>
      </c>
      <c r="E57" t="s">
        <v>10</v>
      </c>
      <c r="F57">
        <v>10</v>
      </c>
      <c r="G57" t="b">
        <v>0</v>
      </c>
      <c r="H57" t="s">
        <v>13</v>
      </c>
      <c r="I57">
        <v>1</v>
      </c>
      <c r="J57">
        <v>0.18</v>
      </c>
      <c r="K57">
        <v>0.16669999999999999</v>
      </c>
      <c r="L57">
        <v>0.43</v>
      </c>
      <c r="M57">
        <v>0.25369999999999998</v>
      </c>
      <c r="N57">
        <v>11</v>
      </c>
      <c r="O57">
        <v>33</v>
      </c>
      <c r="P57">
        <v>44</v>
      </c>
      <c r="S57" t="str">
        <f>IF(Dataset_A[[#This Row],[Hr]]&gt;=19,"Evening Time",IF(Dataset_A[[#This Row],[Hr]]&gt;=9,"Day Time",IF(Dataset_A[[#This Row],[Hr]]&gt;=0,"Night Time","")))</f>
        <v>Day Time</v>
      </c>
    </row>
    <row r="58" spans="1:19" x14ac:dyDescent="0.2">
      <c r="A58">
        <v>57</v>
      </c>
      <c r="B58" s="3">
        <v>40546</v>
      </c>
      <c r="C58">
        <v>1</v>
      </c>
      <c r="D58">
        <v>2011</v>
      </c>
      <c r="E58" t="s">
        <v>10</v>
      </c>
      <c r="F58">
        <v>11</v>
      </c>
      <c r="G58" t="b">
        <v>0</v>
      </c>
      <c r="H58" t="s">
        <v>13</v>
      </c>
      <c r="I58">
        <v>1</v>
      </c>
      <c r="J58">
        <v>0.2</v>
      </c>
      <c r="K58">
        <v>0.18179999999999999</v>
      </c>
      <c r="L58">
        <v>0.4</v>
      </c>
      <c r="M58">
        <v>0.32840000000000003</v>
      </c>
      <c r="N58">
        <v>10</v>
      </c>
      <c r="O58">
        <v>41</v>
      </c>
      <c r="P58">
        <v>51</v>
      </c>
      <c r="S58" t="str">
        <f>IF(Dataset_A[[#This Row],[Hr]]&gt;=19,"Evening Time",IF(Dataset_A[[#This Row],[Hr]]&gt;=9,"Day Time",IF(Dataset_A[[#This Row],[Hr]]&gt;=0,"Night Time","")))</f>
        <v>Day Time</v>
      </c>
    </row>
    <row r="59" spans="1:19" x14ac:dyDescent="0.2">
      <c r="A59">
        <v>58</v>
      </c>
      <c r="B59" s="3">
        <v>40546</v>
      </c>
      <c r="C59">
        <v>1</v>
      </c>
      <c r="D59">
        <v>2011</v>
      </c>
      <c r="E59" t="s">
        <v>10</v>
      </c>
      <c r="F59">
        <v>12</v>
      </c>
      <c r="G59" t="b">
        <v>0</v>
      </c>
      <c r="H59" t="s">
        <v>13</v>
      </c>
      <c r="I59">
        <v>1</v>
      </c>
      <c r="J59">
        <v>0.22</v>
      </c>
      <c r="K59">
        <v>0.21210000000000001</v>
      </c>
      <c r="L59">
        <v>0.35</v>
      </c>
      <c r="M59">
        <v>0.29849999999999999</v>
      </c>
      <c r="N59">
        <v>13</v>
      </c>
      <c r="O59">
        <v>48</v>
      </c>
      <c r="P59">
        <v>61</v>
      </c>
      <c r="S59" t="str">
        <f>IF(Dataset_A[[#This Row],[Hr]]&gt;=19,"Evening Time",IF(Dataset_A[[#This Row],[Hr]]&gt;=9,"Day Time",IF(Dataset_A[[#This Row],[Hr]]&gt;=0,"Night Time","")))</f>
        <v>Day Time</v>
      </c>
    </row>
    <row r="60" spans="1:19" x14ac:dyDescent="0.2">
      <c r="A60">
        <v>59</v>
      </c>
      <c r="B60" s="3">
        <v>40546</v>
      </c>
      <c r="C60">
        <v>1</v>
      </c>
      <c r="D60">
        <v>2011</v>
      </c>
      <c r="E60" t="s">
        <v>10</v>
      </c>
      <c r="F60">
        <v>13</v>
      </c>
      <c r="G60" t="b">
        <v>0</v>
      </c>
      <c r="H60" t="s">
        <v>13</v>
      </c>
      <c r="I60">
        <v>1</v>
      </c>
      <c r="J60">
        <v>0.24</v>
      </c>
      <c r="K60">
        <v>0</v>
      </c>
      <c r="L60">
        <v>0.35</v>
      </c>
      <c r="M60">
        <v>0.28360000000000002</v>
      </c>
      <c r="N60">
        <v>8</v>
      </c>
      <c r="O60">
        <v>53</v>
      </c>
      <c r="P60">
        <v>61</v>
      </c>
      <c r="S60" t="str">
        <f>IF(Dataset_A[[#This Row],[Hr]]&gt;=19,"Evening Time",IF(Dataset_A[[#This Row],[Hr]]&gt;=9,"Day Time",IF(Dataset_A[[#This Row],[Hr]]&gt;=0,"Night Time","")))</f>
        <v>Day Time</v>
      </c>
    </row>
    <row r="61" spans="1:19" x14ac:dyDescent="0.2">
      <c r="A61">
        <v>60</v>
      </c>
      <c r="B61" s="3">
        <v>40546</v>
      </c>
      <c r="C61">
        <v>1</v>
      </c>
      <c r="D61">
        <v>2011</v>
      </c>
      <c r="E61" t="s">
        <v>10</v>
      </c>
      <c r="F61">
        <v>14</v>
      </c>
      <c r="G61" t="b">
        <v>0</v>
      </c>
      <c r="H61" t="s">
        <v>13</v>
      </c>
      <c r="I61">
        <v>1</v>
      </c>
      <c r="J61">
        <v>0.26</v>
      </c>
      <c r="K61">
        <v>0.2424</v>
      </c>
      <c r="L61">
        <v>0.3</v>
      </c>
      <c r="M61">
        <v>0.28360000000000002</v>
      </c>
      <c r="N61">
        <v>11</v>
      </c>
      <c r="O61">
        <v>66</v>
      </c>
      <c r="P61">
        <v>77</v>
      </c>
      <c r="S61" t="str">
        <f>IF(Dataset_A[[#This Row],[Hr]]&gt;=19,"Evening Time",IF(Dataset_A[[#This Row],[Hr]]&gt;=9,"Day Time",IF(Dataset_A[[#This Row],[Hr]]&gt;=0,"Night Time","")))</f>
        <v>Day Time</v>
      </c>
    </row>
    <row r="62" spans="1:19" x14ac:dyDescent="0.2">
      <c r="A62">
        <v>61</v>
      </c>
      <c r="B62" s="3">
        <v>40546</v>
      </c>
      <c r="C62">
        <v>1</v>
      </c>
      <c r="D62">
        <v>2011</v>
      </c>
      <c r="E62" t="s">
        <v>10</v>
      </c>
      <c r="F62">
        <v>15</v>
      </c>
      <c r="G62" t="b">
        <v>0</v>
      </c>
      <c r="H62" t="s">
        <v>13</v>
      </c>
      <c r="I62">
        <v>1</v>
      </c>
      <c r="J62">
        <v>0.26</v>
      </c>
      <c r="K62">
        <v>0.2424</v>
      </c>
      <c r="L62">
        <v>0.3</v>
      </c>
      <c r="M62">
        <v>0.25369999999999998</v>
      </c>
      <c r="N62">
        <v>14</v>
      </c>
      <c r="O62">
        <v>58</v>
      </c>
      <c r="P62">
        <v>72</v>
      </c>
      <c r="S62" t="str">
        <f>IF(Dataset_A[[#This Row],[Hr]]&gt;=19,"Evening Time",IF(Dataset_A[[#This Row],[Hr]]&gt;=9,"Day Time",IF(Dataset_A[[#This Row],[Hr]]&gt;=0,"Night Time","")))</f>
        <v>Day Time</v>
      </c>
    </row>
    <row r="63" spans="1:19" x14ac:dyDescent="0.2">
      <c r="A63">
        <v>62</v>
      </c>
      <c r="B63" s="3">
        <v>40546</v>
      </c>
      <c r="C63">
        <v>1</v>
      </c>
      <c r="D63">
        <v>2011</v>
      </c>
      <c r="E63" t="s">
        <v>10</v>
      </c>
      <c r="F63">
        <v>16</v>
      </c>
      <c r="G63" t="b">
        <v>0</v>
      </c>
      <c r="H63" t="s">
        <v>13</v>
      </c>
      <c r="I63">
        <v>1</v>
      </c>
      <c r="J63">
        <v>0.26</v>
      </c>
      <c r="K63">
        <v>0.2424</v>
      </c>
      <c r="L63">
        <v>0.3</v>
      </c>
      <c r="M63">
        <v>0.25369999999999998</v>
      </c>
      <c r="N63">
        <v>9</v>
      </c>
      <c r="O63">
        <v>67</v>
      </c>
      <c r="P63">
        <v>76</v>
      </c>
      <c r="S63" t="str">
        <f>IF(Dataset_A[[#This Row],[Hr]]&gt;=19,"Evening Time",IF(Dataset_A[[#This Row],[Hr]]&gt;=9,"Day Time",IF(Dataset_A[[#This Row],[Hr]]&gt;=0,"Night Time","")))</f>
        <v>Day Time</v>
      </c>
    </row>
    <row r="64" spans="1:19" x14ac:dyDescent="0.2">
      <c r="A64">
        <v>63</v>
      </c>
      <c r="B64" s="3">
        <v>40546</v>
      </c>
      <c r="C64">
        <v>1</v>
      </c>
      <c r="D64">
        <v>2011</v>
      </c>
      <c r="E64" t="s">
        <v>10</v>
      </c>
      <c r="F64">
        <v>17</v>
      </c>
      <c r="G64" t="b">
        <v>0</v>
      </c>
      <c r="H64" t="s">
        <v>13</v>
      </c>
      <c r="I64">
        <v>1</v>
      </c>
      <c r="J64">
        <v>0.24</v>
      </c>
      <c r="K64">
        <v>0.2273</v>
      </c>
      <c r="L64">
        <v>0.3</v>
      </c>
      <c r="M64">
        <v>0.22389999999999999</v>
      </c>
      <c r="N64">
        <v>11</v>
      </c>
      <c r="O64">
        <v>146</v>
      </c>
      <c r="P64">
        <v>157</v>
      </c>
      <c r="S64" t="str">
        <f>IF(Dataset_A[[#This Row],[Hr]]&gt;=19,"Evening Time",IF(Dataset_A[[#This Row],[Hr]]&gt;=9,"Day Time",IF(Dataset_A[[#This Row],[Hr]]&gt;=0,"Night Time","")))</f>
        <v>Day Time</v>
      </c>
    </row>
    <row r="65" spans="1:19" x14ac:dyDescent="0.2">
      <c r="A65">
        <v>64</v>
      </c>
      <c r="B65" s="3">
        <v>40546</v>
      </c>
      <c r="C65">
        <v>1</v>
      </c>
      <c r="D65">
        <v>2011</v>
      </c>
      <c r="E65" t="s">
        <v>10</v>
      </c>
      <c r="F65">
        <v>18</v>
      </c>
      <c r="G65" t="b">
        <v>0</v>
      </c>
      <c r="H65" t="s">
        <v>13</v>
      </c>
      <c r="I65">
        <v>1</v>
      </c>
      <c r="J65">
        <v>0.24</v>
      </c>
      <c r="K65">
        <v>0.2576</v>
      </c>
      <c r="L65">
        <v>0.32</v>
      </c>
      <c r="M65">
        <v>0.1045</v>
      </c>
      <c r="N65">
        <v>9</v>
      </c>
      <c r="O65">
        <v>148</v>
      </c>
      <c r="P65">
        <v>157</v>
      </c>
      <c r="S65" t="str">
        <f>IF(Dataset_A[[#This Row],[Hr]]&gt;=19,"Evening Time",IF(Dataset_A[[#This Row],[Hr]]&gt;=9,"Day Time",IF(Dataset_A[[#This Row],[Hr]]&gt;=0,"Night Time","")))</f>
        <v>Day Time</v>
      </c>
    </row>
    <row r="66" spans="1:19" x14ac:dyDescent="0.2">
      <c r="A66">
        <v>65</v>
      </c>
      <c r="B66" s="3">
        <v>40546</v>
      </c>
      <c r="C66">
        <v>1</v>
      </c>
      <c r="D66">
        <v>2011</v>
      </c>
      <c r="E66" t="s">
        <v>10</v>
      </c>
      <c r="F66">
        <v>19</v>
      </c>
      <c r="G66" t="b">
        <v>0</v>
      </c>
      <c r="H66" t="s">
        <v>13</v>
      </c>
      <c r="I66">
        <v>1</v>
      </c>
      <c r="J66">
        <v>0.2</v>
      </c>
      <c r="K66">
        <v>0.2576</v>
      </c>
      <c r="L66">
        <v>0.47</v>
      </c>
      <c r="M66">
        <v>0</v>
      </c>
      <c r="N66">
        <v>8</v>
      </c>
      <c r="O66">
        <v>102</v>
      </c>
      <c r="P66">
        <v>110</v>
      </c>
      <c r="S66" t="str">
        <f>IF(Dataset_A[[#This Row],[Hr]]&gt;=19,"Evening Time",IF(Dataset_A[[#This Row],[Hr]]&gt;=9,"Day Time",IF(Dataset_A[[#This Row],[Hr]]&gt;=0,"Night Time","")))</f>
        <v>Evening Time</v>
      </c>
    </row>
    <row r="67" spans="1:19" x14ac:dyDescent="0.2">
      <c r="A67">
        <v>66</v>
      </c>
      <c r="B67" s="3">
        <v>40546</v>
      </c>
      <c r="C67">
        <v>1</v>
      </c>
      <c r="D67">
        <v>2011</v>
      </c>
      <c r="E67" t="s">
        <v>10</v>
      </c>
      <c r="F67">
        <v>20</v>
      </c>
      <c r="G67" t="b">
        <v>0</v>
      </c>
      <c r="H67" t="s">
        <v>13</v>
      </c>
      <c r="I67">
        <v>1</v>
      </c>
      <c r="J67">
        <v>0.2</v>
      </c>
      <c r="K67">
        <v>0</v>
      </c>
      <c r="L67">
        <v>0.47</v>
      </c>
      <c r="M67">
        <v>0.1045</v>
      </c>
      <c r="N67">
        <v>3</v>
      </c>
      <c r="O67">
        <v>49</v>
      </c>
      <c r="P67">
        <v>52</v>
      </c>
      <c r="S67" t="str">
        <f>IF(Dataset_A[[#This Row],[Hr]]&gt;=19,"Evening Time",IF(Dataset_A[[#This Row],[Hr]]&gt;=9,"Day Time",IF(Dataset_A[[#This Row],[Hr]]&gt;=0,"Night Time","")))</f>
        <v>Evening Time</v>
      </c>
    </row>
    <row r="68" spans="1:19" x14ac:dyDescent="0.2">
      <c r="A68">
        <v>67</v>
      </c>
      <c r="B68" s="3">
        <v>40546</v>
      </c>
      <c r="C68">
        <v>1</v>
      </c>
      <c r="D68">
        <v>2011</v>
      </c>
      <c r="E68" t="s">
        <v>10</v>
      </c>
      <c r="F68">
        <v>21</v>
      </c>
      <c r="G68" t="b">
        <v>0</v>
      </c>
      <c r="H68" t="s">
        <v>13</v>
      </c>
      <c r="I68">
        <v>1</v>
      </c>
      <c r="J68">
        <v>0.18</v>
      </c>
      <c r="K68">
        <v>0.19700000000000001</v>
      </c>
      <c r="L68">
        <v>0.64</v>
      </c>
      <c r="M68">
        <v>0.1343</v>
      </c>
      <c r="N68">
        <v>3</v>
      </c>
      <c r="O68">
        <v>49</v>
      </c>
      <c r="P68">
        <v>52</v>
      </c>
      <c r="S68" t="str">
        <f>IF(Dataset_A[[#This Row],[Hr]]&gt;=19,"Evening Time",IF(Dataset_A[[#This Row],[Hr]]&gt;=9,"Day Time",IF(Dataset_A[[#This Row],[Hr]]&gt;=0,"Night Time","")))</f>
        <v>Evening Time</v>
      </c>
    </row>
    <row r="69" spans="1:19" x14ac:dyDescent="0.2">
      <c r="A69">
        <v>68</v>
      </c>
      <c r="B69" s="3">
        <v>40546</v>
      </c>
      <c r="C69">
        <v>1</v>
      </c>
      <c r="D69">
        <v>2011</v>
      </c>
      <c r="E69" t="s">
        <v>10</v>
      </c>
      <c r="F69">
        <v>22</v>
      </c>
      <c r="G69" t="b">
        <v>0</v>
      </c>
      <c r="H69" t="s">
        <v>13</v>
      </c>
      <c r="I69">
        <v>1</v>
      </c>
      <c r="J69">
        <v>0.14000000000000001</v>
      </c>
      <c r="K69">
        <v>0.1515</v>
      </c>
      <c r="L69">
        <v>0.69</v>
      </c>
      <c r="M69">
        <v>0.1343</v>
      </c>
      <c r="N69">
        <v>0</v>
      </c>
      <c r="O69">
        <v>20</v>
      </c>
      <c r="P69">
        <v>20</v>
      </c>
      <c r="S69" t="str">
        <f>IF(Dataset_A[[#This Row],[Hr]]&gt;=19,"Evening Time",IF(Dataset_A[[#This Row],[Hr]]&gt;=9,"Day Time",IF(Dataset_A[[#This Row],[Hr]]&gt;=0,"Night Time","")))</f>
        <v>Evening Time</v>
      </c>
    </row>
    <row r="70" spans="1:19" x14ac:dyDescent="0.2">
      <c r="A70">
        <v>69</v>
      </c>
      <c r="B70" s="3">
        <v>40546</v>
      </c>
      <c r="C70">
        <v>1</v>
      </c>
      <c r="D70">
        <v>2011</v>
      </c>
      <c r="E70" t="s">
        <v>10</v>
      </c>
      <c r="F70">
        <v>23</v>
      </c>
      <c r="G70" t="b">
        <v>0</v>
      </c>
      <c r="H70" t="s">
        <v>13</v>
      </c>
      <c r="I70">
        <v>1</v>
      </c>
      <c r="J70">
        <v>0.18</v>
      </c>
      <c r="K70">
        <v>0.21210000000000001</v>
      </c>
      <c r="L70">
        <v>0.55000000000000004</v>
      </c>
      <c r="M70">
        <v>0.1045</v>
      </c>
      <c r="N70">
        <v>1</v>
      </c>
      <c r="O70">
        <v>11</v>
      </c>
      <c r="P70">
        <v>12</v>
      </c>
      <c r="S70" t="str">
        <f>IF(Dataset_A[[#This Row],[Hr]]&gt;=19,"Evening Time",IF(Dataset_A[[#This Row],[Hr]]&gt;=9,"Day Time",IF(Dataset_A[[#This Row],[Hr]]&gt;=0,"Night Time","")))</f>
        <v>Evening Time</v>
      </c>
    </row>
    <row r="71" spans="1:19" x14ac:dyDescent="0.2">
      <c r="A71">
        <v>70</v>
      </c>
      <c r="B71" s="3">
        <v>40547</v>
      </c>
      <c r="C71">
        <v>1</v>
      </c>
      <c r="D71">
        <v>2011</v>
      </c>
      <c r="E71" t="s">
        <v>10</v>
      </c>
      <c r="F71">
        <v>0</v>
      </c>
      <c r="G71" t="b">
        <v>0</v>
      </c>
      <c r="H71" t="s">
        <v>14</v>
      </c>
      <c r="I71">
        <v>1</v>
      </c>
      <c r="J71">
        <v>0.16</v>
      </c>
      <c r="K71">
        <v>0</v>
      </c>
      <c r="L71">
        <v>0.55000000000000004</v>
      </c>
      <c r="M71">
        <v>0.1045</v>
      </c>
      <c r="N71">
        <v>0</v>
      </c>
      <c r="O71">
        <v>5</v>
      </c>
      <c r="P71">
        <v>5</v>
      </c>
      <c r="S71" t="str">
        <f>IF(Dataset_A[[#This Row],[Hr]]&gt;=19,"Evening Time",IF(Dataset_A[[#This Row],[Hr]]&gt;=9,"Day Time",IF(Dataset_A[[#This Row],[Hr]]&gt;=0,"Night Time","")))</f>
        <v>Night Time</v>
      </c>
    </row>
    <row r="72" spans="1:19" x14ac:dyDescent="0.2">
      <c r="A72">
        <v>71</v>
      </c>
      <c r="B72" s="3">
        <v>40547</v>
      </c>
      <c r="C72">
        <v>1</v>
      </c>
      <c r="D72">
        <v>2011</v>
      </c>
      <c r="E72" t="s">
        <v>10</v>
      </c>
      <c r="F72">
        <v>1</v>
      </c>
      <c r="G72" t="b">
        <v>0</v>
      </c>
      <c r="H72" t="s">
        <v>14</v>
      </c>
      <c r="I72">
        <v>1</v>
      </c>
      <c r="J72">
        <v>0.16</v>
      </c>
      <c r="K72">
        <v>0.18179999999999999</v>
      </c>
      <c r="L72">
        <v>0.59</v>
      </c>
      <c r="M72">
        <v>0.1045</v>
      </c>
      <c r="N72">
        <v>0</v>
      </c>
      <c r="O72">
        <v>2</v>
      </c>
      <c r="P72">
        <v>2</v>
      </c>
      <c r="S72" t="str">
        <f>IF(Dataset_A[[#This Row],[Hr]]&gt;=19,"Evening Time",IF(Dataset_A[[#This Row],[Hr]]&gt;=9,"Day Time",IF(Dataset_A[[#This Row],[Hr]]&gt;=0,"Night Time","")))</f>
        <v>Night Time</v>
      </c>
    </row>
    <row r="73" spans="1:19" x14ac:dyDescent="0.2">
      <c r="A73">
        <v>72</v>
      </c>
      <c r="B73" s="3">
        <v>40547</v>
      </c>
      <c r="C73">
        <v>1</v>
      </c>
      <c r="D73">
        <v>2011</v>
      </c>
      <c r="E73" t="s">
        <v>10</v>
      </c>
      <c r="F73">
        <v>2</v>
      </c>
      <c r="G73" t="b">
        <v>0</v>
      </c>
      <c r="H73" t="s">
        <v>14</v>
      </c>
      <c r="I73">
        <v>1</v>
      </c>
      <c r="J73">
        <v>0.14000000000000001</v>
      </c>
      <c r="K73">
        <v>0.1515</v>
      </c>
      <c r="L73">
        <v>0.63</v>
      </c>
      <c r="M73">
        <v>0.1343</v>
      </c>
      <c r="N73">
        <v>0</v>
      </c>
      <c r="O73">
        <v>1</v>
      </c>
      <c r="P73">
        <v>1</v>
      </c>
      <c r="S73" t="str">
        <f>IF(Dataset_A[[#This Row],[Hr]]&gt;=19,"Evening Time",IF(Dataset_A[[#This Row],[Hr]]&gt;=9,"Day Time",IF(Dataset_A[[#This Row],[Hr]]&gt;=0,"Night Time","")))</f>
        <v>Night Time</v>
      </c>
    </row>
    <row r="74" spans="1:19" x14ac:dyDescent="0.2">
      <c r="A74">
        <v>73</v>
      </c>
      <c r="B74" s="3">
        <v>40547</v>
      </c>
      <c r="C74">
        <v>1</v>
      </c>
      <c r="D74">
        <v>2011</v>
      </c>
      <c r="E74" t="s">
        <v>10</v>
      </c>
      <c r="F74">
        <v>4</v>
      </c>
      <c r="G74" t="b">
        <v>0</v>
      </c>
      <c r="H74" t="s">
        <v>14</v>
      </c>
      <c r="I74">
        <v>1</v>
      </c>
      <c r="J74">
        <v>0.14000000000000001</v>
      </c>
      <c r="K74">
        <v>0.18179999999999999</v>
      </c>
      <c r="L74">
        <v>0.63</v>
      </c>
      <c r="M74">
        <v>8.9599999999999999E-2</v>
      </c>
      <c r="N74">
        <v>0</v>
      </c>
      <c r="O74">
        <v>2</v>
      </c>
      <c r="P74">
        <v>2</v>
      </c>
      <c r="S74" t="str">
        <f>IF(Dataset_A[[#This Row],[Hr]]&gt;=19,"Evening Time",IF(Dataset_A[[#This Row],[Hr]]&gt;=9,"Day Time",IF(Dataset_A[[#This Row],[Hr]]&gt;=0,"Night Time","")))</f>
        <v>Night Time</v>
      </c>
    </row>
    <row r="75" spans="1:19" x14ac:dyDescent="0.2">
      <c r="A75">
        <v>74</v>
      </c>
      <c r="B75" s="3">
        <v>40547</v>
      </c>
      <c r="C75">
        <v>1</v>
      </c>
      <c r="D75">
        <v>2011</v>
      </c>
      <c r="E75" t="s">
        <v>10</v>
      </c>
      <c r="F75">
        <v>5</v>
      </c>
      <c r="G75" t="b">
        <v>0</v>
      </c>
      <c r="H75" t="s">
        <v>14</v>
      </c>
      <c r="I75">
        <v>1</v>
      </c>
      <c r="J75">
        <v>0.12</v>
      </c>
      <c r="K75">
        <v>0.1515</v>
      </c>
      <c r="L75">
        <v>0.68</v>
      </c>
      <c r="M75">
        <v>0.1045</v>
      </c>
      <c r="N75">
        <v>0</v>
      </c>
      <c r="O75">
        <v>4</v>
      </c>
      <c r="P75">
        <v>4</v>
      </c>
      <c r="S75" t="str">
        <f>IF(Dataset_A[[#This Row],[Hr]]&gt;=19,"Evening Time",IF(Dataset_A[[#This Row],[Hr]]&gt;=9,"Day Time",IF(Dataset_A[[#This Row],[Hr]]&gt;=0,"Night Time","")))</f>
        <v>Night Time</v>
      </c>
    </row>
    <row r="76" spans="1:19" x14ac:dyDescent="0.2">
      <c r="A76">
        <v>75</v>
      </c>
      <c r="B76" s="3">
        <v>40547</v>
      </c>
      <c r="C76">
        <v>1</v>
      </c>
      <c r="D76">
        <v>2011</v>
      </c>
      <c r="E76" t="s">
        <v>10</v>
      </c>
      <c r="F76">
        <v>6</v>
      </c>
      <c r="G76" t="b">
        <v>0</v>
      </c>
      <c r="H76" t="s">
        <v>14</v>
      </c>
      <c r="I76">
        <v>1</v>
      </c>
      <c r="J76">
        <v>0.12</v>
      </c>
      <c r="K76">
        <v>0.1515</v>
      </c>
      <c r="L76">
        <v>0.74</v>
      </c>
      <c r="M76">
        <v>0.1045</v>
      </c>
      <c r="N76">
        <v>0</v>
      </c>
      <c r="O76">
        <v>36</v>
      </c>
      <c r="P76">
        <v>36</v>
      </c>
      <c r="S76" t="str">
        <f>IF(Dataset_A[[#This Row],[Hr]]&gt;=19,"Evening Time",IF(Dataset_A[[#This Row],[Hr]]&gt;=9,"Day Time",IF(Dataset_A[[#This Row],[Hr]]&gt;=0,"Night Time","")))</f>
        <v>Night Time</v>
      </c>
    </row>
    <row r="77" spans="1:19" x14ac:dyDescent="0.2">
      <c r="A77">
        <v>76</v>
      </c>
      <c r="B77" s="3">
        <v>40547</v>
      </c>
      <c r="C77">
        <v>1</v>
      </c>
      <c r="D77">
        <v>2011</v>
      </c>
      <c r="E77" t="s">
        <v>10</v>
      </c>
      <c r="F77">
        <v>7</v>
      </c>
      <c r="G77" t="b">
        <v>0</v>
      </c>
      <c r="H77" t="s">
        <v>14</v>
      </c>
      <c r="I77">
        <v>1</v>
      </c>
      <c r="J77">
        <v>0.12</v>
      </c>
      <c r="K77">
        <v>0.1515</v>
      </c>
      <c r="L77">
        <v>0.74</v>
      </c>
      <c r="M77">
        <v>0.1343</v>
      </c>
      <c r="N77">
        <v>2</v>
      </c>
      <c r="O77">
        <v>92</v>
      </c>
      <c r="P77">
        <v>94</v>
      </c>
      <c r="S77" t="str">
        <f>IF(Dataset_A[[#This Row],[Hr]]&gt;=19,"Evening Time",IF(Dataset_A[[#This Row],[Hr]]&gt;=9,"Day Time",IF(Dataset_A[[#This Row],[Hr]]&gt;=0,"Night Time","")))</f>
        <v>Night Time</v>
      </c>
    </row>
    <row r="78" spans="1:19" x14ac:dyDescent="0.2">
      <c r="A78">
        <v>77</v>
      </c>
      <c r="B78" s="3">
        <v>40547</v>
      </c>
      <c r="C78">
        <v>1</v>
      </c>
      <c r="D78">
        <v>2011</v>
      </c>
      <c r="E78" t="s">
        <v>10</v>
      </c>
      <c r="F78">
        <v>8</v>
      </c>
      <c r="G78" t="b">
        <v>0</v>
      </c>
      <c r="H78" t="s">
        <v>14</v>
      </c>
      <c r="I78">
        <v>1</v>
      </c>
      <c r="J78">
        <v>0.14000000000000001</v>
      </c>
      <c r="K78">
        <v>0.1515</v>
      </c>
      <c r="L78">
        <v>0.69</v>
      </c>
      <c r="M78">
        <v>0.16420000000000001</v>
      </c>
      <c r="N78">
        <v>2</v>
      </c>
      <c r="O78">
        <v>177</v>
      </c>
      <c r="P78">
        <v>179</v>
      </c>
      <c r="S78" t="str">
        <f>IF(Dataset_A[[#This Row],[Hr]]&gt;=19,"Evening Time",IF(Dataset_A[[#This Row],[Hr]]&gt;=9,"Day Time",IF(Dataset_A[[#This Row],[Hr]]&gt;=0,"Night Time","")))</f>
        <v>Night Time</v>
      </c>
    </row>
    <row r="79" spans="1:19" x14ac:dyDescent="0.2">
      <c r="A79">
        <v>78</v>
      </c>
      <c r="B79" s="3">
        <v>40547</v>
      </c>
      <c r="C79">
        <v>1</v>
      </c>
      <c r="D79">
        <v>2011</v>
      </c>
      <c r="E79" t="s">
        <v>10</v>
      </c>
      <c r="F79">
        <v>9</v>
      </c>
      <c r="G79" t="b">
        <v>0</v>
      </c>
      <c r="H79" t="s">
        <v>14</v>
      </c>
      <c r="I79">
        <v>1</v>
      </c>
      <c r="J79">
        <v>0.16</v>
      </c>
      <c r="K79">
        <v>0.1515</v>
      </c>
      <c r="L79">
        <v>0.64</v>
      </c>
      <c r="M79">
        <v>0.22389999999999999</v>
      </c>
      <c r="N79">
        <v>2</v>
      </c>
      <c r="O79">
        <v>98</v>
      </c>
      <c r="P79">
        <v>100</v>
      </c>
      <c r="S79" t="str">
        <f>IF(Dataset_A[[#This Row],[Hr]]&gt;=19,"Evening Time",IF(Dataset_A[[#This Row],[Hr]]&gt;=9,"Day Time",IF(Dataset_A[[#This Row],[Hr]]&gt;=0,"Night Time","")))</f>
        <v>Day Time</v>
      </c>
    </row>
    <row r="80" spans="1:19" x14ac:dyDescent="0.2">
      <c r="A80">
        <v>79</v>
      </c>
      <c r="B80" s="3">
        <v>40547</v>
      </c>
      <c r="C80">
        <v>1</v>
      </c>
      <c r="D80">
        <v>2011</v>
      </c>
      <c r="E80" t="s">
        <v>10</v>
      </c>
      <c r="F80">
        <v>10</v>
      </c>
      <c r="G80" t="b">
        <v>0</v>
      </c>
      <c r="H80" t="s">
        <v>14</v>
      </c>
      <c r="I80">
        <v>2</v>
      </c>
      <c r="J80">
        <v>0.16</v>
      </c>
      <c r="K80">
        <v>0.13639999999999999</v>
      </c>
      <c r="L80">
        <v>0.69</v>
      </c>
      <c r="M80">
        <v>0.32840000000000003</v>
      </c>
      <c r="N80">
        <v>5</v>
      </c>
      <c r="O80">
        <v>37</v>
      </c>
      <c r="P80">
        <v>42</v>
      </c>
      <c r="S80" t="str">
        <f>IF(Dataset_A[[#This Row],[Hr]]&gt;=19,"Evening Time",IF(Dataset_A[[#This Row],[Hr]]&gt;=9,"Day Time",IF(Dataset_A[[#This Row],[Hr]]&gt;=0,"Night Time","")))</f>
        <v>Day Time</v>
      </c>
    </row>
    <row r="81" spans="1:19" x14ac:dyDescent="0.2">
      <c r="A81">
        <v>80</v>
      </c>
      <c r="B81" s="3">
        <v>40547</v>
      </c>
      <c r="C81">
        <v>1</v>
      </c>
      <c r="D81">
        <v>2011</v>
      </c>
      <c r="E81" t="s">
        <v>10</v>
      </c>
      <c r="F81">
        <v>11</v>
      </c>
      <c r="G81" t="b">
        <v>0</v>
      </c>
      <c r="H81" t="s">
        <v>14</v>
      </c>
      <c r="I81">
        <v>1</v>
      </c>
      <c r="J81">
        <v>0.22</v>
      </c>
      <c r="K81">
        <v>0.21210000000000001</v>
      </c>
      <c r="L81">
        <v>0.51</v>
      </c>
      <c r="M81">
        <v>0.29849999999999999</v>
      </c>
      <c r="N81">
        <v>7</v>
      </c>
      <c r="O81">
        <v>50</v>
      </c>
      <c r="P81">
        <v>57</v>
      </c>
      <c r="S81" t="str">
        <f>IF(Dataset_A[[#This Row],[Hr]]&gt;=19,"Evening Time",IF(Dataset_A[[#This Row],[Hr]]&gt;=9,"Day Time",IF(Dataset_A[[#This Row],[Hr]]&gt;=0,"Night Time","")))</f>
        <v>Day Time</v>
      </c>
    </row>
    <row r="82" spans="1:19" x14ac:dyDescent="0.2">
      <c r="A82">
        <v>81</v>
      </c>
      <c r="B82" s="3">
        <v>40547</v>
      </c>
      <c r="C82">
        <v>1</v>
      </c>
      <c r="D82">
        <v>2011</v>
      </c>
      <c r="E82" t="s">
        <v>10</v>
      </c>
      <c r="F82">
        <v>12</v>
      </c>
      <c r="G82" t="b">
        <v>0</v>
      </c>
      <c r="H82" t="s">
        <v>14</v>
      </c>
      <c r="I82">
        <v>1</v>
      </c>
      <c r="J82">
        <v>0.22</v>
      </c>
      <c r="K82">
        <v>0.2273</v>
      </c>
      <c r="L82">
        <v>0.51</v>
      </c>
      <c r="M82">
        <v>0.16420000000000001</v>
      </c>
      <c r="N82">
        <v>12</v>
      </c>
      <c r="O82">
        <v>66</v>
      </c>
      <c r="P82">
        <v>78</v>
      </c>
      <c r="S82" t="str">
        <f>IF(Dataset_A[[#This Row],[Hr]]&gt;=19,"Evening Time",IF(Dataset_A[[#This Row],[Hr]]&gt;=9,"Day Time",IF(Dataset_A[[#This Row],[Hr]]&gt;=0,"Night Time","")))</f>
        <v>Day Time</v>
      </c>
    </row>
    <row r="83" spans="1:19" x14ac:dyDescent="0.2">
      <c r="A83">
        <v>82</v>
      </c>
      <c r="B83" s="3">
        <v>40547</v>
      </c>
      <c r="C83">
        <v>1</v>
      </c>
      <c r="D83">
        <v>2011</v>
      </c>
      <c r="E83" t="s">
        <v>10</v>
      </c>
      <c r="F83">
        <v>13</v>
      </c>
      <c r="G83" t="b">
        <v>0</v>
      </c>
      <c r="H83" t="s">
        <v>14</v>
      </c>
      <c r="I83">
        <v>1</v>
      </c>
      <c r="J83">
        <v>0.24</v>
      </c>
      <c r="K83">
        <v>0.2273</v>
      </c>
      <c r="L83">
        <v>0.56000000000000005</v>
      </c>
      <c r="M83">
        <v>0.19400000000000001</v>
      </c>
      <c r="N83">
        <v>18</v>
      </c>
      <c r="O83">
        <v>79</v>
      </c>
      <c r="P83">
        <v>97</v>
      </c>
      <c r="S83" t="str">
        <f>IF(Dataset_A[[#This Row],[Hr]]&gt;=19,"Evening Time",IF(Dataset_A[[#This Row],[Hr]]&gt;=9,"Day Time",IF(Dataset_A[[#This Row],[Hr]]&gt;=0,"Night Time","")))</f>
        <v>Day Time</v>
      </c>
    </row>
    <row r="84" spans="1:19" x14ac:dyDescent="0.2">
      <c r="A84">
        <v>83</v>
      </c>
      <c r="B84" s="3">
        <v>40547</v>
      </c>
      <c r="C84">
        <v>1</v>
      </c>
      <c r="D84">
        <v>2011</v>
      </c>
      <c r="E84" t="s">
        <v>10</v>
      </c>
      <c r="F84">
        <v>14</v>
      </c>
      <c r="G84" t="b">
        <v>0</v>
      </c>
      <c r="H84" t="s">
        <v>14</v>
      </c>
      <c r="I84">
        <v>1</v>
      </c>
      <c r="J84">
        <v>0.26</v>
      </c>
      <c r="K84">
        <v>0.2576</v>
      </c>
      <c r="L84">
        <v>0.52</v>
      </c>
      <c r="M84">
        <v>0.22389999999999999</v>
      </c>
      <c r="N84">
        <v>9</v>
      </c>
      <c r="O84">
        <v>54</v>
      </c>
      <c r="P84">
        <v>63</v>
      </c>
      <c r="S84" t="str">
        <f>IF(Dataset_A[[#This Row],[Hr]]&gt;=19,"Evening Time",IF(Dataset_A[[#This Row],[Hr]]&gt;=9,"Day Time",IF(Dataset_A[[#This Row],[Hr]]&gt;=0,"Night Time","")))</f>
        <v>Day Time</v>
      </c>
    </row>
    <row r="85" spans="1:19" x14ac:dyDescent="0.2">
      <c r="A85">
        <v>84</v>
      </c>
      <c r="B85" s="3">
        <v>40547</v>
      </c>
      <c r="C85">
        <v>1</v>
      </c>
      <c r="D85">
        <v>2011</v>
      </c>
      <c r="E85" t="s">
        <v>10</v>
      </c>
      <c r="F85">
        <v>15</v>
      </c>
      <c r="G85" t="b">
        <v>0</v>
      </c>
      <c r="H85" t="s">
        <v>14</v>
      </c>
      <c r="I85">
        <v>1</v>
      </c>
      <c r="J85">
        <v>0.28000000000000003</v>
      </c>
      <c r="K85">
        <v>0.2727</v>
      </c>
      <c r="L85">
        <v>0.52</v>
      </c>
      <c r="M85">
        <v>0.25369999999999998</v>
      </c>
      <c r="N85">
        <v>17</v>
      </c>
      <c r="O85">
        <v>48</v>
      </c>
      <c r="P85">
        <v>65</v>
      </c>
      <c r="S85" t="str">
        <f>IF(Dataset_A[[#This Row],[Hr]]&gt;=19,"Evening Time",IF(Dataset_A[[#This Row],[Hr]]&gt;=9,"Day Time",IF(Dataset_A[[#This Row],[Hr]]&gt;=0,"Night Time","")))</f>
        <v>Day Time</v>
      </c>
    </row>
    <row r="86" spans="1:19" x14ac:dyDescent="0.2">
      <c r="A86">
        <v>85</v>
      </c>
      <c r="B86" s="3">
        <v>40547</v>
      </c>
      <c r="C86">
        <v>1</v>
      </c>
      <c r="D86">
        <v>2011</v>
      </c>
      <c r="E86" t="s">
        <v>10</v>
      </c>
      <c r="F86">
        <v>16</v>
      </c>
      <c r="G86" t="b">
        <v>0</v>
      </c>
      <c r="H86" t="s">
        <v>14</v>
      </c>
      <c r="I86">
        <v>1</v>
      </c>
      <c r="J86">
        <v>0.3</v>
      </c>
      <c r="K86">
        <v>0.28789999999999999</v>
      </c>
      <c r="L86">
        <v>0.49</v>
      </c>
      <c r="M86">
        <v>0.25369999999999998</v>
      </c>
      <c r="N86">
        <v>15</v>
      </c>
      <c r="O86">
        <v>68</v>
      </c>
      <c r="P86">
        <v>83</v>
      </c>
      <c r="S86" t="str">
        <f>IF(Dataset_A[[#This Row],[Hr]]&gt;=19,"Evening Time",IF(Dataset_A[[#This Row],[Hr]]&gt;=9,"Day Time",IF(Dataset_A[[#This Row],[Hr]]&gt;=0,"Night Time","")))</f>
        <v>Day Time</v>
      </c>
    </row>
    <row r="87" spans="1:19" x14ac:dyDescent="0.2">
      <c r="A87">
        <v>86</v>
      </c>
      <c r="B87" s="3">
        <v>40547</v>
      </c>
      <c r="C87">
        <v>1</v>
      </c>
      <c r="D87">
        <v>2011</v>
      </c>
      <c r="E87" t="s">
        <v>10</v>
      </c>
      <c r="F87">
        <v>17</v>
      </c>
      <c r="G87" t="b">
        <v>0</v>
      </c>
      <c r="H87" t="s">
        <v>14</v>
      </c>
      <c r="I87">
        <v>1</v>
      </c>
      <c r="J87">
        <v>0.28000000000000003</v>
      </c>
      <c r="K87">
        <v>0.2727</v>
      </c>
      <c r="L87">
        <v>0.48</v>
      </c>
      <c r="M87">
        <v>0.22389999999999999</v>
      </c>
      <c r="N87">
        <v>10</v>
      </c>
      <c r="O87">
        <v>202</v>
      </c>
      <c r="P87">
        <v>212</v>
      </c>
      <c r="S87" t="str">
        <f>IF(Dataset_A[[#This Row],[Hr]]&gt;=19,"Evening Time",IF(Dataset_A[[#This Row],[Hr]]&gt;=9,"Day Time",IF(Dataset_A[[#This Row],[Hr]]&gt;=0,"Night Time","")))</f>
        <v>Day Time</v>
      </c>
    </row>
    <row r="88" spans="1:19" x14ac:dyDescent="0.2">
      <c r="A88">
        <v>87</v>
      </c>
      <c r="B88" s="3">
        <v>40547</v>
      </c>
      <c r="C88">
        <v>1</v>
      </c>
      <c r="D88">
        <v>2011</v>
      </c>
      <c r="E88" t="s">
        <v>10</v>
      </c>
      <c r="F88">
        <v>18</v>
      </c>
      <c r="G88" t="b">
        <v>0</v>
      </c>
      <c r="H88" t="s">
        <v>14</v>
      </c>
      <c r="I88">
        <v>1</v>
      </c>
      <c r="J88">
        <v>0.26</v>
      </c>
      <c r="K88">
        <v>0.2576</v>
      </c>
      <c r="L88">
        <v>0.48</v>
      </c>
      <c r="M88">
        <v>0.19400000000000001</v>
      </c>
      <c r="N88">
        <v>3</v>
      </c>
      <c r="O88">
        <v>179</v>
      </c>
      <c r="P88">
        <v>182</v>
      </c>
      <c r="S88" t="str">
        <f>IF(Dataset_A[[#This Row],[Hr]]&gt;=19,"Evening Time",IF(Dataset_A[[#This Row],[Hr]]&gt;=9,"Day Time",IF(Dataset_A[[#This Row],[Hr]]&gt;=0,"Night Time","")))</f>
        <v>Day Time</v>
      </c>
    </row>
    <row r="89" spans="1:19" x14ac:dyDescent="0.2">
      <c r="A89">
        <v>88</v>
      </c>
      <c r="B89" s="3">
        <v>40547</v>
      </c>
      <c r="C89">
        <v>1</v>
      </c>
      <c r="D89">
        <v>2011</v>
      </c>
      <c r="E89" t="s">
        <v>10</v>
      </c>
      <c r="F89">
        <v>19</v>
      </c>
      <c r="G89" t="b">
        <v>0</v>
      </c>
      <c r="H89" t="s">
        <v>14</v>
      </c>
      <c r="I89">
        <v>1</v>
      </c>
      <c r="J89">
        <v>0.24</v>
      </c>
      <c r="K89">
        <v>0.2576</v>
      </c>
      <c r="L89">
        <v>0.48</v>
      </c>
      <c r="M89">
        <v>0.1045</v>
      </c>
      <c r="N89">
        <v>2</v>
      </c>
      <c r="O89">
        <v>110</v>
      </c>
      <c r="P89">
        <v>112</v>
      </c>
      <c r="S89" t="str">
        <f>IF(Dataset_A[[#This Row],[Hr]]&gt;=19,"Evening Time",IF(Dataset_A[[#This Row],[Hr]]&gt;=9,"Day Time",IF(Dataset_A[[#This Row],[Hr]]&gt;=0,"Night Time","")))</f>
        <v>Evening Time</v>
      </c>
    </row>
    <row r="90" spans="1:19" x14ac:dyDescent="0.2">
      <c r="A90">
        <v>89</v>
      </c>
      <c r="B90" s="3">
        <v>40547</v>
      </c>
      <c r="C90">
        <v>1</v>
      </c>
      <c r="D90">
        <v>2011</v>
      </c>
      <c r="E90" t="s">
        <v>10</v>
      </c>
      <c r="F90">
        <v>20</v>
      </c>
      <c r="G90" t="b">
        <v>0</v>
      </c>
      <c r="H90" t="s">
        <v>14</v>
      </c>
      <c r="I90">
        <v>1</v>
      </c>
      <c r="J90">
        <v>0.24</v>
      </c>
      <c r="K90">
        <v>0.2576</v>
      </c>
      <c r="L90">
        <v>0.48</v>
      </c>
      <c r="M90">
        <v>0.1045</v>
      </c>
      <c r="N90">
        <v>1</v>
      </c>
      <c r="O90">
        <v>53</v>
      </c>
      <c r="P90">
        <v>54</v>
      </c>
      <c r="S90" t="str">
        <f>IF(Dataset_A[[#This Row],[Hr]]&gt;=19,"Evening Time",IF(Dataset_A[[#This Row],[Hr]]&gt;=9,"Day Time",IF(Dataset_A[[#This Row],[Hr]]&gt;=0,"Night Time","")))</f>
        <v>Evening Time</v>
      </c>
    </row>
    <row r="91" spans="1:19" x14ac:dyDescent="0.2">
      <c r="A91">
        <v>90</v>
      </c>
      <c r="B91" s="3">
        <v>40547</v>
      </c>
      <c r="C91">
        <v>1</v>
      </c>
      <c r="D91">
        <v>2011</v>
      </c>
      <c r="E91" t="s">
        <v>10</v>
      </c>
      <c r="F91">
        <v>21</v>
      </c>
      <c r="G91" t="b">
        <v>0</v>
      </c>
      <c r="H91" t="s">
        <v>14</v>
      </c>
      <c r="I91">
        <v>1</v>
      </c>
      <c r="J91">
        <v>0.22</v>
      </c>
      <c r="K91">
        <v>0.2727</v>
      </c>
      <c r="L91">
        <v>0.64</v>
      </c>
      <c r="M91">
        <v>0</v>
      </c>
      <c r="N91">
        <v>0</v>
      </c>
      <c r="O91">
        <v>48</v>
      </c>
      <c r="P91">
        <v>48</v>
      </c>
      <c r="S91" t="str">
        <f>IF(Dataset_A[[#This Row],[Hr]]&gt;=19,"Evening Time",IF(Dataset_A[[#This Row],[Hr]]&gt;=9,"Day Time",IF(Dataset_A[[#This Row],[Hr]]&gt;=0,"Night Time","")))</f>
        <v>Evening Time</v>
      </c>
    </row>
    <row r="92" spans="1:19" x14ac:dyDescent="0.2">
      <c r="A92">
        <v>91</v>
      </c>
      <c r="B92" s="3">
        <v>40547</v>
      </c>
      <c r="C92">
        <v>1</v>
      </c>
      <c r="D92">
        <v>2011</v>
      </c>
      <c r="E92" t="s">
        <v>10</v>
      </c>
      <c r="F92">
        <v>22</v>
      </c>
      <c r="G92" t="b">
        <v>0</v>
      </c>
      <c r="H92" t="s">
        <v>14</v>
      </c>
      <c r="I92">
        <v>1</v>
      </c>
      <c r="J92">
        <v>0.22</v>
      </c>
      <c r="K92">
        <v>0.2576</v>
      </c>
      <c r="L92">
        <v>0.64</v>
      </c>
      <c r="M92">
        <v>8.9599999999999999E-2</v>
      </c>
      <c r="N92">
        <v>1</v>
      </c>
      <c r="O92">
        <v>34</v>
      </c>
      <c r="P92">
        <v>35</v>
      </c>
      <c r="S92" t="str">
        <f>IF(Dataset_A[[#This Row],[Hr]]&gt;=19,"Evening Time",IF(Dataset_A[[#This Row],[Hr]]&gt;=9,"Day Time",IF(Dataset_A[[#This Row],[Hr]]&gt;=0,"Night Time","")))</f>
        <v>Evening Time</v>
      </c>
    </row>
    <row r="93" spans="1:19" x14ac:dyDescent="0.2">
      <c r="A93">
        <v>92</v>
      </c>
      <c r="B93" s="3">
        <v>40547</v>
      </c>
      <c r="C93">
        <v>1</v>
      </c>
      <c r="D93">
        <v>2011</v>
      </c>
      <c r="E93" t="s">
        <v>10</v>
      </c>
      <c r="F93">
        <v>23</v>
      </c>
      <c r="G93" t="b">
        <v>0</v>
      </c>
      <c r="H93" t="s">
        <v>14</v>
      </c>
      <c r="I93">
        <v>1</v>
      </c>
      <c r="J93">
        <v>0.2</v>
      </c>
      <c r="K93">
        <v>0.2273</v>
      </c>
      <c r="L93">
        <v>0.69</v>
      </c>
      <c r="M93">
        <v>8.9599999999999999E-2</v>
      </c>
      <c r="N93">
        <v>2</v>
      </c>
      <c r="O93">
        <v>9</v>
      </c>
      <c r="P93">
        <v>11</v>
      </c>
      <c r="S93" t="str">
        <f>IF(Dataset_A[[#This Row],[Hr]]&gt;=19,"Evening Time",IF(Dataset_A[[#This Row],[Hr]]&gt;=9,"Day Time",IF(Dataset_A[[#This Row],[Hr]]&gt;=0,"Night Time","")))</f>
        <v>Evening Time</v>
      </c>
    </row>
    <row r="94" spans="1:19" x14ac:dyDescent="0.2">
      <c r="A94">
        <v>93</v>
      </c>
      <c r="B94" s="3">
        <v>40548</v>
      </c>
      <c r="C94">
        <v>1</v>
      </c>
      <c r="D94">
        <v>2011</v>
      </c>
      <c r="E94" t="s">
        <v>10</v>
      </c>
      <c r="F94">
        <v>0</v>
      </c>
      <c r="G94" t="b">
        <v>0</v>
      </c>
      <c r="H94" t="s">
        <v>15</v>
      </c>
      <c r="I94">
        <v>1</v>
      </c>
      <c r="J94">
        <v>0.2</v>
      </c>
      <c r="K94">
        <v>0.2576</v>
      </c>
      <c r="L94">
        <v>0.64</v>
      </c>
      <c r="M94">
        <v>0</v>
      </c>
      <c r="N94">
        <v>0</v>
      </c>
      <c r="O94">
        <v>6</v>
      </c>
      <c r="P94">
        <v>6</v>
      </c>
      <c r="S94" t="str">
        <f>IF(Dataset_A[[#This Row],[Hr]]&gt;=19,"Evening Time",IF(Dataset_A[[#This Row],[Hr]]&gt;=9,"Day Time",IF(Dataset_A[[#This Row],[Hr]]&gt;=0,"Night Time","")))</f>
        <v>Night Time</v>
      </c>
    </row>
    <row r="95" spans="1:19" x14ac:dyDescent="0.2">
      <c r="A95">
        <v>94</v>
      </c>
      <c r="B95" s="3">
        <v>40548</v>
      </c>
      <c r="C95">
        <v>1</v>
      </c>
      <c r="D95">
        <v>2011</v>
      </c>
      <c r="E95" t="s">
        <v>10</v>
      </c>
      <c r="F95">
        <v>1</v>
      </c>
      <c r="G95" t="b">
        <v>0</v>
      </c>
      <c r="H95" t="s">
        <v>15</v>
      </c>
      <c r="I95">
        <v>1</v>
      </c>
      <c r="J95">
        <v>0.16</v>
      </c>
      <c r="K95">
        <v>0.19700000000000001</v>
      </c>
      <c r="L95">
        <v>0.74</v>
      </c>
      <c r="M95">
        <v>8.9599999999999999E-2</v>
      </c>
      <c r="N95">
        <v>0</v>
      </c>
      <c r="O95">
        <v>6</v>
      </c>
      <c r="P95">
        <v>6</v>
      </c>
      <c r="S95" t="str">
        <f>IF(Dataset_A[[#This Row],[Hr]]&gt;=19,"Evening Time",IF(Dataset_A[[#This Row],[Hr]]&gt;=9,"Day Time",IF(Dataset_A[[#This Row],[Hr]]&gt;=0,"Night Time","")))</f>
        <v>Night Time</v>
      </c>
    </row>
    <row r="96" spans="1:19" x14ac:dyDescent="0.2">
      <c r="A96">
        <v>95</v>
      </c>
      <c r="B96" s="3">
        <v>40548</v>
      </c>
      <c r="C96">
        <v>1</v>
      </c>
      <c r="D96">
        <v>2011</v>
      </c>
      <c r="E96" t="s">
        <v>10</v>
      </c>
      <c r="F96">
        <v>2</v>
      </c>
      <c r="G96" t="b">
        <v>0</v>
      </c>
      <c r="H96" t="s">
        <v>15</v>
      </c>
      <c r="I96">
        <v>1</v>
      </c>
      <c r="J96">
        <v>0.16</v>
      </c>
      <c r="K96">
        <v>0.19700000000000001</v>
      </c>
      <c r="L96">
        <v>0.74</v>
      </c>
      <c r="M96">
        <v>8.9599999999999999E-2</v>
      </c>
      <c r="N96">
        <v>0</v>
      </c>
      <c r="O96">
        <v>2</v>
      </c>
      <c r="P96">
        <v>2</v>
      </c>
      <c r="S96" t="str">
        <f>IF(Dataset_A[[#This Row],[Hr]]&gt;=19,"Evening Time",IF(Dataset_A[[#This Row],[Hr]]&gt;=9,"Day Time",IF(Dataset_A[[#This Row],[Hr]]&gt;=0,"Night Time","")))</f>
        <v>Night Time</v>
      </c>
    </row>
    <row r="97" spans="1:19" x14ac:dyDescent="0.2">
      <c r="A97">
        <v>96</v>
      </c>
      <c r="B97" s="3">
        <v>40548</v>
      </c>
      <c r="C97">
        <v>1</v>
      </c>
      <c r="D97">
        <v>2011</v>
      </c>
      <c r="E97" t="s">
        <v>10</v>
      </c>
      <c r="F97">
        <v>4</v>
      </c>
      <c r="G97" t="b">
        <v>0</v>
      </c>
      <c r="H97" t="s">
        <v>15</v>
      </c>
      <c r="I97">
        <v>1</v>
      </c>
      <c r="J97">
        <v>0.24</v>
      </c>
      <c r="K97">
        <v>0.2273</v>
      </c>
      <c r="L97">
        <v>0.48</v>
      </c>
      <c r="M97">
        <v>0.22389999999999999</v>
      </c>
      <c r="N97">
        <v>0</v>
      </c>
      <c r="O97">
        <v>2</v>
      </c>
      <c r="P97">
        <v>2</v>
      </c>
      <c r="S97" t="str">
        <f>IF(Dataset_A[[#This Row],[Hr]]&gt;=19,"Evening Time",IF(Dataset_A[[#This Row],[Hr]]&gt;=9,"Day Time",IF(Dataset_A[[#This Row],[Hr]]&gt;=0,"Night Time","")))</f>
        <v>Night Time</v>
      </c>
    </row>
    <row r="98" spans="1:19" x14ac:dyDescent="0.2">
      <c r="A98">
        <v>97</v>
      </c>
      <c r="B98" s="3">
        <v>40548</v>
      </c>
      <c r="C98">
        <v>1</v>
      </c>
      <c r="D98">
        <v>2011</v>
      </c>
      <c r="E98" t="s">
        <v>10</v>
      </c>
      <c r="F98">
        <v>5</v>
      </c>
      <c r="G98" t="b">
        <v>0</v>
      </c>
      <c r="H98" t="s">
        <v>15</v>
      </c>
      <c r="I98">
        <v>1</v>
      </c>
      <c r="J98">
        <v>0.22</v>
      </c>
      <c r="K98">
        <v>0.2273</v>
      </c>
      <c r="L98">
        <v>0.47</v>
      </c>
      <c r="M98">
        <v>0.16420000000000001</v>
      </c>
      <c r="N98">
        <v>0</v>
      </c>
      <c r="O98">
        <v>3</v>
      </c>
      <c r="P98">
        <v>3</v>
      </c>
      <c r="S98" t="str">
        <f>IF(Dataset_A[[#This Row],[Hr]]&gt;=19,"Evening Time",IF(Dataset_A[[#This Row],[Hr]]&gt;=9,"Day Time",IF(Dataset_A[[#This Row],[Hr]]&gt;=0,"Night Time","")))</f>
        <v>Night Time</v>
      </c>
    </row>
    <row r="99" spans="1:19" x14ac:dyDescent="0.2">
      <c r="A99">
        <v>98</v>
      </c>
      <c r="B99" s="3">
        <v>40548</v>
      </c>
      <c r="C99">
        <v>1</v>
      </c>
      <c r="D99">
        <v>2011</v>
      </c>
      <c r="E99" t="s">
        <v>10</v>
      </c>
      <c r="F99">
        <v>6</v>
      </c>
      <c r="G99" t="b">
        <v>0</v>
      </c>
      <c r="H99" t="s">
        <v>15</v>
      </c>
      <c r="I99">
        <v>1</v>
      </c>
      <c r="J99">
        <v>0.2</v>
      </c>
      <c r="K99">
        <v>0.19700000000000001</v>
      </c>
      <c r="L99">
        <v>0.47</v>
      </c>
      <c r="M99">
        <v>0.22389999999999999</v>
      </c>
      <c r="N99">
        <v>0</v>
      </c>
      <c r="O99">
        <v>33</v>
      </c>
      <c r="P99">
        <v>33</v>
      </c>
      <c r="S99" t="str">
        <f>IF(Dataset_A[[#This Row],[Hr]]&gt;=19,"Evening Time",IF(Dataset_A[[#This Row],[Hr]]&gt;=9,"Day Time",IF(Dataset_A[[#This Row],[Hr]]&gt;=0,"Night Time","")))</f>
        <v>Night Time</v>
      </c>
    </row>
    <row r="100" spans="1:19" x14ac:dyDescent="0.2">
      <c r="A100">
        <v>99</v>
      </c>
      <c r="B100" s="3">
        <v>40548</v>
      </c>
      <c r="C100">
        <v>1</v>
      </c>
      <c r="D100">
        <v>2011</v>
      </c>
      <c r="E100" t="s">
        <v>10</v>
      </c>
      <c r="F100">
        <v>7</v>
      </c>
      <c r="G100" t="b">
        <v>0</v>
      </c>
      <c r="H100" t="s">
        <v>15</v>
      </c>
      <c r="I100">
        <v>1</v>
      </c>
      <c r="J100">
        <v>0.18</v>
      </c>
      <c r="K100">
        <v>0.18179999999999999</v>
      </c>
      <c r="L100">
        <v>0.43</v>
      </c>
      <c r="M100">
        <v>0.19400000000000001</v>
      </c>
      <c r="N100">
        <v>1</v>
      </c>
      <c r="O100">
        <v>87</v>
      </c>
      <c r="P100">
        <v>88</v>
      </c>
      <c r="S100" t="str">
        <f>IF(Dataset_A[[#This Row],[Hr]]&gt;=19,"Evening Time",IF(Dataset_A[[#This Row],[Hr]]&gt;=9,"Day Time",IF(Dataset_A[[#This Row],[Hr]]&gt;=0,"Night Time","")))</f>
        <v>Night Time</v>
      </c>
    </row>
    <row r="101" spans="1:19" x14ac:dyDescent="0.2">
      <c r="A101">
        <v>100</v>
      </c>
      <c r="B101" s="3">
        <v>40548</v>
      </c>
      <c r="C101">
        <v>1</v>
      </c>
      <c r="D101">
        <v>2011</v>
      </c>
      <c r="E101" t="s">
        <v>10</v>
      </c>
      <c r="F101">
        <v>8</v>
      </c>
      <c r="G101" t="b">
        <v>0</v>
      </c>
      <c r="H101" t="s">
        <v>15</v>
      </c>
      <c r="I101">
        <v>1</v>
      </c>
      <c r="J101">
        <v>0.2</v>
      </c>
      <c r="K101">
        <v>0.18179999999999999</v>
      </c>
      <c r="L101">
        <v>0.4</v>
      </c>
      <c r="M101">
        <v>0.29849999999999999</v>
      </c>
      <c r="N101">
        <v>3</v>
      </c>
      <c r="O101">
        <v>192</v>
      </c>
      <c r="P101">
        <v>195</v>
      </c>
      <c r="S101" t="str">
        <f>IF(Dataset_A[[#This Row],[Hr]]&gt;=19,"Evening Time",IF(Dataset_A[[#This Row],[Hr]]&gt;=9,"Day Time",IF(Dataset_A[[#This Row],[Hr]]&gt;=0,"Night Time","")))</f>
        <v>Night Time</v>
      </c>
    </row>
    <row r="102" spans="1:19" x14ac:dyDescent="0.2">
      <c r="A102">
        <v>101</v>
      </c>
      <c r="B102" s="3">
        <v>40548</v>
      </c>
      <c r="C102">
        <v>1</v>
      </c>
      <c r="D102">
        <v>2011</v>
      </c>
      <c r="E102" t="s">
        <v>10</v>
      </c>
      <c r="F102">
        <v>9</v>
      </c>
      <c r="G102" t="b">
        <v>0</v>
      </c>
      <c r="H102" t="s">
        <v>15</v>
      </c>
      <c r="I102">
        <v>1</v>
      </c>
      <c r="J102">
        <v>0.22</v>
      </c>
      <c r="K102">
        <v>0.19700000000000001</v>
      </c>
      <c r="L102">
        <v>0.37</v>
      </c>
      <c r="M102">
        <v>0.32840000000000003</v>
      </c>
      <c r="N102">
        <v>6</v>
      </c>
      <c r="O102">
        <v>109</v>
      </c>
      <c r="P102">
        <v>115</v>
      </c>
      <c r="S102" t="str">
        <f>IF(Dataset_A[[#This Row],[Hr]]&gt;=19,"Evening Time",IF(Dataset_A[[#This Row],[Hr]]&gt;=9,"Day Time",IF(Dataset_A[[#This Row],[Hr]]&gt;=0,"Night Time","")))</f>
        <v>Day Time</v>
      </c>
    </row>
    <row r="103" spans="1:19" x14ac:dyDescent="0.2">
      <c r="A103">
        <v>102</v>
      </c>
      <c r="B103" s="3">
        <v>40548</v>
      </c>
      <c r="C103">
        <v>1</v>
      </c>
      <c r="D103">
        <v>2011</v>
      </c>
      <c r="E103" t="s">
        <v>10</v>
      </c>
      <c r="F103">
        <v>10</v>
      </c>
      <c r="G103" t="b">
        <v>0</v>
      </c>
      <c r="H103" t="s">
        <v>15</v>
      </c>
      <c r="I103">
        <v>1</v>
      </c>
      <c r="J103">
        <v>0.22</v>
      </c>
      <c r="K103">
        <v>0.19700000000000001</v>
      </c>
      <c r="L103">
        <v>0.37</v>
      </c>
      <c r="M103">
        <v>0.32840000000000003</v>
      </c>
      <c r="N103">
        <v>4</v>
      </c>
      <c r="O103">
        <v>53</v>
      </c>
      <c r="P103">
        <v>57</v>
      </c>
      <c r="S103" t="str">
        <f>IF(Dataset_A[[#This Row],[Hr]]&gt;=19,"Evening Time",IF(Dataset_A[[#This Row],[Hr]]&gt;=9,"Day Time",IF(Dataset_A[[#This Row],[Hr]]&gt;=0,"Night Time","")))</f>
        <v>Day Time</v>
      </c>
    </row>
    <row r="104" spans="1:19" x14ac:dyDescent="0.2">
      <c r="A104">
        <v>103</v>
      </c>
      <c r="B104" s="3">
        <v>40548</v>
      </c>
      <c r="C104">
        <v>1</v>
      </c>
      <c r="D104">
        <v>2011</v>
      </c>
      <c r="E104" t="s">
        <v>10</v>
      </c>
      <c r="F104">
        <v>11</v>
      </c>
      <c r="G104" t="b">
        <v>0</v>
      </c>
      <c r="H104" t="s">
        <v>15</v>
      </c>
      <c r="I104">
        <v>1</v>
      </c>
      <c r="J104">
        <v>0.26</v>
      </c>
      <c r="K104">
        <v>0.2273</v>
      </c>
      <c r="L104">
        <v>0.33</v>
      </c>
      <c r="M104">
        <v>0.32840000000000003</v>
      </c>
      <c r="N104">
        <v>12</v>
      </c>
      <c r="O104">
        <v>34</v>
      </c>
      <c r="P104">
        <v>46</v>
      </c>
      <c r="S104" t="str">
        <f>IF(Dataset_A[[#This Row],[Hr]]&gt;=19,"Evening Time",IF(Dataset_A[[#This Row],[Hr]]&gt;=9,"Day Time",IF(Dataset_A[[#This Row],[Hr]]&gt;=0,"Night Time","")))</f>
        <v>Day Time</v>
      </c>
    </row>
    <row r="105" spans="1:19" x14ac:dyDescent="0.2">
      <c r="A105">
        <v>104</v>
      </c>
      <c r="B105" s="3">
        <v>40548</v>
      </c>
      <c r="C105">
        <v>1</v>
      </c>
      <c r="D105">
        <v>2011</v>
      </c>
      <c r="E105" t="s">
        <v>10</v>
      </c>
      <c r="F105">
        <v>12</v>
      </c>
      <c r="G105" t="b">
        <v>0</v>
      </c>
      <c r="H105" t="s">
        <v>15</v>
      </c>
      <c r="I105">
        <v>1</v>
      </c>
      <c r="J105">
        <v>0.26</v>
      </c>
      <c r="K105">
        <v>0.2273</v>
      </c>
      <c r="L105">
        <v>0.33</v>
      </c>
      <c r="M105">
        <v>0.32840000000000003</v>
      </c>
      <c r="N105">
        <v>5</v>
      </c>
      <c r="O105">
        <v>74</v>
      </c>
      <c r="P105">
        <v>79</v>
      </c>
      <c r="S105" t="str">
        <f>IF(Dataset_A[[#This Row],[Hr]]&gt;=19,"Evening Time",IF(Dataset_A[[#This Row],[Hr]]&gt;=9,"Day Time",IF(Dataset_A[[#This Row],[Hr]]&gt;=0,"Night Time","")))</f>
        <v>Day Time</v>
      </c>
    </row>
    <row r="106" spans="1:19" x14ac:dyDescent="0.2">
      <c r="A106">
        <v>105</v>
      </c>
      <c r="B106" s="3">
        <v>40548</v>
      </c>
      <c r="C106">
        <v>1</v>
      </c>
      <c r="D106">
        <v>2011</v>
      </c>
      <c r="E106" t="s">
        <v>10</v>
      </c>
      <c r="F106">
        <v>13</v>
      </c>
      <c r="G106" t="b">
        <v>0</v>
      </c>
      <c r="H106" t="s">
        <v>15</v>
      </c>
      <c r="I106">
        <v>1</v>
      </c>
      <c r="J106">
        <v>0.28000000000000003</v>
      </c>
      <c r="K106">
        <v>0.2576</v>
      </c>
      <c r="L106">
        <v>0.3</v>
      </c>
      <c r="M106">
        <v>0.29849999999999999</v>
      </c>
      <c r="N106">
        <v>6</v>
      </c>
      <c r="O106">
        <v>65</v>
      </c>
      <c r="P106">
        <v>71</v>
      </c>
      <c r="S106" t="str">
        <f>IF(Dataset_A[[#This Row],[Hr]]&gt;=19,"Evening Time",IF(Dataset_A[[#This Row],[Hr]]&gt;=9,"Day Time",IF(Dataset_A[[#This Row],[Hr]]&gt;=0,"Night Time","")))</f>
        <v>Day Time</v>
      </c>
    </row>
    <row r="107" spans="1:19" x14ac:dyDescent="0.2">
      <c r="A107">
        <v>106</v>
      </c>
      <c r="B107" s="3">
        <v>40548</v>
      </c>
      <c r="C107">
        <v>1</v>
      </c>
      <c r="D107">
        <v>2011</v>
      </c>
      <c r="E107" t="s">
        <v>10</v>
      </c>
      <c r="F107">
        <v>14</v>
      </c>
      <c r="G107" t="b">
        <v>0</v>
      </c>
      <c r="H107" t="s">
        <v>15</v>
      </c>
      <c r="I107">
        <v>1</v>
      </c>
      <c r="J107">
        <v>0.3</v>
      </c>
      <c r="K107">
        <v>0.28789999999999999</v>
      </c>
      <c r="L107">
        <v>0.28000000000000003</v>
      </c>
      <c r="M107">
        <v>0.19400000000000001</v>
      </c>
      <c r="N107">
        <v>10</v>
      </c>
      <c r="O107">
        <v>52</v>
      </c>
      <c r="P107">
        <v>62</v>
      </c>
      <c r="S107" t="str">
        <f>IF(Dataset_A[[#This Row],[Hr]]&gt;=19,"Evening Time",IF(Dataset_A[[#This Row],[Hr]]&gt;=9,"Day Time",IF(Dataset_A[[#This Row],[Hr]]&gt;=0,"Night Time","")))</f>
        <v>Day Time</v>
      </c>
    </row>
    <row r="108" spans="1:19" x14ac:dyDescent="0.2">
      <c r="A108">
        <v>107</v>
      </c>
      <c r="B108" s="3">
        <v>40548</v>
      </c>
      <c r="C108">
        <v>1</v>
      </c>
      <c r="D108">
        <v>2011</v>
      </c>
      <c r="E108" t="s">
        <v>10</v>
      </c>
      <c r="F108">
        <v>15</v>
      </c>
      <c r="G108" t="b">
        <v>0</v>
      </c>
      <c r="H108" t="s">
        <v>15</v>
      </c>
      <c r="I108">
        <v>1</v>
      </c>
      <c r="J108">
        <v>0.3</v>
      </c>
      <c r="K108">
        <v>0.28789999999999999</v>
      </c>
      <c r="L108">
        <v>0.28000000000000003</v>
      </c>
      <c r="M108">
        <v>0.19400000000000001</v>
      </c>
      <c r="N108">
        <v>7</v>
      </c>
      <c r="O108">
        <v>55</v>
      </c>
      <c r="P108">
        <v>62</v>
      </c>
      <c r="S108" t="str">
        <f>IF(Dataset_A[[#This Row],[Hr]]&gt;=19,"Evening Time",IF(Dataset_A[[#This Row],[Hr]]&gt;=9,"Day Time",IF(Dataset_A[[#This Row],[Hr]]&gt;=0,"Night Time","")))</f>
        <v>Day Time</v>
      </c>
    </row>
    <row r="109" spans="1:19" x14ac:dyDescent="0.2">
      <c r="A109">
        <v>108</v>
      </c>
      <c r="B109" s="3">
        <v>40548</v>
      </c>
      <c r="C109">
        <v>1</v>
      </c>
      <c r="D109">
        <v>2011</v>
      </c>
      <c r="E109" t="s">
        <v>10</v>
      </c>
      <c r="F109">
        <v>16</v>
      </c>
      <c r="G109" t="b">
        <v>0</v>
      </c>
      <c r="H109" t="s">
        <v>15</v>
      </c>
      <c r="I109">
        <v>1</v>
      </c>
      <c r="J109">
        <v>0.3</v>
      </c>
      <c r="K109">
        <v>0.31819999999999998</v>
      </c>
      <c r="L109">
        <v>0.28000000000000003</v>
      </c>
      <c r="M109">
        <v>8.9599999999999999E-2</v>
      </c>
      <c r="N109">
        <v>4</v>
      </c>
      <c r="O109">
        <v>85</v>
      </c>
      <c r="P109">
        <v>89</v>
      </c>
      <c r="S109" t="str">
        <f>IF(Dataset_A[[#This Row],[Hr]]&gt;=19,"Evening Time",IF(Dataset_A[[#This Row],[Hr]]&gt;=9,"Day Time",IF(Dataset_A[[#This Row],[Hr]]&gt;=0,"Night Time","")))</f>
        <v>Day Time</v>
      </c>
    </row>
    <row r="110" spans="1:19" x14ac:dyDescent="0.2">
      <c r="A110">
        <v>109</v>
      </c>
      <c r="B110" s="3">
        <v>40548</v>
      </c>
      <c r="C110">
        <v>1</v>
      </c>
      <c r="D110">
        <v>2011</v>
      </c>
      <c r="E110" t="s">
        <v>10</v>
      </c>
      <c r="F110">
        <v>17</v>
      </c>
      <c r="G110" t="b">
        <v>0</v>
      </c>
      <c r="H110" t="s">
        <v>15</v>
      </c>
      <c r="I110">
        <v>1</v>
      </c>
      <c r="J110">
        <v>0.24</v>
      </c>
      <c r="K110">
        <v>0.2273</v>
      </c>
      <c r="L110">
        <v>0.38</v>
      </c>
      <c r="M110">
        <v>0.19400000000000001</v>
      </c>
      <c r="N110">
        <v>4</v>
      </c>
      <c r="O110">
        <v>186</v>
      </c>
      <c r="P110">
        <v>190</v>
      </c>
      <c r="S110" t="str">
        <f>IF(Dataset_A[[#This Row],[Hr]]&gt;=19,"Evening Time",IF(Dataset_A[[#This Row],[Hr]]&gt;=9,"Day Time",IF(Dataset_A[[#This Row],[Hr]]&gt;=0,"Night Time","")))</f>
        <v>Day Time</v>
      </c>
    </row>
    <row r="111" spans="1:19" x14ac:dyDescent="0.2">
      <c r="A111">
        <v>110</v>
      </c>
      <c r="B111" s="3">
        <v>40548</v>
      </c>
      <c r="C111">
        <v>1</v>
      </c>
      <c r="D111">
        <v>2011</v>
      </c>
      <c r="E111" t="s">
        <v>10</v>
      </c>
      <c r="F111">
        <v>18</v>
      </c>
      <c r="G111" t="b">
        <v>0</v>
      </c>
      <c r="H111" t="s">
        <v>15</v>
      </c>
      <c r="I111">
        <v>1</v>
      </c>
      <c r="J111">
        <v>0.24</v>
      </c>
      <c r="K111">
        <v>0.2424</v>
      </c>
      <c r="L111">
        <v>0.38</v>
      </c>
      <c r="M111">
        <v>0.1343</v>
      </c>
      <c r="N111">
        <v>3</v>
      </c>
      <c r="O111">
        <v>166</v>
      </c>
      <c r="P111">
        <v>169</v>
      </c>
      <c r="S111" t="str">
        <f>IF(Dataset_A[[#This Row],[Hr]]&gt;=19,"Evening Time",IF(Dataset_A[[#This Row],[Hr]]&gt;=9,"Day Time",IF(Dataset_A[[#This Row],[Hr]]&gt;=0,"Night Time","")))</f>
        <v>Day Time</v>
      </c>
    </row>
    <row r="112" spans="1:19" x14ac:dyDescent="0.2">
      <c r="A112">
        <v>111</v>
      </c>
      <c r="B112" s="3">
        <v>40548</v>
      </c>
      <c r="C112">
        <v>1</v>
      </c>
      <c r="D112">
        <v>2011</v>
      </c>
      <c r="E112" t="s">
        <v>10</v>
      </c>
      <c r="F112">
        <v>19</v>
      </c>
      <c r="G112" t="b">
        <v>0</v>
      </c>
      <c r="H112" t="s">
        <v>15</v>
      </c>
      <c r="I112">
        <v>1</v>
      </c>
      <c r="J112">
        <v>0.24</v>
      </c>
      <c r="K112">
        <v>0.2576</v>
      </c>
      <c r="L112">
        <v>0.38</v>
      </c>
      <c r="M112">
        <v>0.1045</v>
      </c>
      <c r="N112">
        <v>5</v>
      </c>
      <c r="O112">
        <v>127</v>
      </c>
      <c r="P112">
        <v>132</v>
      </c>
      <c r="S112" t="str">
        <f>IF(Dataset_A[[#This Row],[Hr]]&gt;=19,"Evening Time",IF(Dataset_A[[#This Row],[Hr]]&gt;=9,"Day Time",IF(Dataset_A[[#This Row],[Hr]]&gt;=0,"Night Time","")))</f>
        <v>Evening Time</v>
      </c>
    </row>
    <row r="113" spans="1:19" x14ac:dyDescent="0.2">
      <c r="A113">
        <v>112</v>
      </c>
      <c r="B113" s="3">
        <v>40548</v>
      </c>
      <c r="C113">
        <v>1</v>
      </c>
      <c r="D113">
        <v>2011</v>
      </c>
      <c r="E113" t="s">
        <v>10</v>
      </c>
      <c r="F113">
        <v>20</v>
      </c>
      <c r="G113" t="b">
        <v>0</v>
      </c>
      <c r="H113" t="s">
        <v>15</v>
      </c>
      <c r="I113">
        <v>1</v>
      </c>
      <c r="J113">
        <v>0.22</v>
      </c>
      <c r="K113">
        <v>0.2273</v>
      </c>
      <c r="L113">
        <v>0.47</v>
      </c>
      <c r="M113">
        <v>0.16420000000000001</v>
      </c>
      <c r="N113">
        <v>7</v>
      </c>
      <c r="O113">
        <v>82</v>
      </c>
      <c r="P113">
        <v>89</v>
      </c>
      <c r="S113" t="str">
        <f>IF(Dataset_A[[#This Row],[Hr]]&gt;=19,"Evening Time",IF(Dataset_A[[#This Row],[Hr]]&gt;=9,"Day Time",IF(Dataset_A[[#This Row],[Hr]]&gt;=0,"Night Time","")))</f>
        <v>Evening Time</v>
      </c>
    </row>
    <row r="114" spans="1:19" x14ac:dyDescent="0.2">
      <c r="A114">
        <v>113</v>
      </c>
      <c r="B114" s="3">
        <v>40548</v>
      </c>
      <c r="C114">
        <v>1</v>
      </c>
      <c r="D114">
        <v>2011</v>
      </c>
      <c r="E114" t="s">
        <v>10</v>
      </c>
      <c r="F114">
        <v>21</v>
      </c>
      <c r="G114" t="b">
        <v>0</v>
      </c>
      <c r="H114" t="s">
        <v>15</v>
      </c>
      <c r="I114">
        <v>1</v>
      </c>
      <c r="J114">
        <v>0.2</v>
      </c>
      <c r="K114">
        <v>0.19700000000000001</v>
      </c>
      <c r="L114">
        <v>0.51</v>
      </c>
      <c r="M114">
        <v>0.19400000000000001</v>
      </c>
      <c r="N114">
        <v>3</v>
      </c>
      <c r="O114">
        <v>40</v>
      </c>
      <c r="P114">
        <v>43</v>
      </c>
      <c r="S114" t="str">
        <f>IF(Dataset_A[[#This Row],[Hr]]&gt;=19,"Evening Time",IF(Dataset_A[[#This Row],[Hr]]&gt;=9,"Day Time",IF(Dataset_A[[#This Row],[Hr]]&gt;=0,"Night Time","")))</f>
        <v>Evening Time</v>
      </c>
    </row>
    <row r="115" spans="1:19" x14ac:dyDescent="0.2">
      <c r="A115">
        <v>114</v>
      </c>
      <c r="B115" s="3">
        <v>40548</v>
      </c>
      <c r="C115">
        <v>1</v>
      </c>
      <c r="D115">
        <v>2011</v>
      </c>
      <c r="E115" t="s">
        <v>10</v>
      </c>
      <c r="F115">
        <v>22</v>
      </c>
      <c r="G115" t="b">
        <v>0</v>
      </c>
      <c r="H115" t="s">
        <v>15</v>
      </c>
      <c r="I115">
        <v>1</v>
      </c>
      <c r="J115">
        <v>0.18</v>
      </c>
      <c r="K115">
        <v>0.19700000000000001</v>
      </c>
      <c r="L115">
        <v>0.55000000000000004</v>
      </c>
      <c r="M115">
        <v>0.1343</v>
      </c>
      <c r="N115">
        <v>1</v>
      </c>
      <c r="O115">
        <v>41</v>
      </c>
      <c r="P115">
        <v>42</v>
      </c>
      <c r="S115" t="str">
        <f>IF(Dataset_A[[#This Row],[Hr]]&gt;=19,"Evening Time",IF(Dataset_A[[#This Row],[Hr]]&gt;=9,"Day Time",IF(Dataset_A[[#This Row],[Hr]]&gt;=0,"Night Time","")))</f>
        <v>Evening Time</v>
      </c>
    </row>
    <row r="116" spans="1:19" x14ac:dyDescent="0.2">
      <c r="A116">
        <v>115</v>
      </c>
      <c r="B116" s="3">
        <v>40548</v>
      </c>
      <c r="C116">
        <v>1</v>
      </c>
      <c r="D116">
        <v>2011</v>
      </c>
      <c r="E116" t="s">
        <v>10</v>
      </c>
      <c r="F116">
        <v>23</v>
      </c>
      <c r="G116" t="b">
        <v>0</v>
      </c>
      <c r="H116" t="s">
        <v>15</v>
      </c>
      <c r="I116">
        <v>1</v>
      </c>
      <c r="J116">
        <v>0.2</v>
      </c>
      <c r="K116">
        <v>0.2576</v>
      </c>
      <c r="L116">
        <v>0.47</v>
      </c>
      <c r="M116">
        <v>0</v>
      </c>
      <c r="N116">
        <v>1</v>
      </c>
      <c r="O116">
        <v>18</v>
      </c>
      <c r="P116">
        <v>19</v>
      </c>
      <c r="S116" t="str">
        <f>IF(Dataset_A[[#This Row],[Hr]]&gt;=19,"Evening Time",IF(Dataset_A[[#This Row],[Hr]]&gt;=9,"Day Time",IF(Dataset_A[[#This Row],[Hr]]&gt;=0,"Night Time","")))</f>
        <v>Evening Time</v>
      </c>
    </row>
    <row r="117" spans="1:19" x14ac:dyDescent="0.2">
      <c r="A117">
        <v>116</v>
      </c>
      <c r="B117" s="3">
        <v>40549</v>
      </c>
      <c r="C117">
        <v>1</v>
      </c>
      <c r="D117">
        <v>2011</v>
      </c>
      <c r="E117" t="s">
        <v>10</v>
      </c>
      <c r="F117">
        <v>0</v>
      </c>
      <c r="G117" t="b">
        <v>0</v>
      </c>
      <c r="H117" t="s">
        <v>16</v>
      </c>
      <c r="I117">
        <v>1</v>
      </c>
      <c r="J117">
        <v>0.18</v>
      </c>
      <c r="K117">
        <v>0.2424</v>
      </c>
      <c r="L117">
        <v>0.55000000000000004</v>
      </c>
      <c r="M117">
        <v>0</v>
      </c>
      <c r="N117">
        <v>0</v>
      </c>
      <c r="O117">
        <v>11</v>
      </c>
      <c r="P117">
        <v>11</v>
      </c>
      <c r="S117" t="str">
        <f>IF(Dataset_A[[#This Row],[Hr]]&gt;=19,"Evening Time",IF(Dataset_A[[#This Row],[Hr]]&gt;=9,"Day Time",IF(Dataset_A[[#This Row],[Hr]]&gt;=0,"Night Time","")))</f>
        <v>Night Time</v>
      </c>
    </row>
    <row r="118" spans="1:19" x14ac:dyDescent="0.2">
      <c r="A118">
        <v>117</v>
      </c>
      <c r="B118" s="3">
        <v>40549</v>
      </c>
      <c r="C118">
        <v>1</v>
      </c>
      <c r="D118">
        <v>2011</v>
      </c>
      <c r="E118" t="s">
        <v>10</v>
      </c>
      <c r="F118">
        <v>1</v>
      </c>
      <c r="G118" t="b">
        <v>0</v>
      </c>
      <c r="H118" t="s">
        <v>16</v>
      </c>
      <c r="I118">
        <v>1</v>
      </c>
      <c r="J118">
        <v>0.16</v>
      </c>
      <c r="K118">
        <v>0.2273</v>
      </c>
      <c r="L118">
        <v>0.64</v>
      </c>
      <c r="M118">
        <v>0</v>
      </c>
      <c r="N118">
        <v>0</v>
      </c>
      <c r="O118">
        <v>4</v>
      </c>
      <c r="P118">
        <v>4</v>
      </c>
      <c r="S118" t="str">
        <f>IF(Dataset_A[[#This Row],[Hr]]&gt;=19,"Evening Time",IF(Dataset_A[[#This Row],[Hr]]&gt;=9,"Day Time",IF(Dataset_A[[#This Row],[Hr]]&gt;=0,"Night Time","")))</f>
        <v>Night Time</v>
      </c>
    </row>
    <row r="119" spans="1:19" x14ac:dyDescent="0.2">
      <c r="A119">
        <v>118</v>
      </c>
      <c r="B119" s="3">
        <v>40549</v>
      </c>
      <c r="C119">
        <v>1</v>
      </c>
      <c r="D119">
        <v>2011</v>
      </c>
      <c r="E119" t="s">
        <v>10</v>
      </c>
      <c r="F119">
        <v>2</v>
      </c>
      <c r="G119" t="b">
        <v>0</v>
      </c>
      <c r="H119" t="s">
        <v>16</v>
      </c>
      <c r="I119">
        <v>1</v>
      </c>
      <c r="J119">
        <v>0.16</v>
      </c>
      <c r="K119">
        <v>0.2273</v>
      </c>
      <c r="L119">
        <v>0.64</v>
      </c>
      <c r="M119">
        <v>0</v>
      </c>
      <c r="N119">
        <v>0</v>
      </c>
      <c r="O119">
        <v>2</v>
      </c>
      <c r="P119">
        <v>2</v>
      </c>
      <c r="S119" t="str">
        <f>IF(Dataset_A[[#This Row],[Hr]]&gt;=19,"Evening Time",IF(Dataset_A[[#This Row],[Hr]]&gt;=9,"Day Time",IF(Dataset_A[[#This Row],[Hr]]&gt;=0,"Night Time","")))</f>
        <v>Night Time</v>
      </c>
    </row>
    <row r="120" spans="1:19" x14ac:dyDescent="0.2">
      <c r="A120">
        <v>119</v>
      </c>
      <c r="B120" s="3">
        <v>40549</v>
      </c>
      <c r="C120">
        <v>1</v>
      </c>
      <c r="D120">
        <v>2011</v>
      </c>
      <c r="E120" t="s">
        <v>10</v>
      </c>
      <c r="F120">
        <v>4</v>
      </c>
      <c r="G120" t="b">
        <v>0</v>
      </c>
      <c r="H120" t="s">
        <v>16</v>
      </c>
      <c r="I120">
        <v>2</v>
      </c>
      <c r="J120">
        <v>0.16</v>
      </c>
      <c r="K120">
        <v>0.19700000000000001</v>
      </c>
      <c r="L120">
        <v>0.64</v>
      </c>
      <c r="M120">
        <v>8.9599999999999999E-2</v>
      </c>
      <c r="N120">
        <v>0</v>
      </c>
      <c r="O120">
        <v>1</v>
      </c>
      <c r="P120">
        <v>1</v>
      </c>
      <c r="S120" t="str">
        <f>IF(Dataset_A[[#This Row],[Hr]]&gt;=19,"Evening Time",IF(Dataset_A[[#This Row],[Hr]]&gt;=9,"Day Time",IF(Dataset_A[[#This Row],[Hr]]&gt;=0,"Night Time","")))</f>
        <v>Night Time</v>
      </c>
    </row>
    <row r="121" spans="1:19" x14ac:dyDescent="0.2">
      <c r="A121">
        <v>120</v>
      </c>
      <c r="B121" s="3">
        <v>40549</v>
      </c>
      <c r="C121">
        <v>1</v>
      </c>
      <c r="D121">
        <v>2011</v>
      </c>
      <c r="E121" t="s">
        <v>10</v>
      </c>
      <c r="F121">
        <v>5</v>
      </c>
      <c r="G121" t="b">
        <v>0</v>
      </c>
      <c r="H121" t="s">
        <v>16</v>
      </c>
      <c r="I121">
        <v>2</v>
      </c>
      <c r="J121">
        <v>0.14000000000000001</v>
      </c>
      <c r="K121">
        <v>0.18179999999999999</v>
      </c>
      <c r="L121">
        <v>0.69</v>
      </c>
      <c r="M121">
        <v>8.9599999999999999E-2</v>
      </c>
      <c r="N121">
        <v>0</v>
      </c>
      <c r="O121">
        <v>4</v>
      </c>
      <c r="P121">
        <v>4</v>
      </c>
      <c r="S121" t="str">
        <f>IF(Dataset_A[[#This Row],[Hr]]&gt;=19,"Evening Time",IF(Dataset_A[[#This Row],[Hr]]&gt;=9,"Day Time",IF(Dataset_A[[#This Row],[Hr]]&gt;=0,"Night Time","")))</f>
        <v>Night Time</v>
      </c>
    </row>
    <row r="122" spans="1:19" x14ac:dyDescent="0.2">
      <c r="A122">
        <v>121</v>
      </c>
      <c r="B122" s="3">
        <v>40549</v>
      </c>
      <c r="C122">
        <v>1</v>
      </c>
      <c r="D122">
        <v>2011</v>
      </c>
      <c r="E122" t="s">
        <v>10</v>
      </c>
      <c r="F122">
        <v>6</v>
      </c>
      <c r="G122" t="b">
        <v>0</v>
      </c>
      <c r="H122" t="s">
        <v>16</v>
      </c>
      <c r="I122">
        <v>2</v>
      </c>
      <c r="J122">
        <v>0.14000000000000001</v>
      </c>
      <c r="K122">
        <v>0.16669999999999999</v>
      </c>
      <c r="L122">
        <v>0.63</v>
      </c>
      <c r="M122">
        <v>0.1045</v>
      </c>
      <c r="N122">
        <v>0</v>
      </c>
      <c r="O122">
        <v>36</v>
      </c>
      <c r="P122">
        <v>36</v>
      </c>
      <c r="S122" t="str">
        <f>IF(Dataset_A[[#This Row],[Hr]]&gt;=19,"Evening Time",IF(Dataset_A[[#This Row],[Hr]]&gt;=9,"Day Time",IF(Dataset_A[[#This Row],[Hr]]&gt;=0,"Night Time","")))</f>
        <v>Night Time</v>
      </c>
    </row>
    <row r="123" spans="1:19" x14ac:dyDescent="0.2">
      <c r="A123">
        <v>122</v>
      </c>
      <c r="B123" s="3">
        <v>40549</v>
      </c>
      <c r="C123">
        <v>1</v>
      </c>
      <c r="D123">
        <v>2011</v>
      </c>
      <c r="E123" t="s">
        <v>10</v>
      </c>
      <c r="F123">
        <v>7</v>
      </c>
      <c r="G123" t="b">
        <v>0</v>
      </c>
      <c r="H123" t="s">
        <v>16</v>
      </c>
      <c r="I123">
        <v>2</v>
      </c>
      <c r="J123">
        <v>0.16</v>
      </c>
      <c r="K123">
        <v>0.2273</v>
      </c>
      <c r="L123">
        <v>0.59</v>
      </c>
      <c r="M123">
        <v>0</v>
      </c>
      <c r="N123">
        <v>0</v>
      </c>
      <c r="O123">
        <v>95</v>
      </c>
      <c r="P123">
        <v>95</v>
      </c>
      <c r="S123" t="str">
        <f>IF(Dataset_A[[#This Row],[Hr]]&gt;=19,"Evening Time",IF(Dataset_A[[#This Row],[Hr]]&gt;=9,"Day Time",IF(Dataset_A[[#This Row],[Hr]]&gt;=0,"Night Time","")))</f>
        <v>Night Time</v>
      </c>
    </row>
    <row r="124" spans="1:19" x14ac:dyDescent="0.2">
      <c r="A124">
        <v>123</v>
      </c>
      <c r="B124" s="3">
        <v>40549</v>
      </c>
      <c r="C124">
        <v>1</v>
      </c>
      <c r="D124">
        <v>2011</v>
      </c>
      <c r="E124" t="s">
        <v>10</v>
      </c>
      <c r="F124">
        <v>8</v>
      </c>
      <c r="G124" t="b">
        <v>0</v>
      </c>
      <c r="H124" t="s">
        <v>16</v>
      </c>
      <c r="I124">
        <v>1</v>
      </c>
      <c r="J124">
        <v>0.16</v>
      </c>
      <c r="K124">
        <v>0.2273</v>
      </c>
      <c r="L124">
        <v>0.59</v>
      </c>
      <c r="M124">
        <v>0</v>
      </c>
      <c r="N124">
        <v>3</v>
      </c>
      <c r="O124">
        <v>216</v>
      </c>
      <c r="P124">
        <v>219</v>
      </c>
      <c r="S124" t="str">
        <f>IF(Dataset_A[[#This Row],[Hr]]&gt;=19,"Evening Time",IF(Dataset_A[[#This Row],[Hr]]&gt;=9,"Day Time",IF(Dataset_A[[#This Row],[Hr]]&gt;=0,"Night Time","")))</f>
        <v>Night Time</v>
      </c>
    </row>
    <row r="125" spans="1:19" x14ac:dyDescent="0.2">
      <c r="A125">
        <v>124</v>
      </c>
      <c r="B125" s="3">
        <v>40549</v>
      </c>
      <c r="C125">
        <v>1</v>
      </c>
      <c r="D125">
        <v>2011</v>
      </c>
      <c r="E125" t="s">
        <v>10</v>
      </c>
      <c r="F125">
        <v>9</v>
      </c>
      <c r="G125" t="b">
        <v>0</v>
      </c>
      <c r="H125" t="s">
        <v>16</v>
      </c>
      <c r="I125">
        <v>2</v>
      </c>
      <c r="J125">
        <v>0.18</v>
      </c>
      <c r="K125">
        <v>0.2424</v>
      </c>
      <c r="L125">
        <v>0.51</v>
      </c>
      <c r="M125">
        <v>0</v>
      </c>
      <c r="N125">
        <v>6</v>
      </c>
      <c r="O125">
        <v>116</v>
      </c>
      <c r="P125">
        <v>122</v>
      </c>
      <c r="S125" t="str">
        <f>IF(Dataset_A[[#This Row],[Hr]]&gt;=19,"Evening Time",IF(Dataset_A[[#This Row],[Hr]]&gt;=9,"Day Time",IF(Dataset_A[[#This Row],[Hr]]&gt;=0,"Night Time","")))</f>
        <v>Day Time</v>
      </c>
    </row>
    <row r="126" spans="1:19" x14ac:dyDescent="0.2">
      <c r="A126">
        <v>125</v>
      </c>
      <c r="B126" s="3">
        <v>40549</v>
      </c>
      <c r="C126">
        <v>1</v>
      </c>
      <c r="D126">
        <v>2011</v>
      </c>
      <c r="E126" t="s">
        <v>10</v>
      </c>
      <c r="F126">
        <v>10</v>
      </c>
      <c r="G126" t="b">
        <v>0</v>
      </c>
      <c r="H126" t="s">
        <v>16</v>
      </c>
      <c r="I126">
        <v>1</v>
      </c>
      <c r="J126">
        <v>0.2</v>
      </c>
      <c r="K126">
        <v>0.2576</v>
      </c>
      <c r="L126">
        <v>0.47</v>
      </c>
      <c r="M126">
        <v>0</v>
      </c>
      <c r="N126">
        <v>3</v>
      </c>
      <c r="O126">
        <v>42</v>
      </c>
      <c r="P126">
        <v>45</v>
      </c>
      <c r="S126" t="str">
        <f>IF(Dataset_A[[#This Row],[Hr]]&gt;=19,"Evening Time",IF(Dataset_A[[#This Row],[Hr]]&gt;=9,"Day Time",IF(Dataset_A[[#This Row],[Hr]]&gt;=0,"Night Time","")))</f>
        <v>Day Time</v>
      </c>
    </row>
    <row r="127" spans="1:19" x14ac:dyDescent="0.2">
      <c r="A127">
        <v>126</v>
      </c>
      <c r="B127" s="3">
        <v>40549</v>
      </c>
      <c r="C127">
        <v>1</v>
      </c>
      <c r="D127">
        <v>2011</v>
      </c>
      <c r="E127" t="s">
        <v>10</v>
      </c>
      <c r="F127">
        <v>11</v>
      </c>
      <c r="G127" t="b">
        <v>0</v>
      </c>
      <c r="H127" t="s">
        <v>16</v>
      </c>
      <c r="I127">
        <v>1</v>
      </c>
      <c r="J127">
        <v>0.22</v>
      </c>
      <c r="K127">
        <v>0.2576</v>
      </c>
      <c r="L127">
        <v>0.44</v>
      </c>
      <c r="M127">
        <v>8.9599999999999999E-2</v>
      </c>
      <c r="N127">
        <v>2</v>
      </c>
      <c r="O127">
        <v>57</v>
      </c>
      <c r="P127">
        <v>59</v>
      </c>
      <c r="S127" t="str">
        <f>IF(Dataset_A[[#This Row],[Hr]]&gt;=19,"Evening Time",IF(Dataset_A[[#This Row],[Hr]]&gt;=9,"Day Time",IF(Dataset_A[[#This Row],[Hr]]&gt;=0,"Night Time","")))</f>
        <v>Day Time</v>
      </c>
    </row>
    <row r="128" spans="1:19" x14ac:dyDescent="0.2">
      <c r="A128">
        <v>127</v>
      </c>
      <c r="B128" s="3">
        <v>40549</v>
      </c>
      <c r="C128">
        <v>1</v>
      </c>
      <c r="D128">
        <v>2011</v>
      </c>
      <c r="E128" t="s">
        <v>10</v>
      </c>
      <c r="F128">
        <v>12</v>
      </c>
      <c r="G128" t="b">
        <v>0</v>
      </c>
      <c r="H128" t="s">
        <v>16</v>
      </c>
      <c r="I128">
        <v>1</v>
      </c>
      <c r="J128">
        <v>0.26</v>
      </c>
      <c r="K128">
        <v>0.28789999999999999</v>
      </c>
      <c r="L128">
        <v>0.35</v>
      </c>
      <c r="M128">
        <v>0</v>
      </c>
      <c r="N128">
        <v>6</v>
      </c>
      <c r="O128">
        <v>78</v>
      </c>
      <c r="P128">
        <v>84</v>
      </c>
      <c r="S128" t="str">
        <f>IF(Dataset_A[[#This Row],[Hr]]&gt;=19,"Evening Time",IF(Dataset_A[[#This Row],[Hr]]&gt;=9,"Day Time",IF(Dataset_A[[#This Row],[Hr]]&gt;=0,"Night Time","")))</f>
        <v>Day Time</v>
      </c>
    </row>
    <row r="129" spans="1:19" x14ac:dyDescent="0.2">
      <c r="A129">
        <v>128</v>
      </c>
      <c r="B129" s="3">
        <v>40549</v>
      </c>
      <c r="C129">
        <v>1</v>
      </c>
      <c r="D129">
        <v>2011</v>
      </c>
      <c r="E129" t="s">
        <v>10</v>
      </c>
      <c r="F129">
        <v>13</v>
      </c>
      <c r="G129" t="b">
        <v>0</v>
      </c>
      <c r="H129" t="s">
        <v>16</v>
      </c>
      <c r="I129">
        <v>1</v>
      </c>
      <c r="J129">
        <v>0.26</v>
      </c>
      <c r="K129">
        <v>0.2727</v>
      </c>
      <c r="L129">
        <v>0.35</v>
      </c>
      <c r="M129">
        <v>0.1045</v>
      </c>
      <c r="N129">
        <v>12</v>
      </c>
      <c r="O129">
        <v>55</v>
      </c>
      <c r="P129">
        <v>67</v>
      </c>
      <c r="S129" t="str">
        <f>IF(Dataset_A[[#This Row],[Hr]]&gt;=19,"Evening Time",IF(Dataset_A[[#This Row],[Hr]]&gt;=9,"Day Time",IF(Dataset_A[[#This Row],[Hr]]&gt;=0,"Night Time","")))</f>
        <v>Day Time</v>
      </c>
    </row>
    <row r="130" spans="1:19" x14ac:dyDescent="0.2">
      <c r="A130">
        <v>129</v>
      </c>
      <c r="B130" s="3">
        <v>40549</v>
      </c>
      <c r="C130">
        <v>1</v>
      </c>
      <c r="D130">
        <v>2011</v>
      </c>
      <c r="E130" t="s">
        <v>10</v>
      </c>
      <c r="F130">
        <v>14</v>
      </c>
      <c r="G130" t="b">
        <v>0</v>
      </c>
      <c r="H130" t="s">
        <v>16</v>
      </c>
      <c r="I130">
        <v>1</v>
      </c>
      <c r="J130">
        <v>0.28000000000000003</v>
      </c>
      <c r="K130">
        <v>0.2727</v>
      </c>
      <c r="L130">
        <v>0.36</v>
      </c>
      <c r="M130">
        <v>0.16420000000000001</v>
      </c>
      <c r="N130">
        <v>11</v>
      </c>
      <c r="O130">
        <v>59</v>
      </c>
      <c r="P130">
        <v>70</v>
      </c>
      <c r="S130" t="str">
        <f>IF(Dataset_A[[#This Row],[Hr]]&gt;=19,"Evening Time",IF(Dataset_A[[#This Row],[Hr]]&gt;=9,"Day Time",IF(Dataset_A[[#This Row],[Hr]]&gt;=0,"Night Time","")))</f>
        <v>Day Time</v>
      </c>
    </row>
    <row r="131" spans="1:19" x14ac:dyDescent="0.2">
      <c r="A131">
        <v>130</v>
      </c>
      <c r="B131" s="3">
        <v>40549</v>
      </c>
      <c r="C131">
        <v>1</v>
      </c>
      <c r="D131">
        <v>2011</v>
      </c>
      <c r="E131" t="s">
        <v>10</v>
      </c>
      <c r="F131">
        <v>15</v>
      </c>
      <c r="G131" t="b">
        <v>0</v>
      </c>
      <c r="H131" t="s">
        <v>16</v>
      </c>
      <c r="I131">
        <v>1</v>
      </c>
      <c r="J131">
        <v>0.28000000000000003</v>
      </c>
      <c r="K131">
        <v>0.2727</v>
      </c>
      <c r="L131">
        <v>0.36</v>
      </c>
      <c r="M131">
        <v>0</v>
      </c>
      <c r="N131">
        <v>8</v>
      </c>
      <c r="O131">
        <v>54</v>
      </c>
      <c r="P131">
        <v>62</v>
      </c>
      <c r="S131" t="str">
        <f>IF(Dataset_A[[#This Row],[Hr]]&gt;=19,"Evening Time",IF(Dataset_A[[#This Row],[Hr]]&gt;=9,"Day Time",IF(Dataset_A[[#This Row],[Hr]]&gt;=0,"Night Time","")))</f>
        <v>Day Time</v>
      </c>
    </row>
    <row r="132" spans="1:19" x14ac:dyDescent="0.2">
      <c r="A132">
        <v>131</v>
      </c>
      <c r="B132" s="3">
        <v>40549</v>
      </c>
      <c r="C132">
        <v>1</v>
      </c>
      <c r="D132">
        <v>2011</v>
      </c>
      <c r="E132" t="s">
        <v>10</v>
      </c>
      <c r="F132">
        <v>16</v>
      </c>
      <c r="G132" t="b">
        <v>0</v>
      </c>
      <c r="H132" t="s">
        <v>16</v>
      </c>
      <c r="I132">
        <v>1</v>
      </c>
      <c r="J132">
        <v>0.26</v>
      </c>
      <c r="K132">
        <v>0.2576</v>
      </c>
      <c r="L132">
        <v>0.38</v>
      </c>
      <c r="M132">
        <v>0.16420000000000001</v>
      </c>
      <c r="N132">
        <v>12</v>
      </c>
      <c r="O132">
        <v>74</v>
      </c>
      <c r="P132">
        <v>86</v>
      </c>
      <c r="S132" t="str">
        <f>IF(Dataset_A[[#This Row],[Hr]]&gt;=19,"Evening Time",IF(Dataset_A[[#This Row],[Hr]]&gt;=9,"Day Time",IF(Dataset_A[[#This Row],[Hr]]&gt;=0,"Night Time","")))</f>
        <v>Day Time</v>
      </c>
    </row>
    <row r="133" spans="1:19" x14ac:dyDescent="0.2">
      <c r="A133">
        <v>132</v>
      </c>
      <c r="B133" s="3">
        <v>40549</v>
      </c>
      <c r="C133">
        <v>1</v>
      </c>
      <c r="D133">
        <v>2011</v>
      </c>
      <c r="E133" t="s">
        <v>10</v>
      </c>
      <c r="F133">
        <v>17</v>
      </c>
      <c r="G133" t="b">
        <v>0</v>
      </c>
      <c r="H133" t="s">
        <v>16</v>
      </c>
      <c r="I133">
        <v>1</v>
      </c>
      <c r="J133">
        <v>0.22</v>
      </c>
      <c r="K133">
        <v>0.2273</v>
      </c>
      <c r="L133">
        <v>0.51</v>
      </c>
      <c r="M133">
        <v>0.16420000000000001</v>
      </c>
      <c r="N133">
        <v>9</v>
      </c>
      <c r="O133">
        <v>163</v>
      </c>
      <c r="P133">
        <v>172</v>
      </c>
      <c r="S133" t="str">
        <f>IF(Dataset_A[[#This Row],[Hr]]&gt;=19,"Evening Time",IF(Dataset_A[[#This Row],[Hr]]&gt;=9,"Day Time",IF(Dataset_A[[#This Row],[Hr]]&gt;=0,"Night Time","")))</f>
        <v>Day Time</v>
      </c>
    </row>
    <row r="134" spans="1:19" x14ac:dyDescent="0.2">
      <c r="A134">
        <v>133</v>
      </c>
      <c r="B134" s="3">
        <v>40549</v>
      </c>
      <c r="C134">
        <v>1</v>
      </c>
      <c r="D134">
        <v>2011</v>
      </c>
      <c r="E134" t="s">
        <v>10</v>
      </c>
      <c r="F134">
        <v>18</v>
      </c>
      <c r="G134" t="b">
        <v>0</v>
      </c>
      <c r="H134" t="s">
        <v>16</v>
      </c>
      <c r="I134">
        <v>1</v>
      </c>
      <c r="J134">
        <v>0.22</v>
      </c>
      <c r="K134">
        <v>0.2273</v>
      </c>
      <c r="L134">
        <v>0.51</v>
      </c>
      <c r="M134">
        <v>0.1343</v>
      </c>
      <c r="N134">
        <v>5</v>
      </c>
      <c r="O134">
        <v>158</v>
      </c>
      <c r="P134">
        <v>163</v>
      </c>
      <c r="S134" t="str">
        <f>IF(Dataset_A[[#This Row],[Hr]]&gt;=19,"Evening Time",IF(Dataset_A[[#This Row],[Hr]]&gt;=9,"Day Time",IF(Dataset_A[[#This Row],[Hr]]&gt;=0,"Night Time","")))</f>
        <v>Day Time</v>
      </c>
    </row>
    <row r="135" spans="1:19" x14ac:dyDescent="0.2">
      <c r="A135">
        <v>134</v>
      </c>
      <c r="B135" s="3">
        <v>40549</v>
      </c>
      <c r="C135">
        <v>1</v>
      </c>
      <c r="D135">
        <v>2011</v>
      </c>
      <c r="E135" t="s">
        <v>10</v>
      </c>
      <c r="F135">
        <v>19</v>
      </c>
      <c r="G135" t="b">
        <v>0</v>
      </c>
      <c r="H135" t="s">
        <v>16</v>
      </c>
      <c r="I135">
        <v>1</v>
      </c>
      <c r="J135">
        <v>0.22</v>
      </c>
      <c r="K135">
        <v>0.2576</v>
      </c>
      <c r="L135">
        <v>0.55000000000000004</v>
      </c>
      <c r="M135">
        <v>8.9599999999999999E-2</v>
      </c>
      <c r="N135">
        <v>3</v>
      </c>
      <c r="O135">
        <v>109</v>
      </c>
      <c r="P135">
        <v>112</v>
      </c>
      <c r="S135" t="str">
        <f>IF(Dataset_A[[#This Row],[Hr]]&gt;=19,"Evening Time",IF(Dataset_A[[#This Row],[Hr]]&gt;=9,"Day Time",IF(Dataset_A[[#This Row],[Hr]]&gt;=0,"Night Time","")))</f>
        <v>Evening Time</v>
      </c>
    </row>
    <row r="136" spans="1:19" x14ac:dyDescent="0.2">
      <c r="A136">
        <v>135</v>
      </c>
      <c r="B136" s="3">
        <v>40549</v>
      </c>
      <c r="C136">
        <v>1</v>
      </c>
      <c r="D136">
        <v>2011</v>
      </c>
      <c r="E136" t="s">
        <v>10</v>
      </c>
      <c r="F136">
        <v>20</v>
      </c>
      <c r="G136" t="b">
        <v>0</v>
      </c>
      <c r="H136" t="s">
        <v>16</v>
      </c>
      <c r="I136">
        <v>1</v>
      </c>
      <c r="J136">
        <v>0.2</v>
      </c>
      <c r="K136">
        <v>0.21210000000000001</v>
      </c>
      <c r="L136">
        <v>0.51</v>
      </c>
      <c r="M136">
        <v>0.16420000000000001</v>
      </c>
      <c r="N136">
        <v>3</v>
      </c>
      <c r="O136">
        <v>66</v>
      </c>
      <c r="P136">
        <v>69</v>
      </c>
      <c r="S136" t="str">
        <f>IF(Dataset_A[[#This Row],[Hr]]&gt;=19,"Evening Time",IF(Dataset_A[[#This Row],[Hr]]&gt;=9,"Day Time",IF(Dataset_A[[#This Row],[Hr]]&gt;=0,"Night Time","")))</f>
        <v>Evening Time</v>
      </c>
    </row>
    <row r="137" spans="1:19" x14ac:dyDescent="0.2">
      <c r="A137">
        <v>136</v>
      </c>
      <c r="B137" s="3">
        <v>40549</v>
      </c>
      <c r="C137">
        <v>1</v>
      </c>
      <c r="D137">
        <v>2011</v>
      </c>
      <c r="E137" t="s">
        <v>10</v>
      </c>
      <c r="F137">
        <v>21</v>
      </c>
      <c r="G137" t="b">
        <v>0</v>
      </c>
      <c r="H137" t="s">
        <v>16</v>
      </c>
      <c r="I137">
        <v>2</v>
      </c>
      <c r="J137">
        <v>0.22</v>
      </c>
      <c r="K137">
        <v>0.21210000000000001</v>
      </c>
      <c r="L137">
        <v>0.55000000000000004</v>
      </c>
      <c r="M137">
        <v>0.22389999999999999</v>
      </c>
      <c r="N137">
        <v>0</v>
      </c>
      <c r="O137">
        <v>48</v>
      </c>
      <c r="P137">
        <v>48</v>
      </c>
      <c r="S137" t="str">
        <f>IF(Dataset_A[[#This Row],[Hr]]&gt;=19,"Evening Time",IF(Dataset_A[[#This Row],[Hr]]&gt;=9,"Day Time",IF(Dataset_A[[#This Row],[Hr]]&gt;=0,"Night Time","")))</f>
        <v>Evening Time</v>
      </c>
    </row>
    <row r="138" spans="1:19" x14ac:dyDescent="0.2">
      <c r="A138">
        <v>137</v>
      </c>
      <c r="B138" s="3">
        <v>40549</v>
      </c>
      <c r="C138">
        <v>1</v>
      </c>
      <c r="D138">
        <v>2011</v>
      </c>
      <c r="E138" t="s">
        <v>10</v>
      </c>
      <c r="F138">
        <v>22</v>
      </c>
      <c r="G138" t="b">
        <v>0</v>
      </c>
      <c r="H138" t="s">
        <v>16</v>
      </c>
      <c r="I138">
        <v>2</v>
      </c>
      <c r="J138">
        <v>0.22</v>
      </c>
      <c r="K138">
        <v>0.21210000000000001</v>
      </c>
      <c r="L138">
        <v>0.51</v>
      </c>
      <c r="M138">
        <v>0.28360000000000002</v>
      </c>
      <c r="N138">
        <v>1</v>
      </c>
      <c r="O138">
        <v>51</v>
      </c>
      <c r="P138">
        <v>52</v>
      </c>
      <c r="S138" t="str">
        <f>IF(Dataset_A[[#This Row],[Hr]]&gt;=19,"Evening Time",IF(Dataset_A[[#This Row],[Hr]]&gt;=9,"Day Time",IF(Dataset_A[[#This Row],[Hr]]&gt;=0,"Night Time","")))</f>
        <v>Evening Time</v>
      </c>
    </row>
    <row r="139" spans="1:19" x14ac:dyDescent="0.2">
      <c r="A139">
        <v>138</v>
      </c>
      <c r="B139" s="3">
        <v>40549</v>
      </c>
      <c r="C139">
        <v>1</v>
      </c>
      <c r="D139">
        <v>2011</v>
      </c>
      <c r="E139" t="s">
        <v>10</v>
      </c>
      <c r="F139">
        <v>23</v>
      </c>
      <c r="G139" t="b">
        <v>0</v>
      </c>
      <c r="H139" t="s">
        <v>16</v>
      </c>
      <c r="I139">
        <v>2</v>
      </c>
      <c r="J139">
        <v>0.2</v>
      </c>
      <c r="K139">
        <v>0.19700000000000001</v>
      </c>
      <c r="L139">
        <v>0.59</v>
      </c>
      <c r="M139">
        <v>0.19400000000000001</v>
      </c>
      <c r="N139">
        <v>4</v>
      </c>
      <c r="O139">
        <v>19</v>
      </c>
      <c r="P139">
        <v>23</v>
      </c>
      <c r="S139" t="str">
        <f>IF(Dataset_A[[#This Row],[Hr]]&gt;=19,"Evening Time",IF(Dataset_A[[#This Row],[Hr]]&gt;=9,"Day Time",IF(Dataset_A[[#This Row],[Hr]]&gt;=0,"Night Time","")))</f>
        <v>Evening Time</v>
      </c>
    </row>
    <row r="140" spans="1:19" x14ac:dyDescent="0.2">
      <c r="A140">
        <v>139</v>
      </c>
      <c r="B140" s="3">
        <v>40550</v>
      </c>
      <c r="C140">
        <v>1</v>
      </c>
      <c r="D140">
        <v>2011</v>
      </c>
      <c r="E140" t="s">
        <v>10</v>
      </c>
      <c r="F140">
        <v>0</v>
      </c>
      <c r="G140" t="b">
        <v>0</v>
      </c>
      <c r="H140" t="s">
        <v>17</v>
      </c>
      <c r="I140">
        <v>2</v>
      </c>
      <c r="J140">
        <v>0.2</v>
      </c>
      <c r="K140">
        <v>0.19700000000000001</v>
      </c>
      <c r="L140">
        <v>0.64</v>
      </c>
      <c r="M140">
        <v>0.19400000000000001</v>
      </c>
      <c r="N140">
        <v>4</v>
      </c>
      <c r="O140">
        <v>13</v>
      </c>
      <c r="P140">
        <v>17</v>
      </c>
      <c r="S140" t="str">
        <f>IF(Dataset_A[[#This Row],[Hr]]&gt;=19,"Evening Time",IF(Dataset_A[[#This Row],[Hr]]&gt;=9,"Day Time",IF(Dataset_A[[#This Row],[Hr]]&gt;=0,"Night Time","")))</f>
        <v>Night Time</v>
      </c>
    </row>
    <row r="141" spans="1:19" x14ac:dyDescent="0.2">
      <c r="A141">
        <v>140</v>
      </c>
      <c r="B141" s="3">
        <v>40550</v>
      </c>
      <c r="C141">
        <v>1</v>
      </c>
      <c r="D141">
        <v>2011</v>
      </c>
      <c r="E141" t="s">
        <v>10</v>
      </c>
      <c r="F141">
        <v>1</v>
      </c>
      <c r="G141" t="b">
        <v>0</v>
      </c>
      <c r="H141" t="s">
        <v>17</v>
      </c>
      <c r="I141">
        <v>2</v>
      </c>
      <c r="J141">
        <v>0.2</v>
      </c>
      <c r="K141">
        <v>0.19700000000000001</v>
      </c>
      <c r="L141">
        <v>0.69</v>
      </c>
      <c r="M141">
        <v>0.22389999999999999</v>
      </c>
      <c r="N141">
        <v>2</v>
      </c>
      <c r="O141">
        <v>5</v>
      </c>
      <c r="P141">
        <v>7</v>
      </c>
      <c r="S141" t="str">
        <f>IF(Dataset_A[[#This Row],[Hr]]&gt;=19,"Evening Time",IF(Dataset_A[[#This Row],[Hr]]&gt;=9,"Day Time",IF(Dataset_A[[#This Row],[Hr]]&gt;=0,"Night Time","")))</f>
        <v>Night Time</v>
      </c>
    </row>
    <row r="142" spans="1:19" x14ac:dyDescent="0.2">
      <c r="A142">
        <v>141</v>
      </c>
      <c r="B142" s="3">
        <v>40550</v>
      </c>
      <c r="C142">
        <v>1</v>
      </c>
      <c r="D142">
        <v>2011</v>
      </c>
      <c r="E142" t="s">
        <v>10</v>
      </c>
      <c r="F142">
        <v>2</v>
      </c>
      <c r="G142" t="b">
        <v>0</v>
      </c>
      <c r="H142" t="s">
        <v>17</v>
      </c>
      <c r="I142">
        <v>2</v>
      </c>
      <c r="J142">
        <v>0.2</v>
      </c>
      <c r="K142">
        <v>0.19700000000000001</v>
      </c>
      <c r="L142">
        <v>0.69</v>
      </c>
      <c r="M142">
        <v>0.22389999999999999</v>
      </c>
      <c r="N142">
        <v>0</v>
      </c>
      <c r="O142">
        <v>1</v>
      </c>
      <c r="P142">
        <v>1</v>
      </c>
      <c r="S142" t="str">
        <f>IF(Dataset_A[[#This Row],[Hr]]&gt;=19,"Evening Time",IF(Dataset_A[[#This Row],[Hr]]&gt;=9,"Day Time",IF(Dataset_A[[#This Row],[Hr]]&gt;=0,"Night Time","")))</f>
        <v>Night Time</v>
      </c>
    </row>
    <row r="143" spans="1:19" x14ac:dyDescent="0.2">
      <c r="A143">
        <v>142</v>
      </c>
      <c r="B143" s="3">
        <v>40550</v>
      </c>
      <c r="C143">
        <v>1</v>
      </c>
      <c r="D143">
        <v>2011</v>
      </c>
      <c r="E143" t="s">
        <v>10</v>
      </c>
      <c r="F143">
        <v>4</v>
      </c>
      <c r="G143" t="b">
        <v>0</v>
      </c>
      <c r="H143" t="s">
        <v>17</v>
      </c>
      <c r="I143">
        <v>2</v>
      </c>
      <c r="J143">
        <v>0.2</v>
      </c>
      <c r="K143">
        <v>0.21210000000000001</v>
      </c>
      <c r="L143">
        <v>0.69</v>
      </c>
      <c r="M143">
        <v>0.1343</v>
      </c>
      <c r="N143">
        <v>0</v>
      </c>
      <c r="O143">
        <v>1</v>
      </c>
      <c r="P143">
        <v>1</v>
      </c>
      <c r="S143" t="str">
        <f>IF(Dataset_A[[#This Row],[Hr]]&gt;=19,"Evening Time",IF(Dataset_A[[#This Row],[Hr]]&gt;=9,"Day Time",IF(Dataset_A[[#This Row],[Hr]]&gt;=0,"Night Time","")))</f>
        <v>Night Time</v>
      </c>
    </row>
    <row r="144" spans="1:19" x14ac:dyDescent="0.2">
      <c r="A144">
        <v>143</v>
      </c>
      <c r="B144" s="3">
        <v>40550</v>
      </c>
      <c r="C144">
        <v>1</v>
      </c>
      <c r="D144">
        <v>2011</v>
      </c>
      <c r="E144" t="s">
        <v>10</v>
      </c>
      <c r="F144">
        <v>5</v>
      </c>
      <c r="G144" t="b">
        <v>0</v>
      </c>
      <c r="H144" t="s">
        <v>17</v>
      </c>
      <c r="I144">
        <v>3</v>
      </c>
      <c r="J144">
        <v>0.22</v>
      </c>
      <c r="K144">
        <v>0.2727</v>
      </c>
      <c r="L144">
        <v>0.55000000000000004</v>
      </c>
      <c r="M144">
        <v>0</v>
      </c>
      <c r="N144">
        <v>0</v>
      </c>
      <c r="O144">
        <v>5</v>
      </c>
      <c r="P144">
        <v>5</v>
      </c>
      <c r="S144" t="str">
        <f>IF(Dataset_A[[#This Row],[Hr]]&gt;=19,"Evening Time",IF(Dataset_A[[#This Row],[Hr]]&gt;=9,"Day Time",IF(Dataset_A[[#This Row],[Hr]]&gt;=0,"Night Time","")))</f>
        <v>Night Time</v>
      </c>
    </row>
    <row r="145" spans="1:19" x14ac:dyDescent="0.2">
      <c r="A145">
        <v>144</v>
      </c>
      <c r="B145" s="3">
        <v>40550</v>
      </c>
      <c r="C145">
        <v>1</v>
      </c>
      <c r="D145">
        <v>2011</v>
      </c>
      <c r="E145" t="s">
        <v>10</v>
      </c>
      <c r="F145">
        <v>6</v>
      </c>
      <c r="G145" t="b">
        <v>0</v>
      </c>
      <c r="H145" t="s">
        <v>17</v>
      </c>
      <c r="I145">
        <v>2</v>
      </c>
      <c r="J145">
        <v>0.2</v>
      </c>
      <c r="K145">
        <v>0.2576</v>
      </c>
      <c r="L145">
        <v>0.69</v>
      </c>
      <c r="M145">
        <v>0</v>
      </c>
      <c r="N145">
        <v>8</v>
      </c>
      <c r="O145">
        <v>26</v>
      </c>
      <c r="P145">
        <v>34</v>
      </c>
      <c r="S145" t="str">
        <f>IF(Dataset_A[[#This Row],[Hr]]&gt;=19,"Evening Time",IF(Dataset_A[[#This Row],[Hr]]&gt;=9,"Day Time",IF(Dataset_A[[#This Row],[Hr]]&gt;=0,"Night Time","")))</f>
        <v>Night Time</v>
      </c>
    </row>
    <row r="146" spans="1:19" x14ac:dyDescent="0.2">
      <c r="A146">
        <v>145</v>
      </c>
      <c r="B146" s="3">
        <v>40550</v>
      </c>
      <c r="C146">
        <v>1</v>
      </c>
      <c r="D146">
        <v>2011</v>
      </c>
      <c r="E146" t="s">
        <v>10</v>
      </c>
      <c r="F146">
        <v>7</v>
      </c>
      <c r="G146" t="b">
        <v>0</v>
      </c>
      <c r="H146" t="s">
        <v>17</v>
      </c>
      <c r="I146">
        <v>1</v>
      </c>
      <c r="J146">
        <v>0.2</v>
      </c>
      <c r="K146">
        <v>0.21210000000000001</v>
      </c>
      <c r="L146">
        <v>0.69</v>
      </c>
      <c r="M146">
        <v>0.1343</v>
      </c>
      <c r="N146">
        <v>8</v>
      </c>
      <c r="O146">
        <v>76</v>
      </c>
      <c r="P146">
        <v>84</v>
      </c>
      <c r="S146" t="str">
        <f>IF(Dataset_A[[#This Row],[Hr]]&gt;=19,"Evening Time",IF(Dataset_A[[#This Row],[Hr]]&gt;=9,"Day Time",IF(Dataset_A[[#This Row],[Hr]]&gt;=0,"Night Time","")))</f>
        <v>Night Time</v>
      </c>
    </row>
    <row r="147" spans="1:19" x14ac:dyDescent="0.2">
      <c r="A147">
        <v>146</v>
      </c>
      <c r="B147" s="3">
        <v>40550</v>
      </c>
      <c r="C147">
        <v>1</v>
      </c>
      <c r="D147">
        <v>2011</v>
      </c>
      <c r="E147" t="s">
        <v>10</v>
      </c>
      <c r="F147">
        <v>8</v>
      </c>
      <c r="G147" t="b">
        <v>0</v>
      </c>
      <c r="H147" t="s">
        <v>17</v>
      </c>
      <c r="I147">
        <v>1</v>
      </c>
      <c r="J147">
        <v>0.2</v>
      </c>
      <c r="K147">
        <v>0.19700000000000001</v>
      </c>
      <c r="L147">
        <v>0.51</v>
      </c>
      <c r="M147">
        <v>0.25369999999999998</v>
      </c>
      <c r="N147">
        <v>20</v>
      </c>
      <c r="O147">
        <v>190</v>
      </c>
      <c r="P147">
        <v>210</v>
      </c>
      <c r="S147" t="str">
        <f>IF(Dataset_A[[#This Row],[Hr]]&gt;=19,"Evening Time",IF(Dataset_A[[#This Row],[Hr]]&gt;=9,"Day Time",IF(Dataset_A[[#This Row],[Hr]]&gt;=0,"Night Time","")))</f>
        <v>Night Time</v>
      </c>
    </row>
    <row r="148" spans="1:19" x14ac:dyDescent="0.2">
      <c r="A148">
        <v>147</v>
      </c>
      <c r="B148" s="3">
        <v>40550</v>
      </c>
      <c r="C148">
        <v>1</v>
      </c>
      <c r="D148">
        <v>2011</v>
      </c>
      <c r="E148" t="s">
        <v>10</v>
      </c>
      <c r="F148">
        <v>9</v>
      </c>
      <c r="G148" t="b">
        <v>0</v>
      </c>
      <c r="H148" t="s">
        <v>17</v>
      </c>
      <c r="I148">
        <v>1</v>
      </c>
      <c r="J148">
        <v>0.2</v>
      </c>
      <c r="K148">
        <v>0.18179999999999999</v>
      </c>
      <c r="L148">
        <v>0.47</v>
      </c>
      <c r="M148">
        <v>0.29849999999999999</v>
      </c>
      <c r="N148">
        <v>9</v>
      </c>
      <c r="O148">
        <v>125</v>
      </c>
      <c r="P148">
        <v>134</v>
      </c>
      <c r="S148" t="str">
        <f>IF(Dataset_A[[#This Row],[Hr]]&gt;=19,"Evening Time",IF(Dataset_A[[#This Row],[Hr]]&gt;=9,"Day Time",IF(Dataset_A[[#This Row],[Hr]]&gt;=0,"Night Time","")))</f>
        <v>Day Time</v>
      </c>
    </row>
    <row r="149" spans="1:19" x14ac:dyDescent="0.2">
      <c r="A149">
        <v>148</v>
      </c>
      <c r="B149" s="3">
        <v>40550</v>
      </c>
      <c r="C149">
        <v>1</v>
      </c>
      <c r="D149">
        <v>2011</v>
      </c>
      <c r="E149" t="s">
        <v>10</v>
      </c>
      <c r="F149">
        <v>10</v>
      </c>
      <c r="G149" t="b">
        <v>0</v>
      </c>
      <c r="H149" t="s">
        <v>17</v>
      </c>
      <c r="I149">
        <v>1</v>
      </c>
      <c r="J149">
        <v>0.22</v>
      </c>
      <c r="K149">
        <v>0.19700000000000001</v>
      </c>
      <c r="L149">
        <v>0.37</v>
      </c>
      <c r="M149">
        <v>0.32840000000000003</v>
      </c>
      <c r="N149">
        <v>16</v>
      </c>
      <c r="O149">
        <v>47</v>
      </c>
      <c r="P149">
        <v>63</v>
      </c>
      <c r="S149" t="str">
        <f>IF(Dataset_A[[#This Row],[Hr]]&gt;=19,"Evening Time",IF(Dataset_A[[#This Row],[Hr]]&gt;=9,"Day Time",IF(Dataset_A[[#This Row],[Hr]]&gt;=0,"Night Time","")))</f>
        <v>Day Time</v>
      </c>
    </row>
    <row r="150" spans="1:19" x14ac:dyDescent="0.2">
      <c r="A150">
        <v>149</v>
      </c>
      <c r="B150" s="3">
        <v>40550</v>
      </c>
      <c r="C150">
        <v>1</v>
      </c>
      <c r="D150">
        <v>2011</v>
      </c>
      <c r="E150" t="s">
        <v>10</v>
      </c>
      <c r="F150">
        <v>11</v>
      </c>
      <c r="G150" t="b">
        <v>0</v>
      </c>
      <c r="H150" t="s">
        <v>17</v>
      </c>
      <c r="I150">
        <v>2</v>
      </c>
      <c r="J150">
        <v>0.2</v>
      </c>
      <c r="K150">
        <v>0.19700000000000001</v>
      </c>
      <c r="L150">
        <v>0.4</v>
      </c>
      <c r="M150">
        <v>0.22389999999999999</v>
      </c>
      <c r="N150">
        <v>19</v>
      </c>
      <c r="O150">
        <v>48</v>
      </c>
      <c r="P150">
        <v>67</v>
      </c>
      <c r="S150" t="str">
        <f>IF(Dataset_A[[#This Row],[Hr]]&gt;=19,"Evening Time",IF(Dataset_A[[#This Row],[Hr]]&gt;=9,"Day Time",IF(Dataset_A[[#This Row],[Hr]]&gt;=0,"Night Time","")))</f>
        <v>Day Time</v>
      </c>
    </row>
    <row r="151" spans="1:19" x14ac:dyDescent="0.2">
      <c r="A151">
        <v>150</v>
      </c>
      <c r="B151" s="3">
        <v>40550</v>
      </c>
      <c r="C151">
        <v>1</v>
      </c>
      <c r="D151">
        <v>2011</v>
      </c>
      <c r="E151" t="s">
        <v>10</v>
      </c>
      <c r="F151">
        <v>12</v>
      </c>
      <c r="G151" t="b">
        <v>0</v>
      </c>
      <c r="H151" t="s">
        <v>17</v>
      </c>
      <c r="I151">
        <v>2</v>
      </c>
      <c r="J151">
        <v>0.2</v>
      </c>
      <c r="K151">
        <v>0.19700000000000001</v>
      </c>
      <c r="L151">
        <v>0.37</v>
      </c>
      <c r="M151">
        <v>0.25369999999999998</v>
      </c>
      <c r="N151">
        <v>9</v>
      </c>
      <c r="O151">
        <v>50</v>
      </c>
      <c r="P151">
        <v>59</v>
      </c>
      <c r="S151" t="str">
        <f>IF(Dataset_A[[#This Row],[Hr]]&gt;=19,"Evening Time",IF(Dataset_A[[#This Row],[Hr]]&gt;=9,"Day Time",IF(Dataset_A[[#This Row],[Hr]]&gt;=0,"Night Time","")))</f>
        <v>Day Time</v>
      </c>
    </row>
    <row r="152" spans="1:19" x14ac:dyDescent="0.2">
      <c r="A152">
        <v>151</v>
      </c>
      <c r="B152" s="3">
        <v>40550</v>
      </c>
      <c r="C152">
        <v>1</v>
      </c>
      <c r="D152">
        <v>2011</v>
      </c>
      <c r="E152" t="s">
        <v>10</v>
      </c>
      <c r="F152">
        <v>13</v>
      </c>
      <c r="G152" t="b">
        <v>0</v>
      </c>
      <c r="H152" t="s">
        <v>17</v>
      </c>
      <c r="I152">
        <v>2</v>
      </c>
      <c r="J152">
        <v>0.2</v>
      </c>
      <c r="K152">
        <v>0.18179999999999999</v>
      </c>
      <c r="L152">
        <v>0.37</v>
      </c>
      <c r="M152">
        <v>0.28360000000000002</v>
      </c>
      <c r="N152">
        <v>9</v>
      </c>
      <c r="O152">
        <v>64</v>
      </c>
      <c r="P152">
        <v>73</v>
      </c>
      <c r="S152" t="str">
        <f>IF(Dataset_A[[#This Row],[Hr]]&gt;=19,"Evening Time",IF(Dataset_A[[#This Row],[Hr]]&gt;=9,"Day Time",IF(Dataset_A[[#This Row],[Hr]]&gt;=0,"Night Time","")))</f>
        <v>Day Time</v>
      </c>
    </row>
    <row r="153" spans="1:19" x14ac:dyDescent="0.2">
      <c r="A153">
        <v>152</v>
      </c>
      <c r="B153" s="3">
        <v>40550</v>
      </c>
      <c r="C153">
        <v>1</v>
      </c>
      <c r="D153">
        <v>2011</v>
      </c>
      <c r="E153" t="s">
        <v>10</v>
      </c>
      <c r="F153">
        <v>14</v>
      </c>
      <c r="G153" t="b">
        <v>0</v>
      </c>
      <c r="H153" t="s">
        <v>17</v>
      </c>
      <c r="I153">
        <v>2</v>
      </c>
      <c r="J153">
        <v>0.2</v>
      </c>
      <c r="K153">
        <v>0.19700000000000001</v>
      </c>
      <c r="L153">
        <v>0.4</v>
      </c>
      <c r="M153">
        <v>0.25369999999999998</v>
      </c>
      <c r="N153">
        <v>7</v>
      </c>
      <c r="O153">
        <v>43</v>
      </c>
      <c r="P153">
        <v>50</v>
      </c>
      <c r="S153" t="str">
        <f>IF(Dataset_A[[#This Row],[Hr]]&gt;=19,"Evening Time",IF(Dataset_A[[#This Row],[Hr]]&gt;=9,"Day Time",IF(Dataset_A[[#This Row],[Hr]]&gt;=0,"Night Time","")))</f>
        <v>Day Time</v>
      </c>
    </row>
    <row r="154" spans="1:19" x14ac:dyDescent="0.2">
      <c r="A154">
        <v>153</v>
      </c>
      <c r="B154" s="3">
        <v>40550</v>
      </c>
      <c r="C154">
        <v>1</v>
      </c>
      <c r="D154">
        <v>2011</v>
      </c>
      <c r="E154" t="s">
        <v>10</v>
      </c>
      <c r="F154">
        <v>15</v>
      </c>
      <c r="G154" t="b">
        <v>0</v>
      </c>
      <c r="H154" t="s">
        <v>17</v>
      </c>
      <c r="I154">
        <v>2</v>
      </c>
      <c r="J154">
        <v>0.2</v>
      </c>
      <c r="K154">
        <v>0.21210000000000001</v>
      </c>
      <c r="L154">
        <v>0.37</v>
      </c>
      <c r="M154">
        <v>0.16420000000000001</v>
      </c>
      <c r="N154">
        <v>9</v>
      </c>
      <c r="O154">
        <v>63</v>
      </c>
      <c r="P154">
        <v>72</v>
      </c>
      <c r="S154" t="str">
        <f>IF(Dataset_A[[#This Row],[Hr]]&gt;=19,"Evening Time",IF(Dataset_A[[#This Row],[Hr]]&gt;=9,"Day Time",IF(Dataset_A[[#This Row],[Hr]]&gt;=0,"Night Time","")))</f>
        <v>Day Time</v>
      </c>
    </row>
    <row r="155" spans="1:19" x14ac:dyDescent="0.2">
      <c r="A155">
        <v>154</v>
      </c>
      <c r="B155" s="3">
        <v>40550</v>
      </c>
      <c r="C155">
        <v>1</v>
      </c>
      <c r="D155">
        <v>2011</v>
      </c>
      <c r="E155" t="s">
        <v>10</v>
      </c>
      <c r="F155">
        <v>16</v>
      </c>
      <c r="G155" t="b">
        <v>0</v>
      </c>
      <c r="H155" t="s">
        <v>17</v>
      </c>
      <c r="I155">
        <v>2</v>
      </c>
      <c r="J155">
        <v>0.2</v>
      </c>
      <c r="K155">
        <v>0.21210000000000001</v>
      </c>
      <c r="L155">
        <v>0.37</v>
      </c>
      <c r="M155">
        <v>0.16420000000000001</v>
      </c>
      <c r="N155">
        <v>5</v>
      </c>
      <c r="O155">
        <v>82</v>
      </c>
      <c r="P155">
        <v>87</v>
      </c>
      <c r="S155" t="str">
        <f>IF(Dataset_A[[#This Row],[Hr]]&gt;=19,"Evening Time",IF(Dataset_A[[#This Row],[Hr]]&gt;=9,"Day Time",IF(Dataset_A[[#This Row],[Hr]]&gt;=0,"Night Time","")))</f>
        <v>Day Time</v>
      </c>
    </row>
    <row r="156" spans="1:19" x14ac:dyDescent="0.2">
      <c r="A156">
        <v>155</v>
      </c>
      <c r="B156" s="3">
        <v>40550</v>
      </c>
      <c r="C156">
        <v>1</v>
      </c>
      <c r="D156">
        <v>2011</v>
      </c>
      <c r="E156" t="s">
        <v>10</v>
      </c>
      <c r="F156">
        <v>17</v>
      </c>
      <c r="G156" t="b">
        <v>0</v>
      </c>
      <c r="H156" t="s">
        <v>17</v>
      </c>
      <c r="I156">
        <v>2</v>
      </c>
      <c r="J156">
        <v>0.2</v>
      </c>
      <c r="K156">
        <v>0.2576</v>
      </c>
      <c r="L156">
        <v>0.37</v>
      </c>
      <c r="M156">
        <v>0</v>
      </c>
      <c r="N156">
        <v>9</v>
      </c>
      <c r="O156">
        <v>178</v>
      </c>
      <c r="P156">
        <v>187</v>
      </c>
      <c r="S156" t="str">
        <f>IF(Dataset_A[[#This Row],[Hr]]&gt;=19,"Evening Time",IF(Dataset_A[[#This Row],[Hr]]&gt;=9,"Day Time",IF(Dataset_A[[#This Row],[Hr]]&gt;=0,"Night Time","")))</f>
        <v>Day Time</v>
      </c>
    </row>
    <row r="157" spans="1:19" x14ac:dyDescent="0.2">
      <c r="A157">
        <v>156</v>
      </c>
      <c r="B157" s="3">
        <v>40550</v>
      </c>
      <c r="C157">
        <v>1</v>
      </c>
      <c r="D157">
        <v>2011</v>
      </c>
      <c r="E157" t="s">
        <v>10</v>
      </c>
      <c r="F157">
        <v>18</v>
      </c>
      <c r="G157" t="b">
        <v>0</v>
      </c>
      <c r="H157" t="s">
        <v>17</v>
      </c>
      <c r="I157">
        <v>1</v>
      </c>
      <c r="J157">
        <v>0.2</v>
      </c>
      <c r="K157">
        <v>0.2273</v>
      </c>
      <c r="L157">
        <v>0.4</v>
      </c>
      <c r="M157">
        <v>8.9599999999999999E-2</v>
      </c>
      <c r="N157">
        <v>7</v>
      </c>
      <c r="O157">
        <v>116</v>
      </c>
      <c r="P157">
        <v>123</v>
      </c>
      <c r="S157" t="str">
        <f>IF(Dataset_A[[#This Row],[Hr]]&gt;=19,"Evening Time",IF(Dataset_A[[#This Row],[Hr]]&gt;=9,"Day Time",IF(Dataset_A[[#This Row],[Hr]]&gt;=0,"Night Time","")))</f>
        <v>Day Time</v>
      </c>
    </row>
    <row r="158" spans="1:19" x14ac:dyDescent="0.2">
      <c r="A158">
        <v>157</v>
      </c>
      <c r="B158" s="3">
        <v>40550</v>
      </c>
      <c r="C158">
        <v>1</v>
      </c>
      <c r="D158">
        <v>2011</v>
      </c>
      <c r="E158" t="s">
        <v>10</v>
      </c>
      <c r="F158">
        <v>19</v>
      </c>
      <c r="G158" t="b">
        <v>0</v>
      </c>
      <c r="H158" t="s">
        <v>17</v>
      </c>
      <c r="I158">
        <v>1</v>
      </c>
      <c r="J158">
        <v>0.16</v>
      </c>
      <c r="K158">
        <v>0.19700000000000001</v>
      </c>
      <c r="L158">
        <v>0.55000000000000004</v>
      </c>
      <c r="M158">
        <v>8.9599999999999999E-2</v>
      </c>
      <c r="N158">
        <v>3</v>
      </c>
      <c r="O158">
        <v>92</v>
      </c>
      <c r="P158">
        <v>95</v>
      </c>
      <c r="S158" t="str">
        <f>IF(Dataset_A[[#This Row],[Hr]]&gt;=19,"Evening Time",IF(Dataset_A[[#This Row],[Hr]]&gt;=9,"Day Time",IF(Dataset_A[[#This Row],[Hr]]&gt;=0,"Night Time","")))</f>
        <v>Evening Time</v>
      </c>
    </row>
    <row r="159" spans="1:19" x14ac:dyDescent="0.2">
      <c r="A159">
        <v>158</v>
      </c>
      <c r="B159" s="3">
        <v>40550</v>
      </c>
      <c r="C159">
        <v>1</v>
      </c>
      <c r="D159">
        <v>2011</v>
      </c>
      <c r="E159" t="s">
        <v>10</v>
      </c>
      <c r="F159">
        <v>20</v>
      </c>
      <c r="G159" t="b">
        <v>0</v>
      </c>
      <c r="H159" t="s">
        <v>17</v>
      </c>
      <c r="I159">
        <v>1</v>
      </c>
      <c r="J159">
        <v>0.18</v>
      </c>
      <c r="K159">
        <v>0.21210000000000001</v>
      </c>
      <c r="L159">
        <v>0.47</v>
      </c>
      <c r="M159">
        <v>0.1045</v>
      </c>
      <c r="N159">
        <v>1</v>
      </c>
      <c r="O159">
        <v>50</v>
      </c>
      <c r="P159">
        <v>51</v>
      </c>
      <c r="S159" t="str">
        <f>IF(Dataset_A[[#This Row],[Hr]]&gt;=19,"Evening Time",IF(Dataset_A[[#This Row],[Hr]]&gt;=9,"Day Time",IF(Dataset_A[[#This Row],[Hr]]&gt;=0,"Night Time","")))</f>
        <v>Evening Time</v>
      </c>
    </row>
    <row r="160" spans="1:19" x14ac:dyDescent="0.2">
      <c r="A160">
        <v>159</v>
      </c>
      <c r="B160" s="3">
        <v>40550</v>
      </c>
      <c r="C160">
        <v>1</v>
      </c>
      <c r="D160">
        <v>2011</v>
      </c>
      <c r="E160" t="s">
        <v>10</v>
      </c>
      <c r="F160">
        <v>21</v>
      </c>
      <c r="G160" t="b">
        <v>0</v>
      </c>
      <c r="H160" t="s">
        <v>17</v>
      </c>
      <c r="I160">
        <v>1</v>
      </c>
      <c r="J160">
        <v>0.18</v>
      </c>
      <c r="K160">
        <v>0.19700000000000001</v>
      </c>
      <c r="L160">
        <v>0.47</v>
      </c>
      <c r="M160">
        <v>0.1343</v>
      </c>
      <c r="N160">
        <v>0</v>
      </c>
      <c r="O160">
        <v>39</v>
      </c>
      <c r="P160">
        <v>39</v>
      </c>
      <c r="S160" t="str">
        <f>IF(Dataset_A[[#This Row],[Hr]]&gt;=19,"Evening Time",IF(Dataset_A[[#This Row],[Hr]]&gt;=9,"Day Time",IF(Dataset_A[[#This Row],[Hr]]&gt;=0,"Night Time","")))</f>
        <v>Evening Time</v>
      </c>
    </row>
    <row r="161" spans="1:19" x14ac:dyDescent="0.2">
      <c r="A161">
        <v>160</v>
      </c>
      <c r="B161" s="3">
        <v>40550</v>
      </c>
      <c r="C161">
        <v>1</v>
      </c>
      <c r="D161">
        <v>2011</v>
      </c>
      <c r="E161" t="s">
        <v>10</v>
      </c>
      <c r="F161">
        <v>22</v>
      </c>
      <c r="G161" t="b">
        <v>0</v>
      </c>
      <c r="H161" t="s">
        <v>17</v>
      </c>
      <c r="I161">
        <v>2</v>
      </c>
      <c r="J161">
        <v>0.18</v>
      </c>
      <c r="K161">
        <v>0.19700000000000001</v>
      </c>
      <c r="L161">
        <v>0.43</v>
      </c>
      <c r="M161">
        <v>0.16420000000000001</v>
      </c>
      <c r="N161">
        <v>2</v>
      </c>
      <c r="O161">
        <v>34</v>
      </c>
      <c r="P161">
        <v>36</v>
      </c>
      <c r="S161" t="str">
        <f>IF(Dataset_A[[#This Row],[Hr]]&gt;=19,"Evening Time",IF(Dataset_A[[#This Row],[Hr]]&gt;=9,"Day Time",IF(Dataset_A[[#This Row],[Hr]]&gt;=0,"Night Time","")))</f>
        <v>Evening Time</v>
      </c>
    </row>
    <row r="162" spans="1:19" x14ac:dyDescent="0.2">
      <c r="A162">
        <v>161</v>
      </c>
      <c r="B162" s="3">
        <v>40550</v>
      </c>
      <c r="C162">
        <v>1</v>
      </c>
      <c r="D162">
        <v>2011</v>
      </c>
      <c r="E162" t="s">
        <v>10</v>
      </c>
      <c r="F162">
        <v>23</v>
      </c>
      <c r="G162" t="b">
        <v>0</v>
      </c>
      <c r="H162" t="s">
        <v>17</v>
      </c>
      <c r="I162">
        <v>2</v>
      </c>
      <c r="J162">
        <v>0.18</v>
      </c>
      <c r="K162">
        <v>0.19700000000000001</v>
      </c>
      <c r="L162">
        <v>0.51</v>
      </c>
      <c r="M162">
        <v>0.16420000000000001</v>
      </c>
      <c r="N162">
        <v>1</v>
      </c>
      <c r="O162">
        <v>14</v>
      </c>
      <c r="P162">
        <v>15</v>
      </c>
      <c r="S162" t="str">
        <f>IF(Dataset_A[[#This Row],[Hr]]&gt;=19,"Evening Time",IF(Dataset_A[[#This Row],[Hr]]&gt;=9,"Day Time",IF(Dataset_A[[#This Row],[Hr]]&gt;=0,"Night Time","")))</f>
        <v>Evening Time</v>
      </c>
    </row>
    <row r="163" spans="1:19" x14ac:dyDescent="0.2">
      <c r="A163">
        <v>162</v>
      </c>
      <c r="B163" s="3">
        <v>40551</v>
      </c>
      <c r="C163">
        <v>1</v>
      </c>
      <c r="D163">
        <v>2011</v>
      </c>
      <c r="E163" t="s">
        <v>10</v>
      </c>
      <c r="F163">
        <v>0</v>
      </c>
      <c r="G163" t="b">
        <v>0</v>
      </c>
      <c r="H163" t="s">
        <v>11</v>
      </c>
      <c r="I163">
        <v>2</v>
      </c>
      <c r="J163">
        <v>0.18</v>
      </c>
      <c r="K163">
        <v>0.19700000000000001</v>
      </c>
      <c r="L163">
        <v>0.51</v>
      </c>
      <c r="M163">
        <v>0.16420000000000001</v>
      </c>
      <c r="N163">
        <v>1</v>
      </c>
      <c r="O163">
        <v>24</v>
      </c>
      <c r="P163">
        <v>25</v>
      </c>
      <c r="S163" t="str">
        <f>IF(Dataset_A[[#This Row],[Hr]]&gt;=19,"Evening Time",IF(Dataset_A[[#This Row],[Hr]]&gt;=9,"Day Time",IF(Dataset_A[[#This Row],[Hr]]&gt;=0,"Night Time","")))</f>
        <v>Night Time</v>
      </c>
    </row>
    <row r="164" spans="1:19" x14ac:dyDescent="0.2">
      <c r="A164">
        <v>163</v>
      </c>
      <c r="B164" s="3">
        <v>40551</v>
      </c>
      <c r="C164">
        <v>1</v>
      </c>
      <c r="D164">
        <v>2011</v>
      </c>
      <c r="E164" t="s">
        <v>10</v>
      </c>
      <c r="F164">
        <v>1</v>
      </c>
      <c r="G164" t="b">
        <v>0</v>
      </c>
      <c r="H164" t="s">
        <v>11</v>
      </c>
      <c r="I164">
        <v>2</v>
      </c>
      <c r="J164">
        <v>0.18</v>
      </c>
      <c r="K164">
        <v>0.21210000000000001</v>
      </c>
      <c r="L164">
        <v>0.55000000000000004</v>
      </c>
      <c r="M164">
        <v>8.9599999999999999E-2</v>
      </c>
      <c r="N164">
        <v>1</v>
      </c>
      <c r="O164">
        <v>15</v>
      </c>
      <c r="P164">
        <v>16</v>
      </c>
      <c r="S164" t="str">
        <f>IF(Dataset_A[[#This Row],[Hr]]&gt;=19,"Evening Time",IF(Dataset_A[[#This Row],[Hr]]&gt;=9,"Day Time",IF(Dataset_A[[#This Row],[Hr]]&gt;=0,"Night Time","")))</f>
        <v>Night Time</v>
      </c>
    </row>
    <row r="165" spans="1:19" x14ac:dyDescent="0.2">
      <c r="A165">
        <v>164</v>
      </c>
      <c r="B165" s="3">
        <v>40551</v>
      </c>
      <c r="C165">
        <v>1</v>
      </c>
      <c r="D165">
        <v>2011</v>
      </c>
      <c r="E165" t="s">
        <v>10</v>
      </c>
      <c r="F165">
        <v>2</v>
      </c>
      <c r="G165" t="b">
        <v>0</v>
      </c>
      <c r="H165" t="s">
        <v>11</v>
      </c>
      <c r="I165">
        <v>2</v>
      </c>
      <c r="J165">
        <v>0.18</v>
      </c>
      <c r="K165">
        <v>0.2424</v>
      </c>
      <c r="L165">
        <v>0.55000000000000004</v>
      </c>
      <c r="M165">
        <v>0</v>
      </c>
      <c r="N165">
        <v>3</v>
      </c>
      <c r="O165">
        <v>13</v>
      </c>
      <c r="P165">
        <v>16</v>
      </c>
      <c r="S165" t="str">
        <f>IF(Dataset_A[[#This Row],[Hr]]&gt;=19,"Evening Time",IF(Dataset_A[[#This Row],[Hr]]&gt;=9,"Day Time",IF(Dataset_A[[#This Row],[Hr]]&gt;=0,"Night Time","")))</f>
        <v>Night Time</v>
      </c>
    </row>
    <row r="166" spans="1:19" x14ac:dyDescent="0.2">
      <c r="A166">
        <v>165</v>
      </c>
      <c r="B166" s="3">
        <v>40551</v>
      </c>
      <c r="C166">
        <v>1</v>
      </c>
      <c r="D166">
        <v>2011</v>
      </c>
      <c r="E166" t="s">
        <v>10</v>
      </c>
      <c r="F166">
        <v>3</v>
      </c>
      <c r="G166" t="b">
        <v>0</v>
      </c>
      <c r="H166" t="s">
        <v>11</v>
      </c>
      <c r="I166">
        <v>3</v>
      </c>
      <c r="J166">
        <v>0.18</v>
      </c>
      <c r="K166">
        <v>0.19700000000000001</v>
      </c>
      <c r="L166">
        <v>0.55000000000000004</v>
      </c>
      <c r="M166">
        <v>0.16420000000000001</v>
      </c>
      <c r="N166">
        <v>0</v>
      </c>
      <c r="O166">
        <v>7</v>
      </c>
      <c r="P166">
        <v>7</v>
      </c>
      <c r="S166" t="str">
        <f>IF(Dataset_A[[#This Row],[Hr]]&gt;=19,"Evening Time",IF(Dataset_A[[#This Row],[Hr]]&gt;=9,"Day Time",IF(Dataset_A[[#This Row],[Hr]]&gt;=0,"Night Time","")))</f>
        <v>Night Time</v>
      </c>
    </row>
    <row r="167" spans="1:19" x14ac:dyDescent="0.2">
      <c r="A167">
        <v>166</v>
      </c>
      <c r="B167" s="3">
        <v>40551</v>
      </c>
      <c r="C167">
        <v>1</v>
      </c>
      <c r="D167">
        <v>2011</v>
      </c>
      <c r="E167" t="s">
        <v>10</v>
      </c>
      <c r="F167">
        <v>4</v>
      </c>
      <c r="G167" t="b">
        <v>0</v>
      </c>
      <c r="H167" t="s">
        <v>11</v>
      </c>
      <c r="I167">
        <v>3</v>
      </c>
      <c r="J167">
        <v>0.18</v>
      </c>
      <c r="K167">
        <v>0.19700000000000001</v>
      </c>
      <c r="L167">
        <v>0.55000000000000004</v>
      </c>
      <c r="M167">
        <v>0.16420000000000001</v>
      </c>
      <c r="N167">
        <v>0</v>
      </c>
      <c r="O167">
        <v>1</v>
      </c>
      <c r="P167">
        <v>1</v>
      </c>
      <c r="S167" t="str">
        <f>IF(Dataset_A[[#This Row],[Hr]]&gt;=19,"Evening Time",IF(Dataset_A[[#This Row],[Hr]]&gt;=9,"Day Time",IF(Dataset_A[[#This Row],[Hr]]&gt;=0,"Night Time","")))</f>
        <v>Night Time</v>
      </c>
    </row>
    <row r="168" spans="1:19" x14ac:dyDescent="0.2">
      <c r="A168">
        <v>167</v>
      </c>
      <c r="B168" s="3">
        <v>40551</v>
      </c>
      <c r="C168">
        <v>1</v>
      </c>
      <c r="D168">
        <v>2011</v>
      </c>
      <c r="E168" t="s">
        <v>10</v>
      </c>
      <c r="F168">
        <v>5</v>
      </c>
      <c r="G168" t="b">
        <v>0</v>
      </c>
      <c r="H168" t="s">
        <v>11</v>
      </c>
      <c r="I168">
        <v>2</v>
      </c>
      <c r="J168">
        <v>0.16</v>
      </c>
      <c r="K168">
        <v>0.16669999999999999</v>
      </c>
      <c r="L168">
        <v>0.74</v>
      </c>
      <c r="M168">
        <v>0.16420000000000001</v>
      </c>
      <c r="N168">
        <v>0</v>
      </c>
      <c r="O168">
        <v>5</v>
      </c>
      <c r="P168">
        <v>5</v>
      </c>
      <c r="S168" t="str">
        <f>IF(Dataset_A[[#This Row],[Hr]]&gt;=19,"Evening Time",IF(Dataset_A[[#This Row],[Hr]]&gt;=9,"Day Time",IF(Dataset_A[[#This Row],[Hr]]&gt;=0,"Night Time","")))</f>
        <v>Night Time</v>
      </c>
    </row>
    <row r="169" spans="1:19" x14ac:dyDescent="0.2">
      <c r="A169">
        <v>168</v>
      </c>
      <c r="B169" s="3">
        <v>40551</v>
      </c>
      <c r="C169">
        <v>1</v>
      </c>
      <c r="D169">
        <v>2011</v>
      </c>
      <c r="E169" t="s">
        <v>10</v>
      </c>
      <c r="F169">
        <v>6</v>
      </c>
      <c r="G169" t="b">
        <v>0</v>
      </c>
      <c r="H169" t="s">
        <v>11</v>
      </c>
      <c r="I169">
        <v>2</v>
      </c>
      <c r="J169">
        <v>0.16</v>
      </c>
      <c r="K169">
        <v>0.16669999999999999</v>
      </c>
      <c r="L169">
        <v>0.74</v>
      </c>
      <c r="M169">
        <v>0.16420000000000001</v>
      </c>
      <c r="N169">
        <v>0</v>
      </c>
      <c r="O169">
        <v>2</v>
      </c>
      <c r="P169">
        <v>2</v>
      </c>
      <c r="S169" t="str">
        <f>IF(Dataset_A[[#This Row],[Hr]]&gt;=19,"Evening Time",IF(Dataset_A[[#This Row],[Hr]]&gt;=9,"Day Time",IF(Dataset_A[[#This Row],[Hr]]&gt;=0,"Night Time","")))</f>
        <v>Night Time</v>
      </c>
    </row>
    <row r="170" spans="1:19" x14ac:dyDescent="0.2">
      <c r="A170">
        <v>169</v>
      </c>
      <c r="B170" s="3">
        <v>40551</v>
      </c>
      <c r="C170">
        <v>1</v>
      </c>
      <c r="D170">
        <v>2011</v>
      </c>
      <c r="E170" t="s">
        <v>10</v>
      </c>
      <c r="F170">
        <v>7</v>
      </c>
      <c r="G170" t="b">
        <v>0</v>
      </c>
      <c r="H170" t="s">
        <v>11</v>
      </c>
      <c r="I170">
        <v>2</v>
      </c>
      <c r="J170">
        <v>0.16</v>
      </c>
      <c r="K170">
        <v>0.18179999999999999</v>
      </c>
      <c r="L170">
        <v>0.74</v>
      </c>
      <c r="M170">
        <v>0.1045</v>
      </c>
      <c r="N170">
        <v>1</v>
      </c>
      <c r="O170">
        <v>8</v>
      </c>
      <c r="P170">
        <v>9</v>
      </c>
      <c r="S170" t="str">
        <f>IF(Dataset_A[[#This Row],[Hr]]&gt;=19,"Evening Time",IF(Dataset_A[[#This Row],[Hr]]&gt;=9,"Day Time",IF(Dataset_A[[#This Row],[Hr]]&gt;=0,"Night Time","")))</f>
        <v>Night Time</v>
      </c>
    </row>
    <row r="171" spans="1:19" x14ac:dyDescent="0.2">
      <c r="A171">
        <v>170</v>
      </c>
      <c r="B171" s="3">
        <v>40551</v>
      </c>
      <c r="C171">
        <v>1</v>
      </c>
      <c r="D171">
        <v>2011</v>
      </c>
      <c r="E171" t="s">
        <v>10</v>
      </c>
      <c r="F171">
        <v>8</v>
      </c>
      <c r="G171" t="b">
        <v>0</v>
      </c>
      <c r="H171" t="s">
        <v>11</v>
      </c>
      <c r="I171">
        <v>3</v>
      </c>
      <c r="J171">
        <v>0.16</v>
      </c>
      <c r="K171">
        <v>0.18179999999999999</v>
      </c>
      <c r="L171">
        <v>0.93</v>
      </c>
      <c r="M171">
        <v>0.1045</v>
      </c>
      <c r="N171">
        <v>0</v>
      </c>
      <c r="O171">
        <v>15</v>
      </c>
      <c r="P171">
        <v>15</v>
      </c>
      <c r="S171" t="str">
        <f>IF(Dataset_A[[#This Row],[Hr]]&gt;=19,"Evening Time",IF(Dataset_A[[#This Row],[Hr]]&gt;=9,"Day Time",IF(Dataset_A[[#This Row],[Hr]]&gt;=0,"Night Time","")))</f>
        <v>Night Time</v>
      </c>
    </row>
    <row r="172" spans="1:19" x14ac:dyDescent="0.2">
      <c r="A172">
        <v>171</v>
      </c>
      <c r="B172" s="3">
        <v>40551</v>
      </c>
      <c r="C172">
        <v>1</v>
      </c>
      <c r="D172">
        <v>2011</v>
      </c>
      <c r="E172" t="s">
        <v>10</v>
      </c>
      <c r="F172">
        <v>9</v>
      </c>
      <c r="G172" t="b">
        <v>0</v>
      </c>
      <c r="H172" t="s">
        <v>11</v>
      </c>
      <c r="I172">
        <v>3</v>
      </c>
      <c r="J172">
        <v>0.16</v>
      </c>
      <c r="K172">
        <v>0.18179999999999999</v>
      </c>
      <c r="L172">
        <v>0.93</v>
      </c>
      <c r="M172">
        <v>0.1045</v>
      </c>
      <c r="N172">
        <v>0</v>
      </c>
      <c r="O172">
        <v>20</v>
      </c>
      <c r="P172">
        <v>20</v>
      </c>
      <c r="S172" t="str">
        <f>IF(Dataset_A[[#This Row],[Hr]]&gt;=19,"Evening Time",IF(Dataset_A[[#This Row],[Hr]]&gt;=9,"Day Time",IF(Dataset_A[[#This Row],[Hr]]&gt;=0,"Night Time","")))</f>
        <v>Day Time</v>
      </c>
    </row>
    <row r="173" spans="1:19" x14ac:dyDescent="0.2">
      <c r="A173">
        <v>172</v>
      </c>
      <c r="B173" s="3">
        <v>40551</v>
      </c>
      <c r="C173">
        <v>1</v>
      </c>
      <c r="D173">
        <v>2011</v>
      </c>
      <c r="E173" t="s">
        <v>10</v>
      </c>
      <c r="F173">
        <v>10</v>
      </c>
      <c r="G173" t="b">
        <v>0</v>
      </c>
      <c r="H173" t="s">
        <v>11</v>
      </c>
      <c r="I173">
        <v>2</v>
      </c>
      <c r="J173">
        <v>0.18</v>
      </c>
      <c r="K173">
        <v>0.19700000000000001</v>
      </c>
      <c r="L173">
        <v>0.8</v>
      </c>
      <c r="M173">
        <v>0.16420000000000001</v>
      </c>
      <c r="N173">
        <v>5</v>
      </c>
      <c r="O173">
        <v>56</v>
      </c>
      <c r="P173">
        <v>61</v>
      </c>
      <c r="S173" t="str">
        <f>IF(Dataset_A[[#This Row],[Hr]]&gt;=19,"Evening Time",IF(Dataset_A[[#This Row],[Hr]]&gt;=9,"Day Time",IF(Dataset_A[[#This Row],[Hr]]&gt;=0,"Night Time","")))</f>
        <v>Day Time</v>
      </c>
    </row>
    <row r="174" spans="1:19" x14ac:dyDescent="0.2">
      <c r="A174">
        <v>173</v>
      </c>
      <c r="B174" s="3">
        <v>40551</v>
      </c>
      <c r="C174">
        <v>1</v>
      </c>
      <c r="D174">
        <v>2011</v>
      </c>
      <c r="E174" t="s">
        <v>10</v>
      </c>
      <c r="F174">
        <v>11</v>
      </c>
      <c r="G174" t="b">
        <v>0</v>
      </c>
      <c r="H174" t="s">
        <v>11</v>
      </c>
      <c r="I174">
        <v>2</v>
      </c>
      <c r="J174">
        <v>0.2</v>
      </c>
      <c r="K174">
        <v>0.18179999999999999</v>
      </c>
      <c r="L174">
        <v>0.69</v>
      </c>
      <c r="M174">
        <v>0.3881</v>
      </c>
      <c r="N174">
        <v>2</v>
      </c>
      <c r="O174">
        <v>60</v>
      </c>
      <c r="P174">
        <v>62</v>
      </c>
      <c r="S174" t="str">
        <f>IF(Dataset_A[[#This Row],[Hr]]&gt;=19,"Evening Time",IF(Dataset_A[[#This Row],[Hr]]&gt;=9,"Day Time",IF(Dataset_A[[#This Row],[Hr]]&gt;=0,"Night Time","")))</f>
        <v>Day Time</v>
      </c>
    </row>
    <row r="175" spans="1:19" x14ac:dyDescent="0.2">
      <c r="A175">
        <v>174</v>
      </c>
      <c r="B175" s="3">
        <v>40551</v>
      </c>
      <c r="C175">
        <v>1</v>
      </c>
      <c r="D175">
        <v>2011</v>
      </c>
      <c r="E175" t="s">
        <v>10</v>
      </c>
      <c r="F175">
        <v>12</v>
      </c>
      <c r="G175" t="b">
        <v>0</v>
      </c>
      <c r="H175" t="s">
        <v>11</v>
      </c>
      <c r="I175">
        <v>2</v>
      </c>
      <c r="J175">
        <v>0.2</v>
      </c>
      <c r="K175">
        <v>0.18179999999999999</v>
      </c>
      <c r="L175">
        <v>0.59</v>
      </c>
      <c r="M175">
        <v>0.35820000000000002</v>
      </c>
      <c r="N175">
        <v>8</v>
      </c>
      <c r="O175">
        <v>90</v>
      </c>
      <c r="P175">
        <v>98</v>
      </c>
      <c r="S175" t="str">
        <f>IF(Dataset_A[[#This Row],[Hr]]&gt;=19,"Evening Time",IF(Dataset_A[[#This Row],[Hr]]&gt;=9,"Day Time",IF(Dataset_A[[#This Row],[Hr]]&gt;=0,"Night Time","")))</f>
        <v>Day Time</v>
      </c>
    </row>
    <row r="176" spans="1:19" x14ac:dyDescent="0.2">
      <c r="A176">
        <v>175</v>
      </c>
      <c r="B176" s="3">
        <v>40551</v>
      </c>
      <c r="C176">
        <v>1</v>
      </c>
      <c r="D176">
        <v>2011</v>
      </c>
      <c r="E176" t="s">
        <v>10</v>
      </c>
      <c r="F176">
        <v>13</v>
      </c>
      <c r="G176" t="b">
        <v>0</v>
      </c>
      <c r="H176" t="s">
        <v>11</v>
      </c>
      <c r="I176">
        <v>1</v>
      </c>
      <c r="J176">
        <v>0.2</v>
      </c>
      <c r="K176">
        <v>0.18179999999999999</v>
      </c>
      <c r="L176">
        <v>0.44</v>
      </c>
      <c r="M176">
        <v>0.32840000000000003</v>
      </c>
      <c r="N176">
        <v>7</v>
      </c>
      <c r="O176">
        <v>95</v>
      </c>
      <c r="P176">
        <v>102</v>
      </c>
      <c r="S176" t="str">
        <f>IF(Dataset_A[[#This Row],[Hr]]&gt;=19,"Evening Time",IF(Dataset_A[[#This Row],[Hr]]&gt;=9,"Day Time",IF(Dataset_A[[#This Row],[Hr]]&gt;=0,"Night Time","")))</f>
        <v>Day Time</v>
      </c>
    </row>
    <row r="177" spans="1:19" x14ac:dyDescent="0.2">
      <c r="A177">
        <v>176</v>
      </c>
      <c r="B177" s="3">
        <v>40551</v>
      </c>
      <c r="C177">
        <v>1</v>
      </c>
      <c r="D177">
        <v>2011</v>
      </c>
      <c r="E177" t="s">
        <v>10</v>
      </c>
      <c r="F177">
        <v>14</v>
      </c>
      <c r="G177" t="b">
        <v>0</v>
      </c>
      <c r="H177" t="s">
        <v>11</v>
      </c>
      <c r="I177">
        <v>1</v>
      </c>
      <c r="J177">
        <v>0.2</v>
      </c>
      <c r="K177">
        <v>0.16669999999999999</v>
      </c>
      <c r="L177">
        <v>0.32</v>
      </c>
      <c r="M177">
        <v>0.49249999999999999</v>
      </c>
      <c r="N177">
        <v>12</v>
      </c>
      <c r="O177">
        <v>83</v>
      </c>
      <c r="P177">
        <v>95</v>
      </c>
      <c r="S177" t="str">
        <f>IF(Dataset_A[[#This Row],[Hr]]&gt;=19,"Evening Time",IF(Dataset_A[[#This Row],[Hr]]&gt;=9,"Day Time",IF(Dataset_A[[#This Row],[Hr]]&gt;=0,"Night Time","")))</f>
        <v>Day Time</v>
      </c>
    </row>
    <row r="178" spans="1:19" x14ac:dyDescent="0.2">
      <c r="A178">
        <v>177</v>
      </c>
      <c r="B178" s="3">
        <v>40551</v>
      </c>
      <c r="C178">
        <v>1</v>
      </c>
      <c r="D178">
        <v>2011</v>
      </c>
      <c r="E178" t="s">
        <v>10</v>
      </c>
      <c r="F178">
        <v>15</v>
      </c>
      <c r="G178" t="b">
        <v>0</v>
      </c>
      <c r="H178" t="s">
        <v>11</v>
      </c>
      <c r="I178">
        <v>1</v>
      </c>
      <c r="J178">
        <v>0.2</v>
      </c>
      <c r="K178">
        <v>0.16669999999999999</v>
      </c>
      <c r="L178">
        <v>0.32</v>
      </c>
      <c r="M178">
        <v>0.44779999999999998</v>
      </c>
      <c r="N178">
        <v>5</v>
      </c>
      <c r="O178">
        <v>69</v>
      </c>
      <c r="P178">
        <v>74</v>
      </c>
      <c r="S178" t="str">
        <f>IF(Dataset_A[[#This Row],[Hr]]&gt;=19,"Evening Time",IF(Dataset_A[[#This Row],[Hr]]&gt;=9,"Day Time",IF(Dataset_A[[#This Row],[Hr]]&gt;=0,"Night Time","")))</f>
        <v>Day Time</v>
      </c>
    </row>
    <row r="179" spans="1:19" x14ac:dyDescent="0.2">
      <c r="A179">
        <v>178</v>
      </c>
      <c r="B179" s="3">
        <v>40551</v>
      </c>
      <c r="C179">
        <v>1</v>
      </c>
      <c r="D179">
        <v>2011</v>
      </c>
      <c r="E179" t="s">
        <v>10</v>
      </c>
      <c r="F179">
        <v>16</v>
      </c>
      <c r="G179" t="b">
        <v>0</v>
      </c>
      <c r="H179" t="s">
        <v>11</v>
      </c>
      <c r="I179">
        <v>1</v>
      </c>
      <c r="J179">
        <v>0.18</v>
      </c>
      <c r="K179">
        <v>0.13639999999999999</v>
      </c>
      <c r="L179">
        <v>0.28999999999999998</v>
      </c>
      <c r="M179">
        <v>0.44779999999999998</v>
      </c>
      <c r="N179">
        <v>8</v>
      </c>
      <c r="O179">
        <v>68</v>
      </c>
      <c r="P179">
        <v>76</v>
      </c>
      <c r="S179" t="str">
        <f>IF(Dataset_A[[#This Row],[Hr]]&gt;=19,"Evening Time",IF(Dataset_A[[#This Row],[Hr]]&gt;=9,"Day Time",IF(Dataset_A[[#This Row],[Hr]]&gt;=0,"Night Time","")))</f>
        <v>Day Time</v>
      </c>
    </row>
    <row r="180" spans="1:19" x14ac:dyDescent="0.2">
      <c r="A180">
        <v>179</v>
      </c>
      <c r="B180" s="3">
        <v>40551</v>
      </c>
      <c r="C180">
        <v>1</v>
      </c>
      <c r="D180">
        <v>2011</v>
      </c>
      <c r="E180" t="s">
        <v>10</v>
      </c>
      <c r="F180">
        <v>17</v>
      </c>
      <c r="G180" t="b">
        <v>0</v>
      </c>
      <c r="H180" t="s">
        <v>11</v>
      </c>
      <c r="I180">
        <v>1</v>
      </c>
      <c r="J180">
        <v>0.16</v>
      </c>
      <c r="K180">
        <v>0.1212</v>
      </c>
      <c r="L180">
        <v>0.37</v>
      </c>
      <c r="M180">
        <v>0.55220000000000002</v>
      </c>
      <c r="N180">
        <v>5</v>
      </c>
      <c r="O180">
        <v>64</v>
      </c>
      <c r="P180">
        <v>69</v>
      </c>
      <c r="S180" t="str">
        <f>IF(Dataset_A[[#This Row],[Hr]]&gt;=19,"Evening Time",IF(Dataset_A[[#This Row],[Hr]]&gt;=9,"Day Time",IF(Dataset_A[[#This Row],[Hr]]&gt;=0,"Night Time","")))</f>
        <v>Day Time</v>
      </c>
    </row>
    <row r="181" spans="1:19" x14ac:dyDescent="0.2">
      <c r="A181">
        <v>180</v>
      </c>
      <c r="B181" s="3">
        <v>40551</v>
      </c>
      <c r="C181">
        <v>1</v>
      </c>
      <c r="D181">
        <v>2011</v>
      </c>
      <c r="E181" t="s">
        <v>10</v>
      </c>
      <c r="F181">
        <v>18</v>
      </c>
      <c r="G181" t="b">
        <v>0</v>
      </c>
      <c r="H181" t="s">
        <v>11</v>
      </c>
      <c r="I181">
        <v>1</v>
      </c>
      <c r="J181">
        <v>0.14000000000000001</v>
      </c>
      <c r="K181">
        <v>0.1212</v>
      </c>
      <c r="L181">
        <v>0.39</v>
      </c>
      <c r="M181">
        <v>0.29849999999999999</v>
      </c>
      <c r="N181">
        <v>3</v>
      </c>
      <c r="O181">
        <v>52</v>
      </c>
      <c r="P181">
        <v>55</v>
      </c>
      <c r="S181" t="str">
        <f>IF(Dataset_A[[#This Row],[Hr]]&gt;=19,"Evening Time",IF(Dataset_A[[#This Row],[Hr]]&gt;=9,"Day Time",IF(Dataset_A[[#This Row],[Hr]]&gt;=0,"Night Time","")))</f>
        <v>Day Time</v>
      </c>
    </row>
    <row r="182" spans="1:19" x14ac:dyDescent="0.2">
      <c r="A182">
        <v>181</v>
      </c>
      <c r="B182" s="3">
        <v>40551</v>
      </c>
      <c r="C182">
        <v>1</v>
      </c>
      <c r="D182">
        <v>2011</v>
      </c>
      <c r="E182" t="s">
        <v>10</v>
      </c>
      <c r="F182">
        <v>19</v>
      </c>
      <c r="G182" t="b">
        <v>0</v>
      </c>
      <c r="H182" t="s">
        <v>11</v>
      </c>
      <c r="I182">
        <v>1</v>
      </c>
      <c r="J182">
        <v>0.14000000000000001</v>
      </c>
      <c r="K182">
        <v>0.1212</v>
      </c>
      <c r="L182">
        <v>0.36</v>
      </c>
      <c r="M182">
        <v>0.25369999999999998</v>
      </c>
      <c r="N182">
        <v>4</v>
      </c>
      <c r="O182">
        <v>26</v>
      </c>
      <c r="P182">
        <v>30</v>
      </c>
      <c r="S182" t="str">
        <f>IF(Dataset_A[[#This Row],[Hr]]&gt;=19,"Evening Time",IF(Dataset_A[[#This Row],[Hr]]&gt;=9,"Day Time",IF(Dataset_A[[#This Row],[Hr]]&gt;=0,"Night Time","")))</f>
        <v>Evening Time</v>
      </c>
    </row>
    <row r="183" spans="1:19" x14ac:dyDescent="0.2">
      <c r="A183">
        <v>182</v>
      </c>
      <c r="B183" s="3">
        <v>40551</v>
      </c>
      <c r="C183">
        <v>1</v>
      </c>
      <c r="D183">
        <v>2011</v>
      </c>
      <c r="E183" t="s">
        <v>10</v>
      </c>
      <c r="F183">
        <v>20</v>
      </c>
      <c r="G183" t="b">
        <v>0</v>
      </c>
      <c r="H183" t="s">
        <v>11</v>
      </c>
      <c r="I183">
        <v>1</v>
      </c>
      <c r="J183">
        <v>0.12</v>
      </c>
      <c r="K183">
        <v>0.1212</v>
      </c>
      <c r="L183">
        <v>0.36</v>
      </c>
      <c r="M183">
        <v>0.25369999999999998</v>
      </c>
      <c r="N183">
        <v>0</v>
      </c>
      <c r="O183">
        <v>28</v>
      </c>
      <c r="P183">
        <v>28</v>
      </c>
      <c r="S183" t="str">
        <f>IF(Dataset_A[[#This Row],[Hr]]&gt;=19,"Evening Time",IF(Dataset_A[[#This Row],[Hr]]&gt;=9,"Day Time",IF(Dataset_A[[#This Row],[Hr]]&gt;=0,"Night Time","")))</f>
        <v>Evening Time</v>
      </c>
    </row>
    <row r="184" spans="1:19" x14ac:dyDescent="0.2">
      <c r="A184">
        <v>183</v>
      </c>
      <c r="B184" s="3">
        <v>40551</v>
      </c>
      <c r="C184">
        <v>1</v>
      </c>
      <c r="D184">
        <v>2011</v>
      </c>
      <c r="E184" t="s">
        <v>10</v>
      </c>
      <c r="F184">
        <v>21</v>
      </c>
      <c r="G184" t="b">
        <v>0</v>
      </c>
      <c r="H184" t="s">
        <v>11</v>
      </c>
      <c r="I184">
        <v>1</v>
      </c>
      <c r="J184">
        <v>0.12</v>
      </c>
      <c r="K184">
        <v>0.1061</v>
      </c>
      <c r="L184">
        <v>0.39</v>
      </c>
      <c r="M184">
        <v>0.35820000000000002</v>
      </c>
      <c r="N184">
        <v>2</v>
      </c>
      <c r="O184">
        <v>35</v>
      </c>
      <c r="P184">
        <v>37</v>
      </c>
      <c r="S184" t="str">
        <f>IF(Dataset_A[[#This Row],[Hr]]&gt;=19,"Evening Time",IF(Dataset_A[[#This Row],[Hr]]&gt;=9,"Day Time",IF(Dataset_A[[#This Row],[Hr]]&gt;=0,"Night Time","")))</f>
        <v>Evening Time</v>
      </c>
    </row>
    <row r="185" spans="1:19" x14ac:dyDescent="0.2">
      <c r="A185">
        <v>184</v>
      </c>
      <c r="B185" s="3">
        <v>40551</v>
      </c>
      <c r="C185">
        <v>1</v>
      </c>
      <c r="D185">
        <v>2011</v>
      </c>
      <c r="E185" t="s">
        <v>10</v>
      </c>
      <c r="F185">
        <v>22</v>
      </c>
      <c r="G185" t="b">
        <v>0</v>
      </c>
      <c r="H185" t="s">
        <v>11</v>
      </c>
      <c r="I185">
        <v>1</v>
      </c>
      <c r="J185">
        <v>0.12</v>
      </c>
      <c r="K185">
        <v>0.1061</v>
      </c>
      <c r="L185">
        <v>0.36</v>
      </c>
      <c r="M185">
        <v>0.3881</v>
      </c>
      <c r="N185">
        <v>1</v>
      </c>
      <c r="O185">
        <v>33</v>
      </c>
      <c r="P185">
        <v>34</v>
      </c>
      <c r="S185" t="str">
        <f>IF(Dataset_A[[#This Row],[Hr]]&gt;=19,"Evening Time",IF(Dataset_A[[#This Row],[Hr]]&gt;=9,"Day Time",IF(Dataset_A[[#This Row],[Hr]]&gt;=0,"Night Time","")))</f>
        <v>Evening Time</v>
      </c>
    </row>
    <row r="186" spans="1:19" x14ac:dyDescent="0.2">
      <c r="A186">
        <v>185</v>
      </c>
      <c r="B186" s="3">
        <v>40551</v>
      </c>
      <c r="C186">
        <v>1</v>
      </c>
      <c r="D186">
        <v>2011</v>
      </c>
      <c r="E186" t="s">
        <v>10</v>
      </c>
      <c r="F186">
        <v>23</v>
      </c>
      <c r="G186" t="b">
        <v>0</v>
      </c>
      <c r="H186" t="s">
        <v>11</v>
      </c>
      <c r="I186">
        <v>1</v>
      </c>
      <c r="J186">
        <v>0.1</v>
      </c>
      <c r="K186">
        <v>6.0600000000000001E-2</v>
      </c>
      <c r="L186">
        <v>0.39</v>
      </c>
      <c r="M186">
        <v>0.44779999999999998</v>
      </c>
      <c r="N186">
        <v>0</v>
      </c>
      <c r="O186">
        <v>22</v>
      </c>
      <c r="P186">
        <v>22</v>
      </c>
      <c r="S186" t="str">
        <f>IF(Dataset_A[[#This Row],[Hr]]&gt;=19,"Evening Time",IF(Dataset_A[[#This Row],[Hr]]&gt;=9,"Day Time",IF(Dataset_A[[#This Row],[Hr]]&gt;=0,"Night Time","")))</f>
        <v>Evening Time</v>
      </c>
    </row>
    <row r="187" spans="1:19" x14ac:dyDescent="0.2">
      <c r="A187">
        <v>186</v>
      </c>
      <c r="B187" s="3">
        <v>40552</v>
      </c>
      <c r="C187">
        <v>1</v>
      </c>
      <c r="D187">
        <v>2011</v>
      </c>
      <c r="E187" t="s">
        <v>10</v>
      </c>
      <c r="F187">
        <v>0</v>
      </c>
      <c r="G187" t="b">
        <v>1</v>
      </c>
      <c r="H187" t="s">
        <v>12</v>
      </c>
      <c r="I187">
        <v>1</v>
      </c>
      <c r="J187">
        <v>0.1</v>
      </c>
      <c r="K187">
        <v>7.5800000000000006E-2</v>
      </c>
      <c r="L187">
        <v>0.42</v>
      </c>
      <c r="M187">
        <v>0.3881</v>
      </c>
      <c r="N187">
        <v>1</v>
      </c>
      <c r="O187">
        <v>24</v>
      </c>
      <c r="P187">
        <v>25</v>
      </c>
      <c r="S187" t="str">
        <f>IF(Dataset_A[[#This Row],[Hr]]&gt;=19,"Evening Time",IF(Dataset_A[[#This Row],[Hr]]&gt;=9,"Day Time",IF(Dataset_A[[#This Row],[Hr]]&gt;=0,"Night Time","")))</f>
        <v>Night Time</v>
      </c>
    </row>
    <row r="188" spans="1:19" x14ac:dyDescent="0.2">
      <c r="A188">
        <v>187</v>
      </c>
      <c r="B188" s="3">
        <v>40552</v>
      </c>
      <c r="C188">
        <v>1</v>
      </c>
      <c r="D188">
        <v>2011</v>
      </c>
      <c r="E188" t="s">
        <v>10</v>
      </c>
      <c r="F188">
        <v>1</v>
      </c>
      <c r="G188" t="b">
        <v>1</v>
      </c>
      <c r="H188" t="s">
        <v>12</v>
      </c>
      <c r="I188">
        <v>1</v>
      </c>
      <c r="J188">
        <v>0.1</v>
      </c>
      <c r="K188">
        <v>6.0600000000000001E-2</v>
      </c>
      <c r="L188">
        <v>0.42</v>
      </c>
      <c r="M188">
        <v>0.4627</v>
      </c>
      <c r="N188">
        <v>0</v>
      </c>
      <c r="O188">
        <v>12</v>
      </c>
      <c r="P188">
        <v>12</v>
      </c>
      <c r="S188" t="str">
        <f>IF(Dataset_A[[#This Row],[Hr]]&gt;=19,"Evening Time",IF(Dataset_A[[#This Row],[Hr]]&gt;=9,"Day Time",IF(Dataset_A[[#This Row],[Hr]]&gt;=0,"Night Time","")))</f>
        <v>Night Time</v>
      </c>
    </row>
    <row r="189" spans="1:19" x14ac:dyDescent="0.2">
      <c r="A189">
        <v>188</v>
      </c>
      <c r="B189" s="3">
        <v>40552</v>
      </c>
      <c r="C189">
        <v>1</v>
      </c>
      <c r="D189">
        <v>2011</v>
      </c>
      <c r="E189" t="s">
        <v>10</v>
      </c>
      <c r="F189">
        <v>2</v>
      </c>
      <c r="G189" t="b">
        <v>1</v>
      </c>
      <c r="H189" t="s">
        <v>12</v>
      </c>
      <c r="I189">
        <v>1</v>
      </c>
      <c r="J189">
        <v>0.1</v>
      </c>
      <c r="K189">
        <v>6.0600000000000001E-2</v>
      </c>
      <c r="L189">
        <v>0.46</v>
      </c>
      <c r="M189">
        <v>0.4627</v>
      </c>
      <c r="N189">
        <v>0</v>
      </c>
      <c r="O189">
        <v>11</v>
      </c>
      <c r="P189">
        <v>11</v>
      </c>
      <c r="S189" t="str">
        <f>IF(Dataset_A[[#This Row],[Hr]]&gt;=19,"Evening Time",IF(Dataset_A[[#This Row],[Hr]]&gt;=9,"Day Time",IF(Dataset_A[[#This Row],[Hr]]&gt;=0,"Night Time","")))</f>
        <v>Night Time</v>
      </c>
    </row>
    <row r="190" spans="1:19" x14ac:dyDescent="0.2">
      <c r="A190">
        <v>189</v>
      </c>
      <c r="B190" s="3">
        <v>40552</v>
      </c>
      <c r="C190">
        <v>1</v>
      </c>
      <c r="D190">
        <v>2011</v>
      </c>
      <c r="E190" t="s">
        <v>10</v>
      </c>
      <c r="F190">
        <v>3</v>
      </c>
      <c r="G190" t="b">
        <v>1</v>
      </c>
      <c r="H190" t="s">
        <v>12</v>
      </c>
      <c r="I190">
        <v>1</v>
      </c>
      <c r="J190">
        <v>0.1</v>
      </c>
      <c r="K190">
        <v>7.5800000000000006E-2</v>
      </c>
      <c r="L190">
        <v>0.46</v>
      </c>
      <c r="M190">
        <v>0.41789999999999999</v>
      </c>
      <c r="N190">
        <v>0</v>
      </c>
      <c r="O190">
        <v>4</v>
      </c>
      <c r="P190">
        <v>4</v>
      </c>
      <c r="S190" t="str">
        <f>IF(Dataset_A[[#This Row],[Hr]]&gt;=19,"Evening Time",IF(Dataset_A[[#This Row],[Hr]]&gt;=9,"Day Time",IF(Dataset_A[[#This Row],[Hr]]&gt;=0,"Night Time","")))</f>
        <v>Night Time</v>
      </c>
    </row>
    <row r="191" spans="1:19" x14ac:dyDescent="0.2">
      <c r="A191">
        <v>190</v>
      </c>
      <c r="B191" s="3">
        <v>40552</v>
      </c>
      <c r="C191">
        <v>1</v>
      </c>
      <c r="D191">
        <v>2011</v>
      </c>
      <c r="E191" t="s">
        <v>10</v>
      </c>
      <c r="F191">
        <v>4</v>
      </c>
      <c r="G191" t="b">
        <v>1</v>
      </c>
      <c r="H191" t="s">
        <v>12</v>
      </c>
      <c r="I191">
        <v>1</v>
      </c>
      <c r="J191">
        <v>0.08</v>
      </c>
      <c r="K191">
        <v>9.0899999999999995E-2</v>
      </c>
      <c r="L191">
        <v>0.53</v>
      </c>
      <c r="M191">
        <v>0.19400000000000001</v>
      </c>
      <c r="N191">
        <v>0</v>
      </c>
      <c r="O191">
        <v>1</v>
      </c>
      <c r="P191">
        <v>1</v>
      </c>
      <c r="S191" t="str">
        <f>IF(Dataset_A[[#This Row],[Hr]]&gt;=19,"Evening Time",IF(Dataset_A[[#This Row],[Hr]]&gt;=9,"Day Time",IF(Dataset_A[[#This Row],[Hr]]&gt;=0,"Night Time","")))</f>
        <v>Night Time</v>
      </c>
    </row>
    <row r="192" spans="1:19" x14ac:dyDescent="0.2">
      <c r="A192">
        <v>191</v>
      </c>
      <c r="B192" s="3">
        <v>40552</v>
      </c>
      <c r="C192">
        <v>1</v>
      </c>
      <c r="D192">
        <v>2011</v>
      </c>
      <c r="E192" t="s">
        <v>10</v>
      </c>
      <c r="F192">
        <v>5</v>
      </c>
      <c r="G192" t="b">
        <v>1</v>
      </c>
      <c r="H192" t="s">
        <v>12</v>
      </c>
      <c r="I192">
        <v>1</v>
      </c>
      <c r="J192">
        <v>0.08</v>
      </c>
      <c r="K192">
        <v>9.0899999999999995E-2</v>
      </c>
      <c r="L192">
        <v>0.53</v>
      </c>
      <c r="M192">
        <v>0.19400000000000001</v>
      </c>
      <c r="N192">
        <v>0</v>
      </c>
      <c r="O192">
        <v>1</v>
      </c>
      <c r="P192">
        <v>1</v>
      </c>
      <c r="S192" t="str">
        <f>IF(Dataset_A[[#This Row],[Hr]]&gt;=19,"Evening Time",IF(Dataset_A[[#This Row],[Hr]]&gt;=9,"Day Time",IF(Dataset_A[[#This Row],[Hr]]&gt;=0,"Night Time","")))</f>
        <v>Night Time</v>
      </c>
    </row>
    <row r="193" spans="1:19" x14ac:dyDescent="0.2">
      <c r="A193">
        <v>192</v>
      </c>
      <c r="B193" s="3">
        <v>40552</v>
      </c>
      <c r="C193">
        <v>1</v>
      </c>
      <c r="D193">
        <v>2011</v>
      </c>
      <c r="E193" t="s">
        <v>10</v>
      </c>
      <c r="F193">
        <v>6</v>
      </c>
      <c r="G193" t="b">
        <v>1</v>
      </c>
      <c r="H193" t="s">
        <v>12</v>
      </c>
      <c r="I193">
        <v>1</v>
      </c>
      <c r="J193">
        <v>0.1</v>
      </c>
      <c r="K193">
        <v>9.0899999999999995E-2</v>
      </c>
      <c r="L193">
        <v>0.49</v>
      </c>
      <c r="M193">
        <v>0.28360000000000002</v>
      </c>
      <c r="N193">
        <v>0</v>
      </c>
      <c r="O193">
        <v>1</v>
      </c>
      <c r="P193">
        <v>1</v>
      </c>
      <c r="S193" t="str">
        <f>IF(Dataset_A[[#This Row],[Hr]]&gt;=19,"Evening Time",IF(Dataset_A[[#This Row],[Hr]]&gt;=9,"Day Time",IF(Dataset_A[[#This Row],[Hr]]&gt;=0,"Night Time","")))</f>
        <v>Night Time</v>
      </c>
    </row>
    <row r="194" spans="1:19" x14ac:dyDescent="0.2">
      <c r="A194">
        <v>193</v>
      </c>
      <c r="B194" s="3">
        <v>40552</v>
      </c>
      <c r="C194">
        <v>1</v>
      </c>
      <c r="D194">
        <v>2011</v>
      </c>
      <c r="E194" t="s">
        <v>10</v>
      </c>
      <c r="F194">
        <v>7</v>
      </c>
      <c r="G194" t="b">
        <v>1</v>
      </c>
      <c r="H194" t="s">
        <v>12</v>
      </c>
      <c r="I194">
        <v>1</v>
      </c>
      <c r="J194">
        <v>0.08</v>
      </c>
      <c r="K194">
        <v>9.0899999999999995E-2</v>
      </c>
      <c r="L194">
        <v>0.53</v>
      </c>
      <c r="M194">
        <v>0.19400000000000001</v>
      </c>
      <c r="N194">
        <v>1</v>
      </c>
      <c r="O194">
        <v>5</v>
      </c>
      <c r="P194">
        <v>6</v>
      </c>
      <c r="S194" t="str">
        <f>IF(Dataset_A[[#This Row],[Hr]]&gt;=19,"Evening Time",IF(Dataset_A[[#This Row],[Hr]]&gt;=9,"Day Time",IF(Dataset_A[[#This Row],[Hr]]&gt;=0,"Night Time","")))</f>
        <v>Night Time</v>
      </c>
    </row>
    <row r="195" spans="1:19" x14ac:dyDescent="0.2">
      <c r="A195">
        <v>194</v>
      </c>
      <c r="B195" s="3">
        <v>40552</v>
      </c>
      <c r="C195">
        <v>1</v>
      </c>
      <c r="D195">
        <v>2011</v>
      </c>
      <c r="E195" t="s">
        <v>10</v>
      </c>
      <c r="F195">
        <v>8</v>
      </c>
      <c r="G195" t="b">
        <v>1</v>
      </c>
      <c r="H195" t="s">
        <v>12</v>
      </c>
      <c r="I195">
        <v>1</v>
      </c>
      <c r="J195">
        <v>0.1</v>
      </c>
      <c r="K195">
        <v>9.0899999999999995E-2</v>
      </c>
      <c r="L195">
        <v>0.49</v>
      </c>
      <c r="M195">
        <v>0.28360000000000002</v>
      </c>
      <c r="N195">
        <v>0</v>
      </c>
      <c r="O195">
        <v>10</v>
      </c>
      <c r="P195">
        <v>10</v>
      </c>
      <c r="S195" t="str">
        <f>IF(Dataset_A[[#This Row],[Hr]]&gt;=19,"Evening Time",IF(Dataset_A[[#This Row],[Hr]]&gt;=9,"Day Time",IF(Dataset_A[[#This Row],[Hr]]&gt;=0,"Night Time","")))</f>
        <v>Night Time</v>
      </c>
    </row>
    <row r="196" spans="1:19" x14ac:dyDescent="0.2">
      <c r="A196">
        <v>195</v>
      </c>
      <c r="B196" s="3">
        <v>40552</v>
      </c>
      <c r="C196">
        <v>1</v>
      </c>
      <c r="D196">
        <v>2011</v>
      </c>
      <c r="E196" t="s">
        <v>10</v>
      </c>
      <c r="F196">
        <v>9</v>
      </c>
      <c r="G196" t="b">
        <v>1</v>
      </c>
      <c r="H196" t="s">
        <v>12</v>
      </c>
      <c r="I196">
        <v>1</v>
      </c>
      <c r="J196">
        <v>0.12</v>
      </c>
      <c r="K196">
        <v>7.5800000000000006E-2</v>
      </c>
      <c r="L196">
        <v>0.46</v>
      </c>
      <c r="M196">
        <v>0.52239999999999998</v>
      </c>
      <c r="N196">
        <v>0</v>
      </c>
      <c r="O196">
        <v>19</v>
      </c>
      <c r="P196">
        <v>19</v>
      </c>
      <c r="S196" t="str">
        <f>IF(Dataset_A[[#This Row],[Hr]]&gt;=19,"Evening Time",IF(Dataset_A[[#This Row],[Hr]]&gt;=9,"Day Time",IF(Dataset_A[[#This Row],[Hr]]&gt;=0,"Night Time","")))</f>
        <v>Day Time</v>
      </c>
    </row>
    <row r="197" spans="1:19" x14ac:dyDescent="0.2">
      <c r="A197">
        <v>196</v>
      </c>
      <c r="B197" s="3">
        <v>40552</v>
      </c>
      <c r="C197">
        <v>1</v>
      </c>
      <c r="D197">
        <v>2011</v>
      </c>
      <c r="E197" t="s">
        <v>10</v>
      </c>
      <c r="F197">
        <v>10</v>
      </c>
      <c r="G197" t="b">
        <v>1</v>
      </c>
      <c r="H197" t="s">
        <v>12</v>
      </c>
      <c r="I197">
        <v>1</v>
      </c>
      <c r="J197">
        <v>0.14000000000000001</v>
      </c>
      <c r="K197">
        <v>0.1061</v>
      </c>
      <c r="L197">
        <v>0.43</v>
      </c>
      <c r="M197">
        <v>0.3881</v>
      </c>
      <c r="N197">
        <v>0</v>
      </c>
      <c r="O197">
        <v>49</v>
      </c>
      <c r="P197">
        <v>49</v>
      </c>
      <c r="S197" t="str">
        <f>IF(Dataset_A[[#This Row],[Hr]]&gt;=19,"Evening Time",IF(Dataset_A[[#This Row],[Hr]]&gt;=9,"Day Time",IF(Dataset_A[[#This Row],[Hr]]&gt;=0,"Night Time","")))</f>
        <v>Day Time</v>
      </c>
    </row>
    <row r="198" spans="1:19" x14ac:dyDescent="0.2">
      <c r="A198">
        <v>197</v>
      </c>
      <c r="B198" s="3">
        <v>40552</v>
      </c>
      <c r="C198">
        <v>1</v>
      </c>
      <c r="D198">
        <v>2011</v>
      </c>
      <c r="E198" t="s">
        <v>10</v>
      </c>
      <c r="F198">
        <v>11</v>
      </c>
      <c r="G198" t="b">
        <v>1</v>
      </c>
      <c r="H198" t="s">
        <v>12</v>
      </c>
      <c r="I198">
        <v>1</v>
      </c>
      <c r="J198">
        <v>0.16</v>
      </c>
      <c r="K198">
        <v>0.1212</v>
      </c>
      <c r="L198">
        <v>0.4</v>
      </c>
      <c r="M198">
        <v>0.52239999999999998</v>
      </c>
      <c r="N198">
        <v>2</v>
      </c>
      <c r="O198">
        <v>47</v>
      </c>
      <c r="P198">
        <v>49</v>
      </c>
      <c r="S198" t="str">
        <f>IF(Dataset_A[[#This Row],[Hr]]&gt;=19,"Evening Time",IF(Dataset_A[[#This Row],[Hr]]&gt;=9,"Day Time",IF(Dataset_A[[#This Row],[Hr]]&gt;=0,"Night Time","")))</f>
        <v>Day Time</v>
      </c>
    </row>
    <row r="199" spans="1:19" x14ac:dyDescent="0.2">
      <c r="A199">
        <v>198</v>
      </c>
      <c r="B199" s="3">
        <v>40552</v>
      </c>
      <c r="C199">
        <v>1</v>
      </c>
      <c r="D199">
        <v>2011</v>
      </c>
      <c r="E199" t="s">
        <v>10</v>
      </c>
      <c r="F199">
        <v>12</v>
      </c>
      <c r="G199" t="b">
        <v>1</v>
      </c>
      <c r="H199" t="s">
        <v>12</v>
      </c>
      <c r="I199">
        <v>1</v>
      </c>
      <c r="J199">
        <v>0.18</v>
      </c>
      <c r="K199">
        <v>0.13639999999999999</v>
      </c>
      <c r="L199">
        <v>0.37</v>
      </c>
      <c r="M199">
        <v>0.44779999999999998</v>
      </c>
      <c r="N199">
        <v>4</v>
      </c>
      <c r="O199">
        <v>79</v>
      </c>
      <c r="P199">
        <v>83</v>
      </c>
      <c r="S199" t="str">
        <f>IF(Dataset_A[[#This Row],[Hr]]&gt;=19,"Evening Time",IF(Dataset_A[[#This Row],[Hr]]&gt;=9,"Day Time",IF(Dataset_A[[#This Row],[Hr]]&gt;=0,"Night Time","")))</f>
        <v>Day Time</v>
      </c>
    </row>
    <row r="200" spans="1:19" x14ac:dyDescent="0.2">
      <c r="A200">
        <v>199</v>
      </c>
      <c r="B200" s="3">
        <v>40552</v>
      </c>
      <c r="C200">
        <v>1</v>
      </c>
      <c r="D200">
        <v>2011</v>
      </c>
      <c r="E200" t="s">
        <v>10</v>
      </c>
      <c r="F200">
        <v>13</v>
      </c>
      <c r="G200" t="b">
        <v>1</v>
      </c>
      <c r="H200" t="s">
        <v>12</v>
      </c>
      <c r="I200">
        <v>1</v>
      </c>
      <c r="J200">
        <v>0.2</v>
      </c>
      <c r="K200">
        <v>0.16669999999999999</v>
      </c>
      <c r="L200">
        <v>0.34</v>
      </c>
      <c r="M200">
        <v>0.44779999999999998</v>
      </c>
      <c r="N200">
        <v>6</v>
      </c>
      <c r="O200">
        <v>69</v>
      </c>
      <c r="P200">
        <v>75</v>
      </c>
      <c r="S200" t="str">
        <f>IF(Dataset_A[[#This Row],[Hr]]&gt;=19,"Evening Time",IF(Dataset_A[[#This Row],[Hr]]&gt;=9,"Day Time",IF(Dataset_A[[#This Row],[Hr]]&gt;=0,"Night Time","")))</f>
        <v>Day Time</v>
      </c>
    </row>
    <row r="201" spans="1:19" x14ac:dyDescent="0.2">
      <c r="A201">
        <v>200</v>
      </c>
      <c r="B201" s="3">
        <v>40552</v>
      </c>
      <c r="C201">
        <v>1</v>
      </c>
      <c r="D201">
        <v>2011</v>
      </c>
      <c r="E201" t="s">
        <v>10</v>
      </c>
      <c r="F201">
        <v>14</v>
      </c>
      <c r="G201" t="b">
        <v>1</v>
      </c>
      <c r="H201" t="s">
        <v>12</v>
      </c>
      <c r="I201">
        <v>1</v>
      </c>
      <c r="J201">
        <v>0.22</v>
      </c>
      <c r="K201">
        <v>0.18179999999999999</v>
      </c>
      <c r="L201">
        <v>0.32</v>
      </c>
      <c r="M201">
        <v>0.4627</v>
      </c>
      <c r="N201">
        <v>8</v>
      </c>
      <c r="O201">
        <v>64</v>
      </c>
      <c r="P201">
        <v>72</v>
      </c>
      <c r="S201" t="str">
        <f>IF(Dataset_A[[#This Row],[Hr]]&gt;=19,"Evening Time",IF(Dataset_A[[#This Row],[Hr]]&gt;=9,"Day Time",IF(Dataset_A[[#This Row],[Hr]]&gt;=0,"Night Time","")))</f>
        <v>Day Time</v>
      </c>
    </row>
    <row r="202" spans="1:19" x14ac:dyDescent="0.2">
      <c r="A202">
        <v>201</v>
      </c>
      <c r="B202" s="3">
        <v>40552</v>
      </c>
      <c r="C202">
        <v>1</v>
      </c>
      <c r="D202">
        <v>2011</v>
      </c>
      <c r="E202" t="s">
        <v>10</v>
      </c>
      <c r="F202">
        <v>15</v>
      </c>
      <c r="G202" t="b">
        <v>1</v>
      </c>
      <c r="H202" t="s">
        <v>12</v>
      </c>
      <c r="I202">
        <v>1</v>
      </c>
      <c r="J202">
        <v>0.22</v>
      </c>
      <c r="K202">
        <v>0.19700000000000001</v>
      </c>
      <c r="L202">
        <v>0.35</v>
      </c>
      <c r="M202">
        <v>0.35820000000000002</v>
      </c>
      <c r="N202">
        <v>5</v>
      </c>
      <c r="O202">
        <v>77</v>
      </c>
      <c r="P202">
        <v>82</v>
      </c>
      <c r="S202" t="str">
        <f>IF(Dataset_A[[#This Row],[Hr]]&gt;=19,"Evening Time",IF(Dataset_A[[#This Row],[Hr]]&gt;=9,"Day Time",IF(Dataset_A[[#This Row],[Hr]]&gt;=0,"Night Time","")))</f>
        <v>Day Time</v>
      </c>
    </row>
    <row r="203" spans="1:19" x14ac:dyDescent="0.2">
      <c r="A203">
        <v>202</v>
      </c>
      <c r="B203" s="3">
        <v>40552</v>
      </c>
      <c r="C203">
        <v>1</v>
      </c>
      <c r="D203">
        <v>2011</v>
      </c>
      <c r="E203" t="s">
        <v>10</v>
      </c>
      <c r="F203">
        <v>16</v>
      </c>
      <c r="G203" t="b">
        <v>1</v>
      </c>
      <c r="H203" t="s">
        <v>12</v>
      </c>
      <c r="I203">
        <v>1</v>
      </c>
      <c r="J203">
        <v>0.2</v>
      </c>
      <c r="K203">
        <v>0.16669999999999999</v>
      </c>
      <c r="L203">
        <v>0.34</v>
      </c>
      <c r="M203">
        <v>0.44779999999999998</v>
      </c>
      <c r="N203">
        <v>13</v>
      </c>
      <c r="O203">
        <v>79</v>
      </c>
      <c r="P203">
        <v>92</v>
      </c>
      <c r="S203" t="str">
        <f>IF(Dataset_A[[#This Row],[Hr]]&gt;=19,"Evening Time",IF(Dataset_A[[#This Row],[Hr]]&gt;=9,"Day Time",IF(Dataset_A[[#This Row],[Hr]]&gt;=0,"Night Time","")))</f>
        <v>Day Time</v>
      </c>
    </row>
    <row r="204" spans="1:19" x14ac:dyDescent="0.2">
      <c r="A204">
        <v>203</v>
      </c>
      <c r="B204" s="3">
        <v>40552</v>
      </c>
      <c r="C204">
        <v>1</v>
      </c>
      <c r="D204">
        <v>2011</v>
      </c>
      <c r="E204" t="s">
        <v>10</v>
      </c>
      <c r="F204">
        <v>17</v>
      </c>
      <c r="G204" t="b">
        <v>1</v>
      </c>
      <c r="H204" t="s">
        <v>12</v>
      </c>
      <c r="I204">
        <v>1</v>
      </c>
      <c r="J204">
        <v>0.18</v>
      </c>
      <c r="K204">
        <v>0.1515</v>
      </c>
      <c r="L204">
        <v>0.37</v>
      </c>
      <c r="M204">
        <v>0.3881</v>
      </c>
      <c r="N204">
        <v>3</v>
      </c>
      <c r="O204">
        <v>59</v>
      </c>
      <c r="P204">
        <v>62</v>
      </c>
      <c r="S204" t="str">
        <f>IF(Dataset_A[[#This Row],[Hr]]&gt;=19,"Evening Time",IF(Dataset_A[[#This Row],[Hr]]&gt;=9,"Day Time",IF(Dataset_A[[#This Row],[Hr]]&gt;=0,"Night Time","")))</f>
        <v>Day Time</v>
      </c>
    </row>
    <row r="205" spans="1:19" x14ac:dyDescent="0.2">
      <c r="A205">
        <v>204</v>
      </c>
      <c r="B205" s="3">
        <v>40552</v>
      </c>
      <c r="C205">
        <v>1</v>
      </c>
      <c r="D205">
        <v>2011</v>
      </c>
      <c r="E205" t="s">
        <v>10</v>
      </c>
      <c r="F205">
        <v>18</v>
      </c>
      <c r="G205" t="b">
        <v>1</v>
      </c>
      <c r="H205" t="s">
        <v>12</v>
      </c>
      <c r="I205">
        <v>1</v>
      </c>
      <c r="J205">
        <v>0.16</v>
      </c>
      <c r="K205">
        <v>0.13639999999999999</v>
      </c>
      <c r="L205">
        <v>0.4</v>
      </c>
      <c r="M205">
        <v>0.32840000000000003</v>
      </c>
      <c r="N205">
        <v>4</v>
      </c>
      <c r="O205">
        <v>44</v>
      </c>
      <c r="P205">
        <v>48</v>
      </c>
      <c r="S205" t="str">
        <f>IF(Dataset_A[[#This Row],[Hr]]&gt;=19,"Evening Time",IF(Dataset_A[[#This Row],[Hr]]&gt;=9,"Day Time",IF(Dataset_A[[#This Row],[Hr]]&gt;=0,"Night Time","")))</f>
        <v>Day Time</v>
      </c>
    </row>
    <row r="206" spans="1:19" x14ac:dyDescent="0.2">
      <c r="A206">
        <v>205</v>
      </c>
      <c r="B206" s="3">
        <v>40552</v>
      </c>
      <c r="C206">
        <v>1</v>
      </c>
      <c r="D206">
        <v>2011</v>
      </c>
      <c r="E206" t="s">
        <v>10</v>
      </c>
      <c r="F206">
        <v>19</v>
      </c>
      <c r="G206" t="b">
        <v>1</v>
      </c>
      <c r="H206" t="s">
        <v>12</v>
      </c>
      <c r="I206">
        <v>1</v>
      </c>
      <c r="J206">
        <v>0.16</v>
      </c>
      <c r="K206">
        <v>0.13639999999999999</v>
      </c>
      <c r="L206">
        <v>0.43</v>
      </c>
      <c r="M206">
        <v>0.32840000000000003</v>
      </c>
      <c r="N206">
        <v>1</v>
      </c>
      <c r="O206">
        <v>40</v>
      </c>
      <c r="P206">
        <v>41</v>
      </c>
      <c r="S206" t="str">
        <f>IF(Dataset_A[[#This Row],[Hr]]&gt;=19,"Evening Time",IF(Dataset_A[[#This Row],[Hr]]&gt;=9,"Day Time",IF(Dataset_A[[#This Row],[Hr]]&gt;=0,"Night Time","")))</f>
        <v>Evening Time</v>
      </c>
    </row>
    <row r="207" spans="1:19" x14ac:dyDescent="0.2">
      <c r="A207">
        <v>206</v>
      </c>
      <c r="B207" s="3">
        <v>40552</v>
      </c>
      <c r="C207">
        <v>1</v>
      </c>
      <c r="D207">
        <v>2011</v>
      </c>
      <c r="E207" t="s">
        <v>10</v>
      </c>
      <c r="F207">
        <v>20</v>
      </c>
      <c r="G207" t="b">
        <v>1</v>
      </c>
      <c r="H207" t="s">
        <v>12</v>
      </c>
      <c r="I207">
        <v>1</v>
      </c>
      <c r="J207">
        <v>0.14000000000000001</v>
      </c>
      <c r="K207">
        <v>0.1212</v>
      </c>
      <c r="L207">
        <v>0.46</v>
      </c>
      <c r="M207">
        <v>0.25369999999999998</v>
      </c>
      <c r="N207">
        <v>0</v>
      </c>
      <c r="O207">
        <v>38</v>
      </c>
      <c r="P207">
        <v>38</v>
      </c>
      <c r="S207" t="str">
        <f>IF(Dataset_A[[#This Row],[Hr]]&gt;=19,"Evening Time",IF(Dataset_A[[#This Row],[Hr]]&gt;=9,"Day Time",IF(Dataset_A[[#This Row],[Hr]]&gt;=0,"Night Time","")))</f>
        <v>Evening Time</v>
      </c>
    </row>
    <row r="208" spans="1:19" x14ac:dyDescent="0.2">
      <c r="A208">
        <v>207</v>
      </c>
      <c r="B208" s="3">
        <v>40552</v>
      </c>
      <c r="C208">
        <v>1</v>
      </c>
      <c r="D208">
        <v>2011</v>
      </c>
      <c r="E208" t="s">
        <v>10</v>
      </c>
      <c r="F208">
        <v>21</v>
      </c>
      <c r="G208" t="b">
        <v>1</v>
      </c>
      <c r="H208" t="s">
        <v>12</v>
      </c>
      <c r="I208">
        <v>1</v>
      </c>
      <c r="J208">
        <v>0.14000000000000001</v>
      </c>
      <c r="K208">
        <v>0.1061</v>
      </c>
      <c r="L208">
        <v>0.46</v>
      </c>
      <c r="M208">
        <v>0.41789999999999999</v>
      </c>
      <c r="N208">
        <v>1</v>
      </c>
      <c r="O208">
        <v>19</v>
      </c>
      <c r="P208">
        <v>20</v>
      </c>
      <c r="S208" t="str">
        <f>IF(Dataset_A[[#This Row],[Hr]]&gt;=19,"Evening Time",IF(Dataset_A[[#This Row],[Hr]]&gt;=9,"Day Time",IF(Dataset_A[[#This Row],[Hr]]&gt;=0,"Night Time","")))</f>
        <v>Evening Time</v>
      </c>
    </row>
    <row r="209" spans="1:19" x14ac:dyDescent="0.2">
      <c r="A209">
        <v>208</v>
      </c>
      <c r="B209" s="3">
        <v>40552</v>
      </c>
      <c r="C209">
        <v>1</v>
      </c>
      <c r="D209">
        <v>2011</v>
      </c>
      <c r="E209" t="s">
        <v>10</v>
      </c>
      <c r="F209">
        <v>22</v>
      </c>
      <c r="G209" t="b">
        <v>1</v>
      </c>
      <c r="H209" t="s">
        <v>12</v>
      </c>
      <c r="I209">
        <v>1</v>
      </c>
      <c r="J209">
        <v>0.14000000000000001</v>
      </c>
      <c r="K209">
        <v>0.1212</v>
      </c>
      <c r="L209">
        <v>0.46</v>
      </c>
      <c r="M209">
        <v>0.29849999999999999</v>
      </c>
      <c r="N209">
        <v>5</v>
      </c>
      <c r="O209">
        <v>10</v>
      </c>
      <c r="P209">
        <v>15</v>
      </c>
      <c r="S209" t="str">
        <f>IF(Dataset_A[[#This Row],[Hr]]&gt;=19,"Evening Time",IF(Dataset_A[[#This Row],[Hr]]&gt;=9,"Day Time",IF(Dataset_A[[#This Row],[Hr]]&gt;=0,"Night Time","")))</f>
        <v>Evening Time</v>
      </c>
    </row>
    <row r="210" spans="1:19" x14ac:dyDescent="0.2">
      <c r="A210">
        <v>209</v>
      </c>
      <c r="B210" s="3">
        <v>40552</v>
      </c>
      <c r="C210">
        <v>1</v>
      </c>
      <c r="D210">
        <v>2011</v>
      </c>
      <c r="E210" t="s">
        <v>10</v>
      </c>
      <c r="F210">
        <v>23</v>
      </c>
      <c r="G210" t="b">
        <v>1</v>
      </c>
      <c r="H210" t="s">
        <v>12</v>
      </c>
      <c r="I210">
        <v>1</v>
      </c>
      <c r="J210">
        <v>0.12</v>
      </c>
      <c r="K210">
        <v>0.13639999999999999</v>
      </c>
      <c r="L210">
        <v>0.5</v>
      </c>
      <c r="M210">
        <v>0.19400000000000001</v>
      </c>
      <c r="N210">
        <v>0</v>
      </c>
      <c r="O210">
        <v>6</v>
      </c>
      <c r="P210">
        <v>6</v>
      </c>
      <c r="S210" t="str">
        <f>IF(Dataset_A[[#This Row],[Hr]]&gt;=19,"Evening Time",IF(Dataset_A[[#This Row],[Hr]]&gt;=9,"Day Time",IF(Dataset_A[[#This Row],[Hr]]&gt;=0,"Night Time","")))</f>
        <v>Evening Time</v>
      </c>
    </row>
    <row r="211" spans="1:19" x14ac:dyDescent="0.2">
      <c r="A211">
        <v>210</v>
      </c>
      <c r="B211" s="3">
        <v>40553</v>
      </c>
      <c r="C211">
        <v>1</v>
      </c>
      <c r="D211">
        <v>2011</v>
      </c>
      <c r="E211" t="s">
        <v>10</v>
      </c>
      <c r="F211">
        <v>0</v>
      </c>
      <c r="G211" t="b">
        <v>0</v>
      </c>
      <c r="H211" t="s">
        <v>13</v>
      </c>
      <c r="I211">
        <v>1</v>
      </c>
      <c r="J211">
        <v>0.12</v>
      </c>
      <c r="K211">
        <v>0.1212</v>
      </c>
      <c r="L211">
        <v>0.5</v>
      </c>
      <c r="M211">
        <v>0.28360000000000002</v>
      </c>
      <c r="N211">
        <v>2</v>
      </c>
      <c r="O211">
        <v>3</v>
      </c>
      <c r="P211">
        <v>5</v>
      </c>
      <c r="S211" t="str">
        <f>IF(Dataset_A[[#This Row],[Hr]]&gt;=19,"Evening Time",IF(Dataset_A[[#This Row],[Hr]]&gt;=9,"Day Time",IF(Dataset_A[[#This Row],[Hr]]&gt;=0,"Night Time","")))</f>
        <v>Night Time</v>
      </c>
    </row>
    <row r="212" spans="1:19" x14ac:dyDescent="0.2">
      <c r="A212">
        <v>211</v>
      </c>
      <c r="B212" s="3">
        <v>40553</v>
      </c>
      <c r="C212">
        <v>1</v>
      </c>
      <c r="D212">
        <v>2011</v>
      </c>
      <c r="E212" t="s">
        <v>10</v>
      </c>
      <c r="F212">
        <v>1</v>
      </c>
      <c r="G212" t="b">
        <v>0</v>
      </c>
      <c r="H212" t="s">
        <v>13</v>
      </c>
      <c r="I212">
        <v>1</v>
      </c>
      <c r="J212">
        <v>0.12</v>
      </c>
      <c r="K212">
        <v>0.1212</v>
      </c>
      <c r="L212">
        <v>0.5</v>
      </c>
      <c r="M212">
        <v>0.28360000000000002</v>
      </c>
      <c r="N212">
        <v>1</v>
      </c>
      <c r="O212">
        <v>0</v>
      </c>
      <c r="P212">
        <v>1</v>
      </c>
      <c r="S212" t="str">
        <f>IF(Dataset_A[[#This Row],[Hr]]&gt;=19,"Evening Time",IF(Dataset_A[[#This Row],[Hr]]&gt;=9,"Day Time",IF(Dataset_A[[#This Row],[Hr]]&gt;=0,"Night Time","")))</f>
        <v>Night Time</v>
      </c>
    </row>
    <row r="213" spans="1:19" x14ac:dyDescent="0.2">
      <c r="A213">
        <v>212</v>
      </c>
      <c r="B213" s="3">
        <v>40553</v>
      </c>
      <c r="C213">
        <v>1</v>
      </c>
      <c r="D213">
        <v>2011</v>
      </c>
      <c r="E213" t="s">
        <v>10</v>
      </c>
      <c r="F213">
        <v>2</v>
      </c>
      <c r="G213" t="b">
        <v>0</v>
      </c>
      <c r="H213" t="s">
        <v>13</v>
      </c>
      <c r="I213">
        <v>1</v>
      </c>
      <c r="J213">
        <v>0.12</v>
      </c>
      <c r="K213">
        <v>0.1212</v>
      </c>
      <c r="L213">
        <v>0.5</v>
      </c>
      <c r="M213">
        <v>0.22389999999999999</v>
      </c>
      <c r="N213">
        <v>0</v>
      </c>
      <c r="O213">
        <v>3</v>
      </c>
      <c r="P213">
        <v>3</v>
      </c>
      <c r="S213" t="str">
        <f>IF(Dataset_A[[#This Row],[Hr]]&gt;=19,"Evening Time",IF(Dataset_A[[#This Row],[Hr]]&gt;=9,"Day Time",IF(Dataset_A[[#This Row],[Hr]]&gt;=0,"Night Time","")))</f>
        <v>Night Time</v>
      </c>
    </row>
    <row r="214" spans="1:19" x14ac:dyDescent="0.2">
      <c r="A214">
        <v>213</v>
      </c>
      <c r="B214" s="3">
        <v>40553</v>
      </c>
      <c r="C214">
        <v>1</v>
      </c>
      <c r="D214">
        <v>2011</v>
      </c>
      <c r="E214" t="s">
        <v>10</v>
      </c>
      <c r="F214">
        <v>3</v>
      </c>
      <c r="G214" t="b">
        <v>0</v>
      </c>
      <c r="H214" t="s">
        <v>13</v>
      </c>
      <c r="I214">
        <v>1</v>
      </c>
      <c r="J214">
        <v>0.12</v>
      </c>
      <c r="K214">
        <v>0.1212</v>
      </c>
      <c r="L214">
        <v>0.5</v>
      </c>
      <c r="M214">
        <v>0.22389999999999999</v>
      </c>
      <c r="N214">
        <v>0</v>
      </c>
      <c r="O214">
        <v>1</v>
      </c>
      <c r="P214">
        <v>1</v>
      </c>
      <c r="S214" t="str">
        <f>IF(Dataset_A[[#This Row],[Hr]]&gt;=19,"Evening Time",IF(Dataset_A[[#This Row],[Hr]]&gt;=9,"Day Time",IF(Dataset_A[[#This Row],[Hr]]&gt;=0,"Night Time","")))</f>
        <v>Night Time</v>
      </c>
    </row>
    <row r="215" spans="1:19" x14ac:dyDescent="0.2">
      <c r="A215">
        <v>214</v>
      </c>
      <c r="B215" s="3">
        <v>40553</v>
      </c>
      <c r="C215">
        <v>1</v>
      </c>
      <c r="D215">
        <v>2011</v>
      </c>
      <c r="E215" t="s">
        <v>10</v>
      </c>
      <c r="F215">
        <v>4</v>
      </c>
      <c r="G215" t="b">
        <v>0</v>
      </c>
      <c r="H215" t="s">
        <v>13</v>
      </c>
      <c r="I215">
        <v>1</v>
      </c>
      <c r="J215">
        <v>0.1</v>
      </c>
      <c r="K215">
        <v>0.1212</v>
      </c>
      <c r="L215">
        <v>0.54</v>
      </c>
      <c r="M215">
        <v>0.1343</v>
      </c>
      <c r="N215">
        <v>1</v>
      </c>
      <c r="O215">
        <v>2</v>
      </c>
      <c r="P215">
        <v>3</v>
      </c>
      <c r="S215" t="str">
        <f>IF(Dataset_A[[#This Row],[Hr]]&gt;=19,"Evening Time",IF(Dataset_A[[#This Row],[Hr]]&gt;=9,"Day Time",IF(Dataset_A[[#This Row],[Hr]]&gt;=0,"Night Time","")))</f>
        <v>Night Time</v>
      </c>
    </row>
    <row r="216" spans="1:19" x14ac:dyDescent="0.2">
      <c r="A216">
        <v>215</v>
      </c>
      <c r="B216" s="3">
        <v>40553</v>
      </c>
      <c r="C216">
        <v>1</v>
      </c>
      <c r="D216">
        <v>2011</v>
      </c>
      <c r="E216" t="s">
        <v>10</v>
      </c>
      <c r="F216">
        <v>5</v>
      </c>
      <c r="G216" t="b">
        <v>0</v>
      </c>
      <c r="H216" t="s">
        <v>13</v>
      </c>
      <c r="I216">
        <v>1</v>
      </c>
      <c r="J216">
        <v>0.1</v>
      </c>
      <c r="K216">
        <v>0.1061</v>
      </c>
      <c r="L216">
        <v>0.54</v>
      </c>
      <c r="M216">
        <v>0.25369999999999998</v>
      </c>
      <c r="N216">
        <v>0</v>
      </c>
      <c r="O216">
        <v>3</v>
      </c>
      <c r="P216">
        <v>3</v>
      </c>
      <c r="S216" t="str">
        <f>IF(Dataset_A[[#This Row],[Hr]]&gt;=19,"Evening Time",IF(Dataset_A[[#This Row],[Hr]]&gt;=9,"Day Time",IF(Dataset_A[[#This Row],[Hr]]&gt;=0,"Night Time","")))</f>
        <v>Night Time</v>
      </c>
    </row>
    <row r="217" spans="1:19" x14ac:dyDescent="0.2">
      <c r="A217">
        <v>216</v>
      </c>
      <c r="B217" s="3">
        <v>40553</v>
      </c>
      <c r="C217">
        <v>1</v>
      </c>
      <c r="D217">
        <v>2011</v>
      </c>
      <c r="E217" t="s">
        <v>10</v>
      </c>
      <c r="F217">
        <v>6</v>
      </c>
      <c r="G217" t="b">
        <v>0</v>
      </c>
      <c r="H217" t="s">
        <v>13</v>
      </c>
      <c r="I217">
        <v>1</v>
      </c>
      <c r="J217">
        <v>0.12</v>
      </c>
      <c r="K217">
        <v>0.1212</v>
      </c>
      <c r="L217">
        <v>0.5</v>
      </c>
      <c r="M217">
        <v>0.28360000000000002</v>
      </c>
      <c r="N217">
        <v>0</v>
      </c>
      <c r="O217">
        <v>31</v>
      </c>
      <c r="P217">
        <v>31</v>
      </c>
      <c r="S217" t="str">
        <f>IF(Dataset_A[[#This Row],[Hr]]&gt;=19,"Evening Time",IF(Dataset_A[[#This Row],[Hr]]&gt;=9,"Day Time",IF(Dataset_A[[#This Row],[Hr]]&gt;=0,"Night Time","")))</f>
        <v>Night Time</v>
      </c>
    </row>
    <row r="218" spans="1:19" x14ac:dyDescent="0.2">
      <c r="A218">
        <v>217</v>
      </c>
      <c r="B218" s="3">
        <v>40553</v>
      </c>
      <c r="C218">
        <v>1</v>
      </c>
      <c r="D218">
        <v>2011</v>
      </c>
      <c r="E218" t="s">
        <v>10</v>
      </c>
      <c r="F218">
        <v>7</v>
      </c>
      <c r="G218" t="b">
        <v>0</v>
      </c>
      <c r="H218" t="s">
        <v>13</v>
      </c>
      <c r="I218">
        <v>1</v>
      </c>
      <c r="J218">
        <v>0.12</v>
      </c>
      <c r="K218">
        <v>0.1212</v>
      </c>
      <c r="L218">
        <v>0.5</v>
      </c>
      <c r="M218">
        <v>0.22389999999999999</v>
      </c>
      <c r="N218">
        <v>2</v>
      </c>
      <c r="O218">
        <v>75</v>
      </c>
      <c r="P218">
        <v>77</v>
      </c>
      <c r="S218" t="str">
        <f>IF(Dataset_A[[#This Row],[Hr]]&gt;=19,"Evening Time",IF(Dataset_A[[#This Row],[Hr]]&gt;=9,"Day Time",IF(Dataset_A[[#This Row],[Hr]]&gt;=0,"Night Time","")))</f>
        <v>Night Time</v>
      </c>
    </row>
    <row r="219" spans="1:19" x14ac:dyDescent="0.2">
      <c r="A219">
        <v>218</v>
      </c>
      <c r="B219" s="3">
        <v>40553</v>
      </c>
      <c r="C219">
        <v>1</v>
      </c>
      <c r="D219">
        <v>2011</v>
      </c>
      <c r="E219" t="s">
        <v>10</v>
      </c>
      <c r="F219">
        <v>8</v>
      </c>
      <c r="G219" t="b">
        <v>0</v>
      </c>
      <c r="H219" t="s">
        <v>13</v>
      </c>
      <c r="I219">
        <v>2</v>
      </c>
      <c r="J219">
        <v>0.12</v>
      </c>
      <c r="K219">
        <v>0.1212</v>
      </c>
      <c r="L219">
        <v>0.5</v>
      </c>
      <c r="M219">
        <v>0.28360000000000002</v>
      </c>
      <c r="N219">
        <v>4</v>
      </c>
      <c r="O219">
        <v>184</v>
      </c>
      <c r="P219">
        <v>188</v>
      </c>
      <c r="S219" t="str">
        <f>IF(Dataset_A[[#This Row],[Hr]]&gt;=19,"Evening Time",IF(Dataset_A[[#This Row],[Hr]]&gt;=9,"Day Time",IF(Dataset_A[[#This Row],[Hr]]&gt;=0,"Night Time","")))</f>
        <v>Night Time</v>
      </c>
    </row>
    <row r="220" spans="1:19" x14ac:dyDescent="0.2">
      <c r="A220">
        <v>219</v>
      </c>
      <c r="B220" s="3">
        <v>40553</v>
      </c>
      <c r="C220">
        <v>1</v>
      </c>
      <c r="D220">
        <v>2011</v>
      </c>
      <c r="E220" t="s">
        <v>10</v>
      </c>
      <c r="F220">
        <v>9</v>
      </c>
      <c r="G220" t="b">
        <v>0</v>
      </c>
      <c r="H220" t="s">
        <v>13</v>
      </c>
      <c r="I220">
        <v>2</v>
      </c>
      <c r="J220">
        <v>0.14000000000000001</v>
      </c>
      <c r="K220">
        <v>0.1212</v>
      </c>
      <c r="L220">
        <v>0.5</v>
      </c>
      <c r="M220">
        <v>0.25369999999999998</v>
      </c>
      <c r="N220">
        <v>2</v>
      </c>
      <c r="O220">
        <v>92</v>
      </c>
      <c r="P220">
        <v>94</v>
      </c>
      <c r="S220" t="str">
        <f>IF(Dataset_A[[#This Row],[Hr]]&gt;=19,"Evening Time",IF(Dataset_A[[#This Row],[Hr]]&gt;=9,"Day Time",IF(Dataset_A[[#This Row],[Hr]]&gt;=0,"Night Time","")))</f>
        <v>Day Time</v>
      </c>
    </row>
    <row r="221" spans="1:19" x14ac:dyDescent="0.2">
      <c r="A221">
        <v>220</v>
      </c>
      <c r="B221" s="3">
        <v>40553</v>
      </c>
      <c r="C221">
        <v>1</v>
      </c>
      <c r="D221">
        <v>2011</v>
      </c>
      <c r="E221" t="s">
        <v>10</v>
      </c>
      <c r="F221">
        <v>10</v>
      </c>
      <c r="G221" t="b">
        <v>0</v>
      </c>
      <c r="H221" t="s">
        <v>13</v>
      </c>
      <c r="I221">
        <v>2</v>
      </c>
      <c r="J221">
        <v>0.14000000000000001</v>
      </c>
      <c r="K221">
        <v>0.1212</v>
      </c>
      <c r="L221">
        <v>0.5</v>
      </c>
      <c r="M221">
        <v>0.29849999999999999</v>
      </c>
      <c r="N221">
        <v>0</v>
      </c>
      <c r="O221">
        <v>31</v>
      </c>
      <c r="P221">
        <v>31</v>
      </c>
      <c r="S221" t="str">
        <f>IF(Dataset_A[[#This Row],[Hr]]&gt;=19,"Evening Time",IF(Dataset_A[[#This Row],[Hr]]&gt;=9,"Day Time",IF(Dataset_A[[#This Row],[Hr]]&gt;=0,"Night Time","")))</f>
        <v>Day Time</v>
      </c>
    </row>
    <row r="222" spans="1:19" x14ac:dyDescent="0.2">
      <c r="A222">
        <v>221</v>
      </c>
      <c r="B222" s="3">
        <v>40553</v>
      </c>
      <c r="C222">
        <v>1</v>
      </c>
      <c r="D222">
        <v>2011</v>
      </c>
      <c r="E222" t="s">
        <v>10</v>
      </c>
      <c r="F222">
        <v>11</v>
      </c>
      <c r="G222" t="b">
        <v>0</v>
      </c>
      <c r="H222" t="s">
        <v>13</v>
      </c>
      <c r="I222">
        <v>2</v>
      </c>
      <c r="J222">
        <v>0.16</v>
      </c>
      <c r="K222">
        <v>0.13639999999999999</v>
      </c>
      <c r="L222">
        <v>0.47</v>
      </c>
      <c r="M222">
        <v>0.28360000000000002</v>
      </c>
      <c r="N222">
        <v>2</v>
      </c>
      <c r="O222">
        <v>28</v>
      </c>
      <c r="P222">
        <v>30</v>
      </c>
      <c r="S222" t="str">
        <f>IF(Dataset_A[[#This Row],[Hr]]&gt;=19,"Evening Time",IF(Dataset_A[[#This Row],[Hr]]&gt;=9,"Day Time",IF(Dataset_A[[#This Row],[Hr]]&gt;=0,"Night Time","")))</f>
        <v>Day Time</v>
      </c>
    </row>
    <row r="223" spans="1:19" x14ac:dyDescent="0.2">
      <c r="A223">
        <v>222</v>
      </c>
      <c r="B223" s="3">
        <v>40553</v>
      </c>
      <c r="C223">
        <v>1</v>
      </c>
      <c r="D223">
        <v>2011</v>
      </c>
      <c r="E223" t="s">
        <v>10</v>
      </c>
      <c r="F223">
        <v>12</v>
      </c>
      <c r="G223" t="b">
        <v>0</v>
      </c>
      <c r="H223" t="s">
        <v>13</v>
      </c>
      <c r="I223">
        <v>2</v>
      </c>
      <c r="J223">
        <v>0.2</v>
      </c>
      <c r="K223">
        <v>0.18179999999999999</v>
      </c>
      <c r="L223">
        <v>0.4</v>
      </c>
      <c r="M223">
        <v>0.28360000000000002</v>
      </c>
      <c r="N223">
        <v>5</v>
      </c>
      <c r="O223">
        <v>47</v>
      </c>
      <c r="P223">
        <v>52</v>
      </c>
      <c r="S223" t="str">
        <f>IF(Dataset_A[[#This Row],[Hr]]&gt;=19,"Evening Time",IF(Dataset_A[[#This Row],[Hr]]&gt;=9,"Day Time",IF(Dataset_A[[#This Row],[Hr]]&gt;=0,"Night Time","")))</f>
        <v>Day Time</v>
      </c>
    </row>
    <row r="224" spans="1:19" x14ac:dyDescent="0.2">
      <c r="A224">
        <v>223</v>
      </c>
      <c r="B224" s="3">
        <v>40553</v>
      </c>
      <c r="C224">
        <v>1</v>
      </c>
      <c r="D224">
        <v>2011</v>
      </c>
      <c r="E224" t="s">
        <v>10</v>
      </c>
      <c r="F224">
        <v>13</v>
      </c>
      <c r="G224" t="b">
        <v>0</v>
      </c>
      <c r="H224" t="s">
        <v>13</v>
      </c>
      <c r="I224">
        <v>2</v>
      </c>
      <c r="J224">
        <v>0.2</v>
      </c>
      <c r="K224">
        <v>0.18179999999999999</v>
      </c>
      <c r="L224">
        <v>0.4</v>
      </c>
      <c r="M224">
        <v>0.28360000000000002</v>
      </c>
      <c r="N224">
        <v>4</v>
      </c>
      <c r="O224">
        <v>50</v>
      </c>
      <c r="P224">
        <v>54</v>
      </c>
      <c r="S224" t="str">
        <f>IF(Dataset_A[[#This Row],[Hr]]&gt;=19,"Evening Time",IF(Dataset_A[[#This Row],[Hr]]&gt;=9,"Day Time",IF(Dataset_A[[#This Row],[Hr]]&gt;=0,"Night Time","")))</f>
        <v>Day Time</v>
      </c>
    </row>
    <row r="225" spans="1:19" x14ac:dyDescent="0.2">
      <c r="A225">
        <v>224</v>
      </c>
      <c r="B225" s="3">
        <v>40553</v>
      </c>
      <c r="C225">
        <v>1</v>
      </c>
      <c r="D225">
        <v>2011</v>
      </c>
      <c r="E225" t="s">
        <v>10</v>
      </c>
      <c r="F225">
        <v>14</v>
      </c>
      <c r="G225" t="b">
        <v>0</v>
      </c>
      <c r="H225" t="s">
        <v>13</v>
      </c>
      <c r="I225">
        <v>2</v>
      </c>
      <c r="J225">
        <v>0.2</v>
      </c>
      <c r="K225">
        <v>0.19700000000000001</v>
      </c>
      <c r="L225">
        <v>0.4</v>
      </c>
      <c r="M225">
        <v>0.22389999999999999</v>
      </c>
      <c r="N225">
        <v>0</v>
      </c>
      <c r="O225">
        <v>47</v>
      </c>
      <c r="P225">
        <v>47</v>
      </c>
      <c r="S225" t="str">
        <f>IF(Dataset_A[[#This Row],[Hr]]&gt;=19,"Evening Time",IF(Dataset_A[[#This Row],[Hr]]&gt;=9,"Day Time",IF(Dataset_A[[#This Row],[Hr]]&gt;=0,"Night Time","")))</f>
        <v>Day Time</v>
      </c>
    </row>
    <row r="226" spans="1:19" x14ac:dyDescent="0.2">
      <c r="A226">
        <v>225</v>
      </c>
      <c r="B226" s="3">
        <v>40553</v>
      </c>
      <c r="C226">
        <v>1</v>
      </c>
      <c r="D226">
        <v>2011</v>
      </c>
      <c r="E226" t="s">
        <v>10</v>
      </c>
      <c r="F226">
        <v>15</v>
      </c>
      <c r="G226" t="b">
        <v>0</v>
      </c>
      <c r="H226" t="s">
        <v>13</v>
      </c>
      <c r="I226">
        <v>2</v>
      </c>
      <c r="J226">
        <v>0.2</v>
      </c>
      <c r="K226">
        <v>0.19700000000000001</v>
      </c>
      <c r="L226">
        <v>0.4</v>
      </c>
      <c r="M226">
        <v>0.22389999999999999</v>
      </c>
      <c r="N226">
        <v>2</v>
      </c>
      <c r="O226">
        <v>43</v>
      </c>
      <c r="P226">
        <v>45</v>
      </c>
      <c r="S226" t="str">
        <f>IF(Dataset_A[[#This Row],[Hr]]&gt;=19,"Evening Time",IF(Dataset_A[[#This Row],[Hr]]&gt;=9,"Day Time",IF(Dataset_A[[#This Row],[Hr]]&gt;=0,"Night Time","")))</f>
        <v>Day Time</v>
      </c>
    </row>
    <row r="227" spans="1:19" x14ac:dyDescent="0.2">
      <c r="A227">
        <v>226</v>
      </c>
      <c r="B227" s="3">
        <v>40553</v>
      </c>
      <c r="C227">
        <v>1</v>
      </c>
      <c r="D227">
        <v>2011</v>
      </c>
      <c r="E227" t="s">
        <v>10</v>
      </c>
      <c r="F227">
        <v>16</v>
      </c>
      <c r="G227" t="b">
        <v>0</v>
      </c>
      <c r="H227" t="s">
        <v>13</v>
      </c>
      <c r="I227">
        <v>1</v>
      </c>
      <c r="J227">
        <v>0.2</v>
      </c>
      <c r="K227">
        <v>0.21210000000000001</v>
      </c>
      <c r="L227">
        <v>0.4</v>
      </c>
      <c r="M227">
        <v>0.1343</v>
      </c>
      <c r="N227">
        <v>4</v>
      </c>
      <c r="O227">
        <v>70</v>
      </c>
      <c r="P227">
        <v>74</v>
      </c>
      <c r="S227" t="str">
        <f>IF(Dataset_A[[#This Row],[Hr]]&gt;=19,"Evening Time",IF(Dataset_A[[#This Row],[Hr]]&gt;=9,"Day Time",IF(Dataset_A[[#This Row],[Hr]]&gt;=0,"Night Time","")))</f>
        <v>Day Time</v>
      </c>
    </row>
    <row r="228" spans="1:19" x14ac:dyDescent="0.2">
      <c r="A228">
        <v>227</v>
      </c>
      <c r="B228" s="3">
        <v>40553</v>
      </c>
      <c r="C228">
        <v>1</v>
      </c>
      <c r="D228">
        <v>2011</v>
      </c>
      <c r="E228" t="s">
        <v>10</v>
      </c>
      <c r="F228">
        <v>17</v>
      </c>
      <c r="G228" t="b">
        <v>0</v>
      </c>
      <c r="H228" t="s">
        <v>13</v>
      </c>
      <c r="I228">
        <v>1</v>
      </c>
      <c r="J228">
        <v>0.2</v>
      </c>
      <c r="K228">
        <v>0.2273</v>
      </c>
      <c r="L228">
        <v>0.4</v>
      </c>
      <c r="M228">
        <v>0.1045</v>
      </c>
      <c r="N228">
        <v>4</v>
      </c>
      <c r="O228">
        <v>174</v>
      </c>
      <c r="P228">
        <v>178</v>
      </c>
      <c r="S228" t="str">
        <f>IF(Dataset_A[[#This Row],[Hr]]&gt;=19,"Evening Time",IF(Dataset_A[[#This Row],[Hr]]&gt;=9,"Day Time",IF(Dataset_A[[#This Row],[Hr]]&gt;=0,"Night Time","")))</f>
        <v>Day Time</v>
      </c>
    </row>
    <row r="229" spans="1:19" x14ac:dyDescent="0.2">
      <c r="A229">
        <v>228</v>
      </c>
      <c r="B229" s="3">
        <v>40553</v>
      </c>
      <c r="C229">
        <v>1</v>
      </c>
      <c r="D229">
        <v>2011</v>
      </c>
      <c r="E229" t="s">
        <v>10</v>
      </c>
      <c r="F229">
        <v>18</v>
      </c>
      <c r="G229" t="b">
        <v>0</v>
      </c>
      <c r="H229" t="s">
        <v>13</v>
      </c>
      <c r="I229">
        <v>1</v>
      </c>
      <c r="J229">
        <v>0.2</v>
      </c>
      <c r="K229">
        <v>0.19700000000000001</v>
      </c>
      <c r="L229">
        <v>0.4</v>
      </c>
      <c r="M229">
        <v>0.22389999999999999</v>
      </c>
      <c r="N229">
        <v>1</v>
      </c>
      <c r="O229">
        <v>154</v>
      </c>
      <c r="P229">
        <v>155</v>
      </c>
      <c r="S229" t="str">
        <f>IF(Dataset_A[[#This Row],[Hr]]&gt;=19,"Evening Time",IF(Dataset_A[[#This Row],[Hr]]&gt;=9,"Day Time",IF(Dataset_A[[#This Row],[Hr]]&gt;=0,"Night Time","")))</f>
        <v>Day Time</v>
      </c>
    </row>
    <row r="230" spans="1:19" x14ac:dyDescent="0.2">
      <c r="A230">
        <v>229</v>
      </c>
      <c r="B230" s="3">
        <v>40553</v>
      </c>
      <c r="C230">
        <v>1</v>
      </c>
      <c r="D230">
        <v>2011</v>
      </c>
      <c r="E230" t="s">
        <v>10</v>
      </c>
      <c r="F230">
        <v>19</v>
      </c>
      <c r="G230" t="b">
        <v>0</v>
      </c>
      <c r="H230" t="s">
        <v>13</v>
      </c>
      <c r="I230">
        <v>1</v>
      </c>
      <c r="J230">
        <v>0.16</v>
      </c>
      <c r="K230">
        <v>0.16669999999999999</v>
      </c>
      <c r="L230">
        <v>0.47</v>
      </c>
      <c r="M230">
        <v>0.16420000000000001</v>
      </c>
      <c r="N230">
        <v>3</v>
      </c>
      <c r="O230">
        <v>92</v>
      </c>
      <c r="P230">
        <v>95</v>
      </c>
      <c r="S230" t="str">
        <f>IF(Dataset_A[[#This Row],[Hr]]&gt;=19,"Evening Time",IF(Dataset_A[[#This Row],[Hr]]&gt;=9,"Day Time",IF(Dataset_A[[#This Row],[Hr]]&gt;=0,"Night Time","")))</f>
        <v>Evening Time</v>
      </c>
    </row>
    <row r="231" spans="1:19" x14ac:dyDescent="0.2">
      <c r="A231">
        <v>230</v>
      </c>
      <c r="B231" s="3">
        <v>40553</v>
      </c>
      <c r="C231">
        <v>1</v>
      </c>
      <c r="D231">
        <v>2011</v>
      </c>
      <c r="E231" t="s">
        <v>10</v>
      </c>
      <c r="F231">
        <v>20</v>
      </c>
      <c r="G231" t="b">
        <v>0</v>
      </c>
      <c r="H231" t="s">
        <v>13</v>
      </c>
      <c r="I231">
        <v>1</v>
      </c>
      <c r="J231">
        <v>0.16</v>
      </c>
      <c r="K231">
        <v>0.16669999999999999</v>
      </c>
      <c r="L231">
        <v>0.5</v>
      </c>
      <c r="M231">
        <v>0.16420000000000001</v>
      </c>
      <c r="N231">
        <v>1</v>
      </c>
      <c r="O231">
        <v>73</v>
      </c>
      <c r="P231">
        <v>74</v>
      </c>
      <c r="S231" t="str">
        <f>IF(Dataset_A[[#This Row],[Hr]]&gt;=19,"Evening Time",IF(Dataset_A[[#This Row],[Hr]]&gt;=9,"Day Time",IF(Dataset_A[[#This Row],[Hr]]&gt;=0,"Night Time","")))</f>
        <v>Evening Time</v>
      </c>
    </row>
    <row r="232" spans="1:19" x14ac:dyDescent="0.2">
      <c r="A232">
        <v>231</v>
      </c>
      <c r="B232" s="3">
        <v>40553</v>
      </c>
      <c r="C232">
        <v>1</v>
      </c>
      <c r="D232">
        <v>2011</v>
      </c>
      <c r="E232" t="s">
        <v>10</v>
      </c>
      <c r="F232">
        <v>21</v>
      </c>
      <c r="G232" t="b">
        <v>0</v>
      </c>
      <c r="H232" t="s">
        <v>13</v>
      </c>
      <c r="I232">
        <v>1</v>
      </c>
      <c r="J232">
        <v>0.14000000000000001</v>
      </c>
      <c r="K232">
        <v>0.13639999999999999</v>
      </c>
      <c r="L232">
        <v>0.59</v>
      </c>
      <c r="M232">
        <v>0.19400000000000001</v>
      </c>
      <c r="N232">
        <v>1</v>
      </c>
      <c r="O232">
        <v>37</v>
      </c>
      <c r="P232">
        <v>38</v>
      </c>
      <c r="S232" t="str">
        <f>IF(Dataset_A[[#This Row],[Hr]]&gt;=19,"Evening Time",IF(Dataset_A[[#This Row],[Hr]]&gt;=9,"Day Time",IF(Dataset_A[[#This Row],[Hr]]&gt;=0,"Night Time","")))</f>
        <v>Evening Time</v>
      </c>
    </row>
    <row r="233" spans="1:19" x14ac:dyDescent="0.2">
      <c r="A233">
        <v>232</v>
      </c>
      <c r="B233" s="3">
        <v>40553</v>
      </c>
      <c r="C233">
        <v>1</v>
      </c>
      <c r="D233">
        <v>2011</v>
      </c>
      <c r="E233" t="s">
        <v>10</v>
      </c>
      <c r="F233">
        <v>22</v>
      </c>
      <c r="G233" t="b">
        <v>0</v>
      </c>
      <c r="H233" t="s">
        <v>13</v>
      </c>
      <c r="I233">
        <v>1</v>
      </c>
      <c r="J233">
        <v>0.14000000000000001</v>
      </c>
      <c r="K233">
        <v>0.1515</v>
      </c>
      <c r="L233">
        <v>0.59</v>
      </c>
      <c r="M233">
        <v>0.16420000000000001</v>
      </c>
      <c r="N233">
        <v>2</v>
      </c>
      <c r="O233">
        <v>22</v>
      </c>
      <c r="P233">
        <v>24</v>
      </c>
      <c r="S233" t="str">
        <f>IF(Dataset_A[[#This Row],[Hr]]&gt;=19,"Evening Time",IF(Dataset_A[[#This Row],[Hr]]&gt;=9,"Day Time",IF(Dataset_A[[#This Row],[Hr]]&gt;=0,"Night Time","")))</f>
        <v>Evening Time</v>
      </c>
    </row>
    <row r="234" spans="1:19" x14ac:dyDescent="0.2">
      <c r="A234">
        <v>233</v>
      </c>
      <c r="B234" s="3">
        <v>40553</v>
      </c>
      <c r="C234">
        <v>1</v>
      </c>
      <c r="D234">
        <v>2011</v>
      </c>
      <c r="E234" t="s">
        <v>10</v>
      </c>
      <c r="F234">
        <v>23</v>
      </c>
      <c r="G234" t="b">
        <v>0</v>
      </c>
      <c r="H234" t="s">
        <v>13</v>
      </c>
      <c r="I234">
        <v>1</v>
      </c>
      <c r="J234">
        <v>0.14000000000000001</v>
      </c>
      <c r="K234">
        <v>0.1515</v>
      </c>
      <c r="L234">
        <v>0.59</v>
      </c>
      <c r="M234">
        <v>0.16420000000000001</v>
      </c>
      <c r="N234">
        <v>0</v>
      </c>
      <c r="O234">
        <v>18</v>
      </c>
      <c r="P234">
        <v>18</v>
      </c>
      <c r="S234" t="str">
        <f>IF(Dataset_A[[#This Row],[Hr]]&gt;=19,"Evening Time",IF(Dataset_A[[#This Row],[Hr]]&gt;=9,"Day Time",IF(Dataset_A[[#This Row],[Hr]]&gt;=0,"Night Time","")))</f>
        <v>Evening Time</v>
      </c>
    </row>
    <row r="235" spans="1:19" x14ac:dyDescent="0.2">
      <c r="A235">
        <v>234</v>
      </c>
      <c r="B235" s="3">
        <v>40554</v>
      </c>
      <c r="C235">
        <v>1</v>
      </c>
      <c r="D235">
        <v>2011</v>
      </c>
      <c r="E235" t="s">
        <v>10</v>
      </c>
      <c r="F235">
        <v>0</v>
      </c>
      <c r="G235" t="b">
        <v>0</v>
      </c>
      <c r="H235" t="s">
        <v>14</v>
      </c>
      <c r="I235">
        <v>1</v>
      </c>
      <c r="J235">
        <v>0.14000000000000001</v>
      </c>
      <c r="K235">
        <v>0.16669999999999999</v>
      </c>
      <c r="L235">
        <v>0.59</v>
      </c>
      <c r="M235">
        <v>0.1045</v>
      </c>
      <c r="N235">
        <v>2</v>
      </c>
      <c r="O235">
        <v>10</v>
      </c>
      <c r="P235">
        <v>12</v>
      </c>
      <c r="S235" t="str">
        <f>IF(Dataset_A[[#This Row],[Hr]]&gt;=19,"Evening Time",IF(Dataset_A[[#This Row],[Hr]]&gt;=9,"Day Time",IF(Dataset_A[[#This Row],[Hr]]&gt;=0,"Night Time","")))</f>
        <v>Night Time</v>
      </c>
    </row>
    <row r="236" spans="1:19" x14ac:dyDescent="0.2">
      <c r="A236">
        <v>235</v>
      </c>
      <c r="B236" s="3">
        <v>40554</v>
      </c>
      <c r="C236">
        <v>1</v>
      </c>
      <c r="D236">
        <v>2011</v>
      </c>
      <c r="E236" t="s">
        <v>10</v>
      </c>
      <c r="F236">
        <v>1</v>
      </c>
      <c r="G236" t="b">
        <v>0</v>
      </c>
      <c r="H236" t="s">
        <v>14</v>
      </c>
      <c r="I236">
        <v>1</v>
      </c>
      <c r="J236">
        <v>0.14000000000000001</v>
      </c>
      <c r="K236">
        <v>0.1515</v>
      </c>
      <c r="L236">
        <v>0.59</v>
      </c>
      <c r="M236">
        <v>0.16420000000000001</v>
      </c>
      <c r="N236">
        <v>0</v>
      </c>
      <c r="O236">
        <v>3</v>
      </c>
      <c r="P236">
        <v>3</v>
      </c>
      <c r="S236" t="str">
        <f>IF(Dataset_A[[#This Row],[Hr]]&gt;=19,"Evening Time",IF(Dataset_A[[#This Row],[Hr]]&gt;=9,"Day Time",IF(Dataset_A[[#This Row],[Hr]]&gt;=0,"Night Time","")))</f>
        <v>Night Time</v>
      </c>
    </row>
    <row r="237" spans="1:19" x14ac:dyDescent="0.2">
      <c r="A237">
        <v>236</v>
      </c>
      <c r="B237" s="3">
        <v>40554</v>
      </c>
      <c r="C237">
        <v>1</v>
      </c>
      <c r="D237">
        <v>2011</v>
      </c>
      <c r="E237" t="s">
        <v>10</v>
      </c>
      <c r="F237">
        <v>2</v>
      </c>
      <c r="G237" t="b">
        <v>0</v>
      </c>
      <c r="H237" t="s">
        <v>14</v>
      </c>
      <c r="I237">
        <v>2</v>
      </c>
      <c r="J237">
        <v>0.16</v>
      </c>
      <c r="K237">
        <v>0.1515</v>
      </c>
      <c r="L237">
        <v>0.55000000000000004</v>
      </c>
      <c r="M237">
        <v>0.19400000000000001</v>
      </c>
      <c r="N237">
        <v>0</v>
      </c>
      <c r="O237">
        <v>3</v>
      </c>
      <c r="P237">
        <v>3</v>
      </c>
      <c r="S237" t="str">
        <f>IF(Dataset_A[[#This Row],[Hr]]&gt;=19,"Evening Time",IF(Dataset_A[[#This Row],[Hr]]&gt;=9,"Day Time",IF(Dataset_A[[#This Row],[Hr]]&gt;=0,"Night Time","")))</f>
        <v>Night Time</v>
      </c>
    </row>
    <row r="238" spans="1:19" x14ac:dyDescent="0.2">
      <c r="A238">
        <v>237</v>
      </c>
      <c r="B238" s="3">
        <v>40554</v>
      </c>
      <c r="C238">
        <v>1</v>
      </c>
      <c r="D238">
        <v>2011</v>
      </c>
      <c r="E238" t="s">
        <v>10</v>
      </c>
      <c r="F238">
        <v>5</v>
      </c>
      <c r="G238" t="b">
        <v>0</v>
      </c>
      <c r="H238" t="s">
        <v>14</v>
      </c>
      <c r="I238">
        <v>2</v>
      </c>
      <c r="J238">
        <v>0.16</v>
      </c>
      <c r="K238">
        <v>0.18179999999999999</v>
      </c>
      <c r="L238">
        <v>0.55000000000000004</v>
      </c>
      <c r="M238">
        <v>0.1343</v>
      </c>
      <c r="N238">
        <v>0</v>
      </c>
      <c r="O238">
        <v>6</v>
      </c>
      <c r="P238">
        <v>6</v>
      </c>
      <c r="S238" t="str">
        <f>IF(Dataset_A[[#This Row],[Hr]]&gt;=19,"Evening Time",IF(Dataset_A[[#This Row],[Hr]]&gt;=9,"Day Time",IF(Dataset_A[[#This Row],[Hr]]&gt;=0,"Night Time","")))</f>
        <v>Night Time</v>
      </c>
    </row>
    <row r="239" spans="1:19" x14ac:dyDescent="0.2">
      <c r="A239">
        <v>238</v>
      </c>
      <c r="B239" s="3">
        <v>40554</v>
      </c>
      <c r="C239">
        <v>1</v>
      </c>
      <c r="D239">
        <v>2011</v>
      </c>
      <c r="E239" t="s">
        <v>10</v>
      </c>
      <c r="F239">
        <v>6</v>
      </c>
      <c r="G239" t="b">
        <v>0</v>
      </c>
      <c r="H239" t="s">
        <v>14</v>
      </c>
      <c r="I239">
        <v>2</v>
      </c>
      <c r="J239">
        <v>0.16</v>
      </c>
      <c r="K239">
        <v>0.18179999999999999</v>
      </c>
      <c r="L239">
        <v>0.55000000000000004</v>
      </c>
      <c r="M239">
        <v>0.1343</v>
      </c>
      <c r="N239">
        <v>0</v>
      </c>
      <c r="O239">
        <v>27</v>
      </c>
      <c r="P239">
        <v>27</v>
      </c>
      <c r="S239" t="str">
        <f>IF(Dataset_A[[#This Row],[Hr]]&gt;=19,"Evening Time",IF(Dataset_A[[#This Row],[Hr]]&gt;=9,"Day Time",IF(Dataset_A[[#This Row],[Hr]]&gt;=0,"Night Time","")))</f>
        <v>Night Time</v>
      </c>
    </row>
    <row r="240" spans="1:19" x14ac:dyDescent="0.2">
      <c r="A240">
        <v>239</v>
      </c>
      <c r="B240" s="3">
        <v>40554</v>
      </c>
      <c r="C240">
        <v>1</v>
      </c>
      <c r="D240">
        <v>2011</v>
      </c>
      <c r="E240" t="s">
        <v>10</v>
      </c>
      <c r="F240">
        <v>7</v>
      </c>
      <c r="G240" t="b">
        <v>0</v>
      </c>
      <c r="H240" t="s">
        <v>14</v>
      </c>
      <c r="I240">
        <v>2</v>
      </c>
      <c r="J240">
        <v>0.16</v>
      </c>
      <c r="K240">
        <v>0.2273</v>
      </c>
      <c r="L240">
        <v>0.55000000000000004</v>
      </c>
      <c r="M240">
        <v>0</v>
      </c>
      <c r="N240">
        <v>2</v>
      </c>
      <c r="O240">
        <v>97</v>
      </c>
      <c r="P240">
        <v>99</v>
      </c>
      <c r="S240" t="str">
        <f>IF(Dataset_A[[#This Row],[Hr]]&gt;=19,"Evening Time",IF(Dataset_A[[#This Row],[Hr]]&gt;=9,"Day Time",IF(Dataset_A[[#This Row],[Hr]]&gt;=0,"Night Time","")))</f>
        <v>Night Time</v>
      </c>
    </row>
    <row r="241" spans="1:19" x14ac:dyDescent="0.2">
      <c r="A241">
        <v>240</v>
      </c>
      <c r="B241" s="3">
        <v>40554</v>
      </c>
      <c r="C241">
        <v>1</v>
      </c>
      <c r="D241">
        <v>2011</v>
      </c>
      <c r="E241" t="s">
        <v>10</v>
      </c>
      <c r="F241">
        <v>8</v>
      </c>
      <c r="G241" t="b">
        <v>0</v>
      </c>
      <c r="H241" t="s">
        <v>14</v>
      </c>
      <c r="I241">
        <v>2</v>
      </c>
      <c r="J241">
        <v>0.18</v>
      </c>
      <c r="K241">
        <v>0.21210000000000001</v>
      </c>
      <c r="L241">
        <v>0.51</v>
      </c>
      <c r="M241">
        <v>8.9599999999999999E-2</v>
      </c>
      <c r="N241">
        <v>3</v>
      </c>
      <c r="O241">
        <v>214</v>
      </c>
      <c r="P241">
        <v>217</v>
      </c>
      <c r="S241" t="str">
        <f>IF(Dataset_A[[#This Row],[Hr]]&gt;=19,"Evening Time",IF(Dataset_A[[#This Row],[Hr]]&gt;=9,"Day Time",IF(Dataset_A[[#This Row],[Hr]]&gt;=0,"Night Time","")))</f>
        <v>Night Time</v>
      </c>
    </row>
    <row r="242" spans="1:19" x14ac:dyDescent="0.2">
      <c r="A242">
        <v>241</v>
      </c>
      <c r="B242" s="3">
        <v>40554</v>
      </c>
      <c r="C242">
        <v>1</v>
      </c>
      <c r="D242">
        <v>2011</v>
      </c>
      <c r="E242" t="s">
        <v>10</v>
      </c>
      <c r="F242">
        <v>9</v>
      </c>
      <c r="G242" t="b">
        <v>0</v>
      </c>
      <c r="H242" t="s">
        <v>14</v>
      </c>
      <c r="I242">
        <v>2</v>
      </c>
      <c r="J242">
        <v>0.18</v>
      </c>
      <c r="K242">
        <v>0.19700000000000001</v>
      </c>
      <c r="L242">
        <v>0.51</v>
      </c>
      <c r="M242">
        <v>0.16420000000000001</v>
      </c>
      <c r="N242">
        <v>3</v>
      </c>
      <c r="O242">
        <v>127</v>
      </c>
      <c r="P242">
        <v>130</v>
      </c>
      <c r="S242" t="str">
        <f>IF(Dataset_A[[#This Row],[Hr]]&gt;=19,"Evening Time",IF(Dataset_A[[#This Row],[Hr]]&gt;=9,"Day Time",IF(Dataset_A[[#This Row],[Hr]]&gt;=0,"Night Time","")))</f>
        <v>Day Time</v>
      </c>
    </row>
    <row r="243" spans="1:19" x14ac:dyDescent="0.2">
      <c r="A243">
        <v>242</v>
      </c>
      <c r="B243" s="3">
        <v>40554</v>
      </c>
      <c r="C243">
        <v>1</v>
      </c>
      <c r="D243">
        <v>2011</v>
      </c>
      <c r="E243" t="s">
        <v>10</v>
      </c>
      <c r="F243">
        <v>10</v>
      </c>
      <c r="G243" t="b">
        <v>0</v>
      </c>
      <c r="H243" t="s">
        <v>14</v>
      </c>
      <c r="I243">
        <v>2</v>
      </c>
      <c r="J243">
        <v>0.2</v>
      </c>
      <c r="K243">
        <v>0.21210000000000001</v>
      </c>
      <c r="L243">
        <v>0.51</v>
      </c>
      <c r="M243">
        <v>0.16420000000000001</v>
      </c>
      <c r="N243">
        <v>3</v>
      </c>
      <c r="O243">
        <v>51</v>
      </c>
      <c r="P243">
        <v>54</v>
      </c>
      <c r="S243" t="str">
        <f>IF(Dataset_A[[#This Row],[Hr]]&gt;=19,"Evening Time",IF(Dataset_A[[#This Row],[Hr]]&gt;=9,"Day Time",IF(Dataset_A[[#This Row],[Hr]]&gt;=0,"Night Time","")))</f>
        <v>Day Time</v>
      </c>
    </row>
    <row r="244" spans="1:19" x14ac:dyDescent="0.2">
      <c r="A244">
        <v>243</v>
      </c>
      <c r="B244" s="3">
        <v>40554</v>
      </c>
      <c r="C244">
        <v>1</v>
      </c>
      <c r="D244">
        <v>2011</v>
      </c>
      <c r="E244" t="s">
        <v>10</v>
      </c>
      <c r="F244">
        <v>11</v>
      </c>
      <c r="G244" t="b">
        <v>0</v>
      </c>
      <c r="H244" t="s">
        <v>14</v>
      </c>
      <c r="I244">
        <v>2</v>
      </c>
      <c r="J244">
        <v>0.2</v>
      </c>
      <c r="K244">
        <v>0.21210000000000001</v>
      </c>
      <c r="L244">
        <v>0.47</v>
      </c>
      <c r="M244">
        <v>0.1343</v>
      </c>
      <c r="N244">
        <v>4</v>
      </c>
      <c r="O244">
        <v>31</v>
      </c>
      <c r="P244">
        <v>35</v>
      </c>
      <c r="S244" t="str">
        <f>IF(Dataset_A[[#This Row],[Hr]]&gt;=19,"Evening Time",IF(Dataset_A[[#This Row],[Hr]]&gt;=9,"Day Time",IF(Dataset_A[[#This Row],[Hr]]&gt;=0,"Night Time","")))</f>
        <v>Day Time</v>
      </c>
    </row>
    <row r="245" spans="1:19" x14ac:dyDescent="0.2">
      <c r="A245">
        <v>244</v>
      </c>
      <c r="B245" s="3">
        <v>40554</v>
      </c>
      <c r="C245">
        <v>1</v>
      </c>
      <c r="D245">
        <v>2011</v>
      </c>
      <c r="E245" t="s">
        <v>10</v>
      </c>
      <c r="F245">
        <v>12</v>
      </c>
      <c r="G245" t="b">
        <v>0</v>
      </c>
      <c r="H245" t="s">
        <v>14</v>
      </c>
      <c r="I245">
        <v>2</v>
      </c>
      <c r="J245">
        <v>0.2</v>
      </c>
      <c r="K245">
        <v>0.2273</v>
      </c>
      <c r="L245">
        <v>0.51</v>
      </c>
      <c r="M245">
        <v>0.1045</v>
      </c>
      <c r="N245">
        <v>2</v>
      </c>
      <c r="O245">
        <v>55</v>
      </c>
      <c r="P245">
        <v>57</v>
      </c>
      <c r="S245" t="str">
        <f>IF(Dataset_A[[#This Row],[Hr]]&gt;=19,"Evening Time",IF(Dataset_A[[#This Row],[Hr]]&gt;=9,"Day Time",IF(Dataset_A[[#This Row],[Hr]]&gt;=0,"Night Time","")))</f>
        <v>Day Time</v>
      </c>
    </row>
    <row r="246" spans="1:19" x14ac:dyDescent="0.2">
      <c r="A246">
        <v>245</v>
      </c>
      <c r="B246" s="3">
        <v>40554</v>
      </c>
      <c r="C246">
        <v>1</v>
      </c>
      <c r="D246">
        <v>2011</v>
      </c>
      <c r="E246" t="s">
        <v>10</v>
      </c>
      <c r="F246">
        <v>13</v>
      </c>
      <c r="G246" t="b">
        <v>0</v>
      </c>
      <c r="H246" t="s">
        <v>14</v>
      </c>
      <c r="I246">
        <v>2</v>
      </c>
      <c r="J246">
        <v>0.2</v>
      </c>
      <c r="K246">
        <v>0.2273</v>
      </c>
      <c r="L246">
        <v>0.59</v>
      </c>
      <c r="M246">
        <v>8.9599999999999999E-2</v>
      </c>
      <c r="N246">
        <v>6</v>
      </c>
      <c r="O246">
        <v>46</v>
      </c>
      <c r="P246">
        <v>52</v>
      </c>
      <c r="S246" t="str">
        <f>IF(Dataset_A[[#This Row],[Hr]]&gt;=19,"Evening Time",IF(Dataset_A[[#This Row],[Hr]]&gt;=9,"Day Time",IF(Dataset_A[[#This Row],[Hr]]&gt;=0,"Night Time","")))</f>
        <v>Day Time</v>
      </c>
    </row>
    <row r="247" spans="1:19" x14ac:dyDescent="0.2">
      <c r="A247">
        <v>246</v>
      </c>
      <c r="B247" s="3">
        <v>40554</v>
      </c>
      <c r="C247">
        <v>1</v>
      </c>
      <c r="D247">
        <v>2011</v>
      </c>
      <c r="E247" t="s">
        <v>10</v>
      </c>
      <c r="F247">
        <v>14</v>
      </c>
      <c r="G247" t="b">
        <v>0</v>
      </c>
      <c r="H247" t="s">
        <v>14</v>
      </c>
      <c r="I247">
        <v>2</v>
      </c>
      <c r="J247">
        <v>0.2</v>
      </c>
      <c r="K247">
        <v>0.2273</v>
      </c>
      <c r="L247">
        <v>0.59</v>
      </c>
      <c r="M247">
        <v>8.9599999999999999E-2</v>
      </c>
      <c r="N247">
        <v>3</v>
      </c>
      <c r="O247">
        <v>60</v>
      </c>
      <c r="P247">
        <v>63</v>
      </c>
      <c r="S247" t="str">
        <f>IF(Dataset_A[[#This Row],[Hr]]&gt;=19,"Evening Time",IF(Dataset_A[[#This Row],[Hr]]&gt;=9,"Day Time",IF(Dataset_A[[#This Row],[Hr]]&gt;=0,"Night Time","")))</f>
        <v>Day Time</v>
      </c>
    </row>
    <row r="248" spans="1:19" x14ac:dyDescent="0.2">
      <c r="A248">
        <v>247</v>
      </c>
      <c r="B248" s="3">
        <v>40554</v>
      </c>
      <c r="C248">
        <v>1</v>
      </c>
      <c r="D248">
        <v>2011</v>
      </c>
      <c r="E248" t="s">
        <v>10</v>
      </c>
      <c r="F248">
        <v>15</v>
      </c>
      <c r="G248" t="b">
        <v>0</v>
      </c>
      <c r="H248" t="s">
        <v>14</v>
      </c>
      <c r="I248">
        <v>2</v>
      </c>
      <c r="J248">
        <v>0.16</v>
      </c>
      <c r="K248">
        <v>0.19700000000000001</v>
      </c>
      <c r="L248">
        <v>0.8</v>
      </c>
      <c r="M248">
        <v>8.9599999999999999E-2</v>
      </c>
      <c r="N248">
        <v>2</v>
      </c>
      <c r="O248">
        <v>45</v>
      </c>
      <c r="P248">
        <v>47</v>
      </c>
      <c r="S248" t="str">
        <f>IF(Dataset_A[[#This Row],[Hr]]&gt;=19,"Evening Time",IF(Dataset_A[[#This Row],[Hr]]&gt;=9,"Day Time",IF(Dataset_A[[#This Row],[Hr]]&gt;=0,"Night Time","")))</f>
        <v>Day Time</v>
      </c>
    </row>
    <row r="249" spans="1:19" x14ac:dyDescent="0.2">
      <c r="A249">
        <v>248</v>
      </c>
      <c r="B249" s="3">
        <v>40554</v>
      </c>
      <c r="C249">
        <v>1</v>
      </c>
      <c r="D249">
        <v>2011</v>
      </c>
      <c r="E249" t="s">
        <v>10</v>
      </c>
      <c r="F249">
        <v>16</v>
      </c>
      <c r="G249" t="b">
        <v>0</v>
      </c>
      <c r="H249" t="s">
        <v>14</v>
      </c>
      <c r="I249">
        <v>2</v>
      </c>
      <c r="J249">
        <v>0.16</v>
      </c>
      <c r="K249">
        <v>0.1515</v>
      </c>
      <c r="L249">
        <v>0.86</v>
      </c>
      <c r="M249">
        <v>0.22389999999999999</v>
      </c>
      <c r="N249">
        <v>4</v>
      </c>
      <c r="O249">
        <v>72</v>
      </c>
      <c r="P249">
        <v>76</v>
      </c>
      <c r="S249" t="str">
        <f>IF(Dataset_A[[#This Row],[Hr]]&gt;=19,"Evening Time",IF(Dataset_A[[#This Row],[Hr]]&gt;=9,"Day Time",IF(Dataset_A[[#This Row],[Hr]]&gt;=0,"Night Time","")))</f>
        <v>Day Time</v>
      </c>
    </row>
    <row r="250" spans="1:19" x14ac:dyDescent="0.2">
      <c r="A250">
        <v>249</v>
      </c>
      <c r="B250" s="3">
        <v>40554</v>
      </c>
      <c r="C250">
        <v>1</v>
      </c>
      <c r="D250">
        <v>2011</v>
      </c>
      <c r="E250" t="s">
        <v>10</v>
      </c>
      <c r="F250">
        <v>17</v>
      </c>
      <c r="G250" t="b">
        <v>0</v>
      </c>
      <c r="H250" t="s">
        <v>14</v>
      </c>
      <c r="I250">
        <v>2</v>
      </c>
      <c r="J250">
        <v>0.16</v>
      </c>
      <c r="K250">
        <v>0.1515</v>
      </c>
      <c r="L250">
        <v>0.86</v>
      </c>
      <c r="M250">
        <v>0.22389999999999999</v>
      </c>
      <c r="N250">
        <v>6</v>
      </c>
      <c r="O250">
        <v>130</v>
      </c>
      <c r="P250">
        <v>136</v>
      </c>
      <c r="S250" t="str">
        <f>IF(Dataset_A[[#This Row],[Hr]]&gt;=19,"Evening Time",IF(Dataset_A[[#This Row],[Hr]]&gt;=9,"Day Time",IF(Dataset_A[[#This Row],[Hr]]&gt;=0,"Night Time","")))</f>
        <v>Day Time</v>
      </c>
    </row>
    <row r="251" spans="1:19" x14ac:dyDescent="0.2">
      <c r="A251">
        <v>250</v>
      </c>
      <c r="B251" s="3">
        <v>40554</v>
      </c>
      <c r="C251">
        <v>1</v>
      </c>
      <c r="D251">
        <v>2011</v>
      </c>
      <c r="E251" t="s">
        <v>10</v>
      </c>
      <c r="F251">
        <v>18</v>
      </c>
      <c r="G251" t="b">
        <v>0</v>
      </c>
      <c r="H251" t="s">
        <v>14</v>
      </c>
      <c r="I251">
        <v>3</v>
      </c>
      <c r="J251">
        <v>0.16</v>
      </c>
      <c r="K251">
        <v>0.18179999999999999</v>
      </c>
      <c r="L251">
        <v>0.93</v>
      </c>
      <c r="M251">
        <v>0.1045</v>
      </c>
      <c r="N251">
        <v>1</v>
      </c>
      <c r="O251">
        <v>94</v>
      </c>
      <c r="P251">
        <v>95</v>
      </c>
      <c r="S251" t="str">
        <f>IF(Dataset_A[[#This Row],[Hr]]&gt;=19,"Evening Time",IF(Dataset_A[[#This Row],[Hr]]&gt;=9,"Day Time",IF(Dataset_A[[#This Row],[Hr]]&gt;=0,"Night Time","")))</f>
        <v>Day Time</v>
      </c>
    </row>
    <row r="252" spans="1:19" x14ac:dyDescent="0.2">
      <c r="A252">
        <v>251</v>
      </c>
      <c r="B252" s="3">
        <v>40554</v>
      </c>
      <c r="C252">
        <v>1</v>
      </c>
      <c r="D252">
        <v>2011</v>
      </c>
      <c r="E252" t="s">
        <v>10</v>
      </c>
      <c r="F252">
        <v>19</v>
      </c>
      <c r="G252" t="b">
        <v>0</v>
      </c>
      <c r="H252" t="s">
        <v>14</v>
      </c>
      <c r="I252">
        <v>3</v>
      </c>
      <c r="J252">
        <v>0.16</v>
      </c>
      <c r="K252">
        <v>0.2273</v>
      </c>
      <c r="L252">
        <v>0.93</v>
      </c>
      <c r="M252">
        <v>0</v>
      </c>
      <c r="N252">
        <v>0</v>
      </c>
      <c r="O252">
        <v>51</v>
      </c>
      <c r="P252">
        <v>51</v>
      </c>
      <c r="S252" t="str">
        <f>IF(Dataset_A[[#This Row],[Hr]]&gt;=19,"Evening Time",IF(Dataset_A[[#This Row],[Hr]]&gt;=9,"Day Time",IF(Dataset_A[[#This Row],[Hr]]&gt;=0,"Night Time","")))</f>
        <v>Evening Time</v>
      </c>
    </row>
    <row r="253" spans="1:19" x14ac:dyDescent="0.2">
      <c r="A253">
        <v>252</v>
      </c>
      <c r="B253" s="3">
        <v>40554</v>
      </c>
      <c r="C253">
        <v>1</v>
      </c>
      <c r="D253">
        <v>2011</v>
      </c>
      <c r="E253" t="s">
        <v>10</v>
      </c>
      <c r="F253">
        <v>20</v>
      </c>
      <c r="G253" t="b">
        <v>0</v>
      </c>
      <c r="H253" t="s">
        <v>14</v>
      </c>
      <c r="I253">
        <v>3</v>
      </c>
      <c r="J253">
        <v>0.16</v>
      </c>
      <c r="K253">
        <v>0.1515</v>
      </c>
      <c r="L253">
        <v>0.93</v>
      </c>
      <c r="M253">
        <v>0.19400000000000001</v>
      </c>
      <c r="N253">
        <v>0</v>
      </c>
      <c r="O253">
        <v>32</v>
      </c>
      <c r="P253">
        <v>32</v>
      </c>
      <c r="S253" t="str">
        <f>IF(Dataset_A[[#This Row],[Hr]]&gt;=19,"Evening Time",IF(Dataset_A[[#This Row],[Hr]]&gt;=9,"Day Time",IF(Dataset_A[[#This Row],[Hr]]&gt;=0,"Night Time","")))</f>
        <v>Evening Time</v>
      </c>
    </row>
    <row r="254" spans="1:19" x14ac:dyDescent="0.2">
      <c r="A254">
        <v>253</v>
      </c>
      <c r="B254" s="3">
        <v>40554</v>
      </c>
      <c r="C254">
        <v>1</v>
      </c>
      <c r="D254">
        <v>2011</v>
      </c>
      <c r="E254" t="s">
        <v>10</v>
      </c>
      <c r="F254">
        <v>21</v>
      </c>
      <c r="G254" t="b">
        <v>0</v>
      </c>
      <c r="H254" t="s">
        <v>14</v>
      </c>
      <c r="I254">
        <v>3</v>
      </c>
      <c r="J254">
        <v>0.16</v>
      </c>
      <c r="K254">
        <v>0.19700000000000001</v>
      </c>
      <c r="L254">
        <v>0.86</v>
      </c>
      <c r="M254">
        <v>8.9599999999999999E-2</v>
      </c>
      <c r="N254">
        <v>0</v>
      </c>
      <c r="O254">
        <v>20</v>
      </c>
      <c r="P254">
        <v>20</v>
      </c>
      <c r="S254" t="str">
        <f>IF(Dataset_A[[#This Row],[Hr]]&gt;=19,"Evening Time",IF(Dataset_A[[#This Row],[Hr]]&gt;=9,"Day Time",IF(Dataset_A[[#This Row],[Hr]]&gt;=0,"Night Time","")))</f>
        <v>Evening Time</v>
      </c>
    </row>
    <row r="255" spans="1:19" x14ac:dyDescent="0.2">
      <c r="A255">
        <v>254</v>
      </c>
      <c r="B255" s="3">
        <v>40554</v>
      </c>
      <c r="C255">
        <v>1</v>
      </c>
      <c r="D255">
        <v>2011</v>
      </c>
      <c r="E255" t="s">
        <v>10</v>
      </c>
      <c r="F255">
        <v>22</v>
      </c>
      <c r="G255" t="b">
        <v>0</v>
      </c>
      <c r="H255" t="s">
        <v>14</v>
      </c>
      <c r="I255">
        <v>3</v>
      </c>
      <c r="J255">
        <v>0.16</v>
      </c>
      <c r="K255">
        <v>0.18179999999999999</v>
      </c>
      <c r="L255">
        <v>0.93</v>
      </c>
      <c r="M255">
        <v>0.1045</v>
      </c>
      <c r="N255">
        <v>1</v>
      </c>
      <c r="O255">
        <v>28</v>
      </c>
      <c r="P255">
        <v>29</v>
      </c>
      <c r="S255" t="str">
        <f>IF(Dataset_A[[#This Row],[Hr]]&gt;=19,"Evening Time",IF(Dataset_A[[#This Row],[Hr]]&gt;=9,"Day Time",IF(Dataset_A[[#This Row],[Hr]]&gt;=0,"Night Time","")))</f>
        <v>Evening Time</v>
      </c>
    </row>
    <row r="256" spans="1:19" x14ac:dyDescent="0.2">
      <c r="A256">
        <v>255</v>
      </c>
      <c r="B256" s="3">
        <v>40554</v>
      </c>
      <c r="C256">
        <v>1</v>
      </c>
      <c r="D256">
        <v>2011</v>
      </c>
      <c r="E256" t="s">
        <v>10</v>
      </c>
      <c r="F256">
        <v>23</v>
      </c>
      <c r="G256" t="b">
        <v>0</v>
      </c>
      <c r="H256" t="s">
        <v>14</v>
      </c>
      <c r="I256">
        <v>3</v>
      </c>
      <c r="J256">
        <v>0.16</v>
      </c>
      <c r="K256">
        <v>0.19700000000000001</v>
      </c>
      <c r="L256">
        <v>0.93</v>
      </c>
      <c r="M256">
        <v>8.9599999999999999E-2</v>
      </c>
      <c r="N256">
        <v>1</v>
      </c>
      <c r="O256">
        <v>18</v>
      </c>
      <c r="P256">
        <v>19</v>
      </c>
      <c r="S256" t="str">
        <f>IF(Dataset_A[[#This Row],[Hr]]&gt;=19,"Evening Time",IF(Dataset_A[[#This Row],[Hr]]&gt;=9,"Day Time",IF(Dataset_A[[#This Row],[Hr]]&gt;=0,"Night Time","")))</f>
        <v>Evening Time</v>
      </c>
    </row>
    <row r="257" spans="1:19" x14ac:dyDescent="0.2">
      <c r="A257">
        <v>256</v>
      </c>
      <c r="B257" s="3">
        <v>40555</v>
      </c>
      <c r="C257">
        <v>1</v>
      </c>
      <c r="D257">
        <v>2011</v>
      </c>
      <c r="E257" t="s">
        <v>10</v>
      </c>
      <c r="F257">
        <v>0</v>
      </c>
      <c r="G257" t="b">
        <v>0</v>
      </c>
      <c r="H257" t="s">
        <v>15</v>
      </c>
      <c r="I257">
        <v>2</v>
      </c>
      <c r="J257">
        <v>0.16</v>
      </c>
      <c r="K257">
        <v>0.19700000000000001</v>
      </c>
      <c r="L257">
        <v>0.86</v>
      </c>
      <c r="M257">
        <v>8.9599999999999999E-2</v>
      </c>
      <c r="N257">
        <v>0</v>
      </c>
      <c r="O257">
        <v>7</v>
      </c>
      <c r="P257">
        <v>7</v>
      </c>
      <c r="S257" t="str">
        <f>IF(Dataset_A[[#This Row],[Hr]]&gt;=19,"Evening Time",IF(Dataset_A[[#This Row],[Hr]]&gt;=9,"Day Time",IF(Dataset_A[[#This Row],[Hr]]&gt;=0,"Night Time","")))</f>
        <v>Night Time</v>
      </c>
    </row>
    <row r="258" spans="1:19" x14ac:dyDescent="0.2">
      <c r="A258">
        <v>257</v>
      </c>
      <c r="B258" s="3">
        <v>40555</v>
      </c>
      <c r="C258">
        <v>1</v>
      </c>
      <c r="D258">
        <v>2011</v>
      </c>
      <c r="E258" t="s">
        <v>10</v>
      </c>
      <c r="F258">
        <v>1</v>
      </c>
      <c r="G258" t="b">
        <v>0</v>
      </c>
      <c r="H258" t="s">
        <v>15</v>
      </c>
      <c r="I258">
        <v>2</v>
      </c>
      <c r="J258">
        <v>0.16</v>
      </c>
      <c r="K258">
        <v>0.18179999999999999</v>
      </c>
      <c r="L258">
        <v>0.86</v>
      </c>
      <c r="M258">
        <v>0.1045</v>
      </c>
      <c r="N258">
        <v>0</v>
      </c>
      <c r="O258">
        <v>6</v>
      </c>
      <c r="P258">
        <v>6</v>
      </c>
      <c r="S258" t="str">
        <f>IF(Dataset_A[[#This Row],[Hr]]&gt;=19,"Evening Time",IF(Dataset_A[[#This Row],[Hr]]&gt;=9,"Day Time",IF(Dataset_A[[#This Row],[Hr]]&gt;=0,"Night Time","")))</f>
        <v>Night Time</v>
      </c>
    </row>
    <row r="259" spans="1:19" x14ac:dyDescent="0.2">
      <c r="A259">
        <v>258</v>
      </c>
      <c r="B259" s="3">
        <v>40555</v>
      </c>
      <c r="C259">
        <v>1</v>
      </c>
      <c r="D259">
        <v>2011</v>
      </c>
      <c r="E259" t="s">
        <v>10</v>
      </c>
      <c r="F259">
        <v>2</v>
      </c>
      <c r="G259" t="b">
        <v>0</v>
      </c>
      <c r="H259" t="s">
        <v>15</v>
      </c>
      <c r="I259">
        <v>1</v>
      </c>
      <c r="J259">
        <v>0.14000000000000001</v>
      </c>
      <c r="K259">
        <v>0.1515</v>
      </c>
      <c r="L259">
        <v>0.86</v>
      </c>
      <c r="M259">
        <v>0.1343</v>
      </c>
      <c r="N259">
        <v>0</v>
      </c>
      <c r="O259">
        <v>1</v>
      </c>
      <c r="P259">
        <v>1</v>
      </c>
      <c r="S259" t="str">
        <f>IF(Dataset_A[[#This Row],[Hr]]&gt;=19,"Evening Time",IF(Dataset_A[[#This Row],[Hr]]&gt;=9,"Day Time",IF(Dataset_A[[#This Row],[Hr]]&gt;=0,"Night Time","")))</f>
        <v>Night Time</v>
      </c>
    </row>
    <row r="260" spans="1:19" x14ac:dyDescent="0.2">
      <c r="A260">
        <v>259</v>
      </c>
      <c r="B260" s="3">
        <v>40555</v>
      </c>
      <c r="C260">
        <v>1</v>
      </c>
      <c r="D260">
        <v>2011</v>
      </c>
      <c r="E260" t="s">
        <v>10</v>
      </c>
      <c r="F260">
        <v>5</v>
      </c>
      <c r="G260" t="b">
        <v>0</v>
      </c>
      <c r="H260" t="s">
        <v>15</v>
      </c>
      <c r="I260">
        <v>1</v>
      </c>
      <c r="J260">
        <v>0.14000000000000001</v>
      </c>
      <c r="K260">
        <v>0.1515</v>
      </c>
      <c r="L260">
        <v>0.86</v>
      </c>
      <c r="M260">
        <v>0.16420000000000001</v>
      </c>
      <c r="N260">
        <v>0</v>
      </c>
      <c r="O260">
        <v>5</v>
      </c>
      <c r="P260">
        <v>5</v>
      </c>
      <c r="S260" t="str">
        <f>IF(Dataset_A[[#This Row],[Hr]]&gt;=19,"Evening Time",IF(Dataset_A[[#This Row],[Hr]]&gt;=9,"Day Time",IF(Dataset_A[[#This Row],[Hr]]&gt;=0,"Night Time","")))</f>
        <v>Night Time</v>
      </c>
    </row>
    <row r="261" spans="1:19" x14ac:dyDescent="0.2">
      <c r="A261">
        <v>260</v>
      </c>
      <c r="B261" s="3">
        <v>40555</v>
      </c>
      <c r="C261">
        <v>1</v>
      </c>
      <c r="D261">
        <v>2011</v>
      </c>
      <c r="E261" t="s">
        <v>10</v>
      </c>
      <c r="F261">
        <v>6</v>
      </c>
      <c r="G261" t="b">
        <v>0</v>
      </c>
      <c r="H261" t="s">
        <v>15</v>
      </c>
      <c r="I261">
        <v>1</v>
      </c>
      <c r="J261">
        <v>0.12</v>
      </c>
      <c r="K261">
        <v>0.1515</v>
      </c>
      <c r="L261">
        <v>0.93</v>
      </c>
      <c r="M261">
        <v>0.1343</v>
      </c>
      <c r="N261">
        <v>0</v>
      </c>
      <c r="O261">
        <v>16</v>
      </c>
      <c r="P261">
        <v>16</v>
      </c>
      <c r="S261" t="str">
        <f>IF(Dataset_A[[#This Row],[Hr]]&gt;=19,"Evening Time",IF(Dataset_A[[#This Row],[Hr]]&gt;=9,"Day Time",IF(Dataset_A[[#This Row],[Hr]]&gt;=0,"Night Time","")))</f>
        <v>Night Time</v>
      </c>
    </row>
    <row r="262" spans="1:19" x14ac:dyDescent="0.2">
      <c r="A262">
        <v>261</v>
      </c>
      <c r="B262" s="3">
        <v>40555</v>
      </c>
      <c r="C262">
        <v>1</v>
      </c>
      <c r="D262">
        <v>2011</v>
      </c>
      <c r="E262" t="s">
        <v>10</v>
      </c>
      <c r="F262">
        <v>7</v>
      </c>
      <c r="G262" t="b">
        <v>0</v>
      </c>
      <c r="H262" t="s">
        <v>15</v>
      </c>
      <c r="I262">
        <v>1</v>
      </c>
      <c r="J262">
        <v>0.14000000000000001</v>
      </c>
      <c r="K262">
        <v>0.1515</v>
      </c>
      <c r="L262">
        <v>0.69</v>
      </c>
      <c r="M262">
        <v>0.1343</v>
      </c>
      <c r="N262">
        <v>0</v>
      </c>
      <c r="O262">
        <v>54</v>
      </c>
      <c r="P262">
        <v>54</v>
      </c>
      <c r="S262" t="str">
        <f>IF(Dataset_A[[#This Row],[Hr]]&gt;=19,"Evening Time",IF(Dataset_A[[#This Row],[Hr]]&gt;=9,"Day Time",IF(Dataset_A[[#This Row],[Hr]]&gt;=0,"Night Time","")))</f>
        <v>Night Time</v>
      </c>
    </row>
    <row r="263" spans="1:19" x14ac:dyDescent="0.2">
      <c r="A263">
        <v>262</v>
      </c>
      <c r="B263" s="3">
        <v>40555</v>
      </c>
      <c r="C263">
        <v>1</v>
      </c>
      <c r="D263">
        <v>2011</v>
      </c>
      <c r="E263" t="s">
        <v>10</v>
      </c>
      <c r="F263">
        <v>8</v>
      </c>
      <c r="G263" t="b">
        <v>0</v>
      </c>
      <c r="H263" t="s">
        <v>15</v>
      </c>
      <c r="I263">
        <v>1</v>
      </c>
      <c r="J263">
        <v>0.16</v>
      </c>
      <c r="K263">
        <v>0.16669999999999999</v>
      </c>
      <c r="L263">
        <v>0.59</v>
      </c>
      <c r="M263">
        <v>0.16420000000000001</v>
      </c>
      <c r="N263">
        <v>3</v>
      </c>
      <c r="O263">
        <v>125</v>
      </c>
      <c r="P263">
        <v>128</v>
      </c>
      <c r="S263" t="str">
        <f>IF(Dataset_A[[#This Row],[Hr]]&gt;=19,"Evening Time",IF(Dataset_A[[#This Row],[Hr]]&gt;=9,"Day Time",IF(Dataset_A[[#This Row],[Hr]]&gt;=0,"Night Time","")))</f>
        <v>Night Time</v>
      </c>
    </row>
    <row r="264" spans="1:19" x14ac:dyDescent="0.2">
      <c r="A264">
        <v>263</v>
      </c>
      <c r="B264" s="3">
        <v>40555</v>
      </c>
      <c r="C264">
        <v>1</v>
      </c>
      <c r="D264">
        <v>2011</v>
      </c>
      <c r="E264" t="s">
        <v>10</v>
      </c>
      <c r="F264">
        <v>9</v>
      </c>
      <c r="G264" t="b">
        <v>0</v>
      </c>
      <c r="H264" t="s">
        <v>15</v>
      </c>
      <c r="I264">
        <v>1</v>
      </c>
      <c r="J264">
        <v>0.16</v>
      </c>
      <c r="K264">
        <v>0.13639999999999999</v>
      </c>
      <c r="L264">
        <v>0.59</v>
      </c>
      <c r="M264">
        <v>0.32840000000000003</v>
      </c>
      <c r="N264">
        <v>3</v>
      </c>
      <c r="O264">
        <v>78</v>
      </c>
      <c r="P264">
        <v>81</v>
      </c>
      <c r="S264" t="str">
        <f>IF(Dataset_A[[#This Row],[Hr]]&gt;=19,"Evening Time",IF(Dataset_A[[#This Row],[Hr]]&gt;=9,"Day Time",IF(Dataset_A[[#This Row],[Hr]]&gt;=0,"Night Time","")))</f>
        <v>Day Time</v>
      </c>
    </row>
    <row r="265" spans="1:19" x14ac:dyDescent="0.2">
      <c r="A265">
        <v>264</v>
      </c>
      <c r="B265" s="3">
        <v>40555</v>
      </c>
      <c r="C265">
        <v>1</v>
      </c>
      <c r="D265">
        <v>2011</v>
      </c>
      <c r="E265" t="s">
        <v>10</v>
      </c>
      <c r="F265">
        <v>10</v>
      </c>
      <c r="G265" t="b">
        <v>0</v>
      </c>
      <c r="H265" t="s">
        <v>15</v>
      </c>
      <c r="I265">
        <v>1</v>
      </c>
      <c r="J265">
        <v>0.18</v>
      </c>
      <c r="K265">
        <v>0.18179999999999999</v>
      </c>
      <c r="L265">
        <v>0.55000000000000004</v>
      </c>
      <c r="M265">
        <v>0.22389999999999999</v>
      </c>
      <c r="N265">
        <v>0</v>
      </c>
      <c r="O265">
        <v>39</v>
      </c>
      <c r="P265">
        <v>39</v>
      </c>
      <c r="S265" t="str">
        <f>IF(Dataset_A[[#This Row],[Hr]]&gt;=19,"Evening Time",IF(Dataset_A[[#This Row],[Hr]]&gt;=9,"Day Time",IF(Dataset_A[[#This Row],[Hr]]&gt;=0,"Night Time","")))</f>
        <v>Day Time</v>
      </c>
    </row>
    <row r="266" spans="1:19" x14ac:dyDescent="0.2">
      <c r="A266">
        <v>265</v>
      </c>
      <c r="B266" s="3">
        <v>40555</v>
      </c>
      <c r="C266">
        <v>1</v>
      </c>
      <c r="D266">
        <v>2011</v>
      </c>
      <c r="E266" t="s">
        <v>10</v>
      </c>
      <c r="F266">
        <v>11</v>
      </c>
      <c r="G266" t="b">
        <v>0</v>
      </c>
      <c r="H266" t="s">
        <v>15</v>
      </c>
      <c r="I266">
        <v>1</v>
      </c>
      <c r="J266">
        <v>0.2</v>
      </c>
      <c r="K266">
        <v>0.18179999999999999</v>
      </c>
      <c r="L266">
        <v>0.51</v>
      </c>
      <c r="M266">
        <v>0.3881</v>
      </c>
      <c r="N266">
        <v>3</v>
      </c>
      <c r="O266">
        <v>32</v>
      </c>
      <c r="P266">
        <v>35</v>
      </c>
      <c r="S266" t="str">
        <f>IF(Dataset_A[[#This Row],[Hr]]&gt;=19,"Evening Time",IF(Dataset_A[[#This Row],[Hr]]&gt;=9,"Day Time",IF(Dataset_A[[#This Row],[Hr]]&gt;=0,"Night Time","")))</f>
        <v>Day Time</v>
      </c>
    </row>
    <row r="267" spans="1:19" x14ac:dyDescent="0.2">
      <c r="A267">
        <v>266</v>
      </c>
      <c r="B267" s="3">
        <v>40555</v>
      </c>
      <c r="C267">
        <v>1</v>
      </c>
      <c r="D267">
        <v>2011</v>
      </c>
      <c r="E267" t="s">
        <v>10</v>
      </c>
      <c r="F267">
        <v>12</v>
      </c>
      <c r="G267" t="b">
        <v>0</v>
      </c>
      <c r="H267" t="s">
        <v>15</v>
      </c>
      <c r="I267">
        <v>1</v>
      </c>
      <c r="J267">
        <v>0.2</v>
      </c>
      <c r="K267">
        <v>0.1515</v>
      </c>
      <c r="L267">
        <v>0.47</v>
      </c>
      <c r="M267">
        <v>0.58209999999999995</v>
      </c>
      <c r="N267">
        <v>3</v>
      </c>
      <c r="O267">
        <v>52</v>
      </c>
      <c r="P267">
        <v>55</v>
      </c>
      <c r="S267" t="str">
        <f>IF(Dataset_A[[#This Row],[Hr]]&gt;=19,"Evening Time",IF(Dataset_A[[#This Row],[Hr]]&gt;=9,"Day Time",IF(Dataset_A[[#This Row],[Hr]]&gt;=0,"Night Time","")))</f>
        <v>Day Time</v>
      </c>
    </row>
    <row r="268" spans="1:19" x14ac:dyDescent="0.2">
      <c r="A268">
        <v>267</v>
      </c>
      <c r="B268" s="3">
        <v>40555</v>
      </c>
      <c r="C268">
        <v>1</v>
      </c>
      <c r="D268">
        <v>2011</v>
      </c>
      <c r="E268" t="s">
        <v>10</v>
      </c>
      <c r="F268">
        <v>13</v>
      </c>
      <c r="G268" t="b">
        <v>0</v>
      </c>
      <c r="H268" t="s">
        <v>15</v>
      </c>
      <c r="I268">
        <v>1</v>
      </c>
      <c r="J268">
        <v>0.22</v>
      </c>
      <c r="K268">
        <v>0.19700000000000001</v>
      </c>
      <c r="L268">
        <v>0.44</v>
      </c>
      <c r="M268">
        <v>0.35820000000000002</v>
      </c>
      <c r="N268">
        <v>0</v>
      </c>
      <c r="O268">
        <v>49</v>
      </c>
      <c r="P268">
        <v>49</v>
      </c>
      <c r="S268" t="str">
        <f>IF(Dataset_A[[#This Row],[Hr]]&gt;=19,"Evening Time",IF(Dataset_A[[#This Row],[Hr]]&gt;=9,"Day Time",IF(Dataset_A[[#This Row],[Hr]]&gt;=0,"Night Time","")))</f>
        <v>Day Time</v>
      </c>
    </row>
    <row r="269" spans="1:19" x14ac:dyDescent="0.2">
      <c r="A269">
        <v>268</v>
      </c>
      <c r="B269" s="3">
        <v>40555</v>
      </c>
      <c r="C269">
        <v>1</v>
      </c>
      <c r="D269">
        <v>2011</v>
      </c>
      <c r="E269" t="s">
        <v>10</v>
      </c>
      <c r="F269">
        <v>14</v>
      </c>
      <c r="G269" t="b">
        <v>0</v>
      </c>
      <c r="H269" t="s">
        <v>15</v>
      </c>
      <c r="I269">
        <v>1</v>
      </c>
      <c r="J269">
        <v>0.2</v>
      </c>
      <c r="K269">
        <v>0.18179999999999999</v>
      </c>
      <c r="L269">
        <v>0.47</v>
      </c>
      <c r="M269">
        <v>0.32840000000000003</v>
      </c>
      <c r="N269">
        <v>0</v>
      </c>
      <c r="O269">
        <v>44</v>
      </c>
      <c r="P269">
        <v>44</v>
      </c>
      <c r="S269" t="str">
        <f>IF(Dataset_A[[#This Row],[Hr]]&gt;=19,"Evening Time",IF(Dataset_A[[#This Row],[Hr]]&gt;=9,"Day Time",IF(Dataset_A[[#This Row],[Hr]]&gt;=0,"Night Time","")))</f>
        <v>Day Time</v>
      </c>
    </row>
    <row r="270" spans="1:19" x14ac:dyDescent="0.2">
      <c r="A270">
        <v>269</v>
      </c>
      <c r="B270" s="3">
        <v>40555</v>
      </c>
      <c r="C270">
        <v>1</v>
      </c>
      <c r="D270">
        <v>2011</v>
      </c>
      <c r="E270" t="s">
        <v>10</v>
      </c>
      <c r="F270">
        <v>15</v>
      </c>
      <c r="G270" t="b">
        <v>0</v>
      </c>
      <c r="H270" t="s">
        <v>15</v>
      </c>
      <c r="I270">
        <v>1</v>
      </c>
      <c r="J270">
        <v>0.2</v>
      </c>
      <c r="K270">
        <v>0.16669999999999999</v>
      </c>
      <c r="L270">
        <v>0.47</v>
      </c>
      <c r="M270">
        <v>0.41789999999999999</v>
      </c>
      <c r="N270">
        <v>1</v>
      </c>
      <c r="O270">
        <v>48</v>
      </c>
      <c r="P270">
        <v>49</v>
      </c>
      <c r="S270" t="str">
        <f>IF(Dataset_A[[#This Row],[Hr]]&gt;=19,"Evening Time",IF(Dataset_A[[#This Row],[Hr]]&gt;=9,"Day Time",IF(Dataset_A[[#This Row],[Hr]]&gt;=0,"Night Time","")))</f>
        <v>Day Time</v>
      </c>
    </row>
    <row r="271" spans="1:19" x14ac:dyDescent="0.2">
      <c r="A271">
        <v>270</v>
      </c>
      <c r="B271" s="3">
        <v>40555</v>
      </c>
      <c r="C271">
        <v>1</v>
      </c>
      <c r="D271">
        <v>2011</v>
      </c>
      <c r="E271" t="s">
        <v>10</v>
      </c>
      <c r="F271">
        <v>16</v>
      </c>
      <c r="G271" t="b">
        <v>0</v>
      </c>
      <c r="H271" t="s">
        <v>15</v>
      </c>
      <c r="I271">
        <v>1</v>
      </c>
      <c r="J271">
        <v>0.22</v>
      </c>
      <c r="K271">
        <v>0.19700000000000001</v>
      </c>
      <c r="L271">
        <v>0.44</v>
      </c>
      <c r="M271">
        <v>0.32840000000000003</v>
      </c>
      <c r="N271">
        <v>5</v>
      </c>
      <c r="O271">
        <v>63</v>
      </c>
      <c r="P271">
        <v>68</v>
      </c>
      <c r="S271" t="str">
        <f>IF(Dataset_A[[#This Row],[Hr]]&gt;=19,"Evening Time",IF(Dataset_A[[#This Row],[Hr]]&gt;=9,"Day Time",IF(Dataset_A[[#This Row],[Hr]]&gt;=0,"Night Time","")))</f>
        <v>Day Time</v>
      </c>
    </row>
    <row r="272" spans="1:19" x14ac:dyDescent="0.2">
      <c r="A272">
        <v>271</v>
      </c>
      <c r="B272" s="3">
        <v>40555</v>
      </c>
      <c r="C272">
        <v>1</v>
      </c>
      <c r="D272">
        <v>2011</v>
      </c>
      <c r="E272" t="s">
        <v>10</v>
      </c>
      <c r="F272">
        <v>17</v>
      </c>
      <c r="G272" t="b">
        <v>0</v>
      </c>
      <c r="H272" t="s">
        <v>15</v>
      </c>
      <c r="I272">
        <v>1</v>
      </c>
      <c r="J272">
        <v>0.2</v>
      </c>
      <c r="K272">
        <v>0.18179999999999999</v>
      </c>
      <c r="L272">
        <v>0.47</v>
      </c>
      <c r="M272">
        <v>0.35820000000000002</v>
      </c>
      <c r="N272">
        <v>0</v>
      </c>
      <c r="O272">
        <v>139</v>
      </c>
      <c r="P272">
        <v>139</v>
      </c>
      <c r="S272" t="str">
        <f>IF(Dataset_A[[#This Row],[Hr]]&gt;=19,"Evening Time",IF(Dataset_A[[#This Row],[Hr]]&gt;=9,"Day Time",IF(Dataset_A[[#This Row],[Hr]]&gt;=0,"Night Time","")))</f>
        <v>Day Time</v>
      </c>
    </row>
    <row r="273" spans="1:19" x14ac:dyDescent="0.2">
      <c r="A273">
        <v>272</v>
      </c>
      <c r="B273" s="3">
        <v>40555</v>
      </c>
      <c r="C273">
        <v>1</v>
      </c>
      <c r="D273">
        <v>2011</v>
      </c>
      <c r="E273" t="s">
        <v>10</v>
      </c>
      <c r="F273">
        <v>18</v>
      </c>
      <c r="G273" t="b">
        <v>0</v>
      </c>
      <c r="H273" t="s">
        <v>15</v>
      </c>
      <c r="I273">
        <v>1</v>
      </c>
      <c r="J273">
        <v>0.2</v>
      </c>
      <c r="K273">
        <v>0.1515</v>
      </c>
      <c r="L273">
        <v>0.47</v>
      </c>
      <c r="M273">
        <v>0.52239999999999998</v>
      </c>
      <c r="N273">
        <v>2</v>
      </c>
      <c r="O273">
        <v>135</v>
      </c>
      <c r="P273">
        <v>137</v>
      </c>
      <c r="S273" t="str">
        <f>IF(Dataset_A[[#This Row],[Hr]]&gt;=19,"Evening Time",IF(Dataset_A[[#This Row],[Hr]]&gt;=9,"Day Time",IF(Dataset_A[[#This Row],[Hr]]&gt;=0,"Night Time","")))</f>
        <v>Day Time</v>
      </c>
    </row>
    <row r="274" spans="1:19" x14ac:dyDescent="0.2">
      <c r="A274">
        <v>273</v>
      </c>
      <c r="B274" s="3">
        <v>40555</v>
      </c>
      <c r="C274">
        <v>1</v>
      </c>
      <c r="D274">
        <v>2011</v>
      </c>
      <c r="E274" t="s">
        <v>10</v>
      </c>
      <c r="F274">
        <v>19</v>
      </c>
      <c r="G274" t="b">
        <v>0</v>
      </c>
      <c r="H274" t="s">
        <v>15</v>
      </c>
      <c r="I274">
        <v>1</v>
      </c>
      <c r="J274">
        <v>0.18</v>
      </c>
      <c r="K274">
        <v>0.1515</v>
      </c>
      <c r="L274">
        <v>0.47</v>
      </c>
      <c r="M274">
        <v>0.41789999999999999</v>
      </c>
      <c r="N274">
        <v>1</v>
      </c>
      <c r="O274">
        <v>82</v>
      </c>
      <c r="P274">
        <v>83</v>
      </c>
      <c r="S274" t="str">
        <f>IF(Dataset_A[[#This Row],[Hr]]&gt;=19,"Evening Time",IF(Dataset_A[[#This Row],[Hr]]&gt;=9,"Day Time",IF(Dataset_A[[#This Row],[Hr]]&gt;=0,"Night Time","")))</f>
        <v>Evening Time</v>
      </c>
    </row>
    <row r="275" spans="1:19" x14ac:dyDescent="0.2">
      <c r="A275">
        <v>274</v>
      </c>
      <c r="B275" s="3">
        <v>40555</v>
      </c>
      <c r="C275">
        <v>1</v>
      </c>
      <c r="D275">
        <v>2011</v>
      </c>
      <c r="E275" t="s">
        <v>10</v>
      </c>
      <c r="F275">
        <v>20</v>
      </c>
      <c r="G275" t="b">
        <v>0</v>
      </c>
      <c r="H275" t="s">
        <v>15</v>
      </c>
      <c r="I275">
        <v>1</v>
      </c>
      <c r="J275">
        <v>0.16</v>
      </c>
      <c r="K275">
        <v>0.13639999999999999</v>
      </c>
      <c r="L275">
        <v>0.5</v>
      </c>
      <c r="M275">
        <v>0.32840000000000003</v>
      </c>
      <c r="N275">
        <v>2</v>
      </c>
      <c r="O275">
        <v>54</v>
      </c>
      <c r="P275">
        <v>56</v>
      </c>
      <c r="S275" t="str">
        <f>IF(Dataset_A[[#This Row],[Hr]]&gt;=19,"Evening Time",IF(Dataset_A[[#This Row],[Hr]]&gt;=9,"Day Time",IF(Dataset_A[[#This Row],[Hr]]&gt;=0,"Night Time","")))</f>
        <v>Evening Time</v>
      </c>
    </row>
    <row r="276" spans="1:19" x14ac:dyDescent="0.2">
      <c r="A276">
        <v>275</v>
      </c>
      <c r="B276" s="3">
        <v>40555</v>
      </c>
      <c r="C276">
        <v>1</v>
      </c>
      <c r="D276">
        <v>2011</v>
      </c>
      <c r="E276" t="s">
        <v>10</v>
      </c>
      <c r="F276">
        <v>21</v>
      </c>
      <c r="G276" t="b">
        <v>0</v>
      </c>
      <c r="H276" t="s">
        <v>15</v>
      </c>
      <c r="I276">
        <v>1</v>
      </c>
      <c r="J276">
        <v>0.16</v>
      </c>
      <c r="K276">
        <v>0.13639999999999999</v>
      </c>
      <c r="L276">
        <v>0.55000000000000004</v>
      </c>
      <c r="M276">
        <v>0.32840000000000003</v>
      </c>
      <c r="N276">
        <v>0</v>
      </c>
      <c r="O276">
        <v>57</v>
      </c>
      <c r="P276">
        <v>57</v>
      </c>
      <c r="S276" t="str">
        <f>IF(Dataset_A[[#This Row],[Hr]]&gt;=19,"Evening Time",IF(Dataset_A[[#This Row],[Hr]]&gt;=9,"Day Time",IF(Dataset_A[[#This Row],[Hr]]&gt;=0,"Night Time","")))</f>
        <v>Evening Time</v>
      </c>
    </row>
    <row r="277" spans="1:19" x14ac:dyDescent="0.2">
      <c r="A277">
        <v>276</v>
      </c>
      <c r="B277" s="3">
        <v>40555</v>
      </c>
      <c r="C277">
        <v>1</v>
      </c>
      <c r="D277">
        <v>2011</v>
      </c>
      <c r="E277" t="s">
        <v>10</v>
      </c>
      <c r="F277">
        <v>22</v>
      </c>
      <c r="G277" t="b">
        <v>0</v>
      </c>
      <c r="H277" t="s">
        <v>15</v>
      </c>
      <c r="I277">
        <v>1</v>
      </c>
      <c r="J277">
        <v>0.16</v>
      </c>
      <c r="K277">
        <v>0.1212</v>
      </c>
      <c r="L277">
        <v>0.55000000000000004</v>
      </c>
      <c r="M277">
        <v>0.44779999999999998</v>
      </c>
      <c r="N277">
        <v>1</v>
      </c>
      <c r="O277">
        <v>32</v>
      </c>
      <c r="P277">
        <v>33</v>
      </c>
      <c r="S277" t="str">
        <f>IF(Dataset_A[[#This Row],[Hr]]&gt;=19,"Evening Time",IF(Dataset_A[[#This Row],[Hr]]&gt;=9,"Day Time",IF(Dataset_A[[#This Row],[Hr]]&gt;=0,"Night Time","")))</f>
        <v>Evening Time</v>
      </c>
    </row>
    <row r="278" spans="1:19" x14ac:dyDescent="0.2">
      <c r="A278">
        <v>277</v>
      </c>
      <c r="B278" s="3">
        <v>40555</v>
      </c>
      <c r="C278">
        <v>1</v>
      </c>
      <c r="D278">
        <v>2011</v>
      </c>
      <c r="E278" t="s">
        <v>10</v>
      </c>
      <c r="F278">
        <v>23</v>
      </c>
      <c r="G278" t="b">
        <v>0</v>
      </c>
      <c r="H278" t="s">
        <v>15</v>
      </c>
      <c r="I278">
        <v>1</v>
      </c>
      <c r="J278">
        <v>0.14000000000000001</v>
      </c>
      <c r="K278">
        <v>0.1061</v>
      </c>
      <c r="L278">
        <v>0.59</v>
      </c>
      <c r="M278">
        <v>0.41789999999999999</v>
      </c>
      <c r="N278">
        <v>1</v>
      </c>
      <c r="O278">
        <v>19</v>
      </c>
      <c r="P278">
        <v>20</v>
      </c>
      <c r="S278" t="str">
        <f>IF(Dataset_A[[#This Row],[Hr]]&gt;=19,"Evening Time",IF(Dataset_A[[#This Row],[Hr]]&gt;=9,"Day Time",IF(Dataset_A[[#This Row],[Hr]]&gt;=0,"Night Time","")))</f>
        <v>Evening Time</v>
      </c>
    </row>
    <row r="279" spans="1:19" x14ac:dyDescent="0.2">
      <c r="A279">
        <v>278</v>
      </c>
      <c r="B279" s="3">
        <v>40556</v>
      </c>
      <c r="C279">
        <v>1</v>
      </c>
      <c r="D279">
        <v>2011</v>
      </c>
      <c r="E279" t="s">
        <v>10</v>
      </c>
      <c r="F279">
        <v>0</v>
      </c>
      <c r="G279" t="b">
        <v>0</v>
      </c>
      <c r="H279" t="s">
        <v>16</v>
      </c>
      <c r="I279">
        <v>1</v>
      </c>
      <c r="J279">
        <v>0.14000000000000001</v>
      </c>
      <c r="K279">
        <v>0.1212</v>
      </c>
      <c r="L279">
        <v>0.59</v>
      </c>
      <c r="M279">
        <v>0.28360000000000002</v>
      </c>
      <c r="N279">
        <v>1</v>
      </c>
      <c r="O279">
        <v>6</v>
      </c>
      <c r="P279">
        <v>7</v>
      </c>
      <c r="S279" t="str">
        <f>IF(Dataset_A[[#This Row],[Hr]]&gt;=19,"Evening Time",IF(Dataset_A[[#This Row],[Hr]]&gt;=9,"Day Time",IF(Dataset_A[[#This Row],[Hr]]&gt;=0,"Night Time","")))</f>
        <v>Night Time</v>
      </c>
    </row>
    <row r="280" spans="1:19" x14ac:dyDescent="0.2">
      <c r="A280">
        <v>279</v>
      </c>
      <c r="B280" s="3">
        <v>40556</v>
      </c>
      <c r="C280">
        <v>1</v>
      </c>
      <c r="D280">
        <v>2011</v>
      </c>
      <c r="E280" t="s">
        <v>10</v>
      </c>
      <c r="F280">
        <v>1</v>
      </c>
      <c r="G280" t="b">
        <v>0</v>
      </c>
      <c r="H280" t="s">
        <v>16</v>
      </c>
      <c r="I280">
        <v>1</v>
      </c>
      <c r="J280">
        <v>0.14000000000000001</v>
      </c>
      <c r="K280">
        <v>0.1212</v>
      </c>
      <c r="L280">
        <v>0.5</v>
      </c>
      <c r="M280">
        <v>0.28360000000000002</v>
      </c>
      <c r="N280">
        <v>0</v>
      </c>
      <c r="O280">
        <v>2</v>
      </c>
      <c r="P280">
        <v>2</v>
      </c>
      <c r="S280" t="str">
        <f>IF(Dataset_A[[#This Row],[Hr]]&gt;=19,"Evening Time",IF(Dataset_A[[#This Row],[Hr]]&gt;=9,"Day Time",IF(Dataset_A[[#This Row],[Hr]]&gt;=0,"Night Time","")))</f>
        <v>Night Time</v>
      </c>
    </row>
    <row r="281" spans="1:19" x14ac:dyDescent="0.2">
      <c r="A281">
        <v>280</v>
      </c>
      <c r="B281" s="3">
        <v>40556</v>
      </c>
      <c r="C281">
        <v>1</v>
      </c>
      <c r="D281">
        <v>2011</v>
      </c>
      <c r="E281" t="s">
        <v>10</v>
      </c>
      <c r="F281">
        <v>2</v>
      </c>
      <c r="G281" t="b">
        <v>0</v>
      </c>
      <c r="H281" t="s">
        <v>16</v>
      </c>
      <c r="I281">
        <v>1</v>
      </c>
      <c r="J281">
        <v>0.14000000000000001</v>
      </c>
      <c r="K281">
        <v>0.1212</v>
      </c>
      <c r="L281">
        <v>0.5</v>
      </c>
      <c r="M281">
        <v>0.35820000000000002</v>
      </c>
      <c r="N281">
        <v>0</v>
      </c>
      <c r="O281">
        <v>2</v>
      </c>
      <c r="P281">
        <v>2</v>
      </c>
      <c r="S281" t="str">
        <f>IF(Dataset_A[[#This Row],[Hr]]&gt;=19,"Evening Time",IF(Dataset_A[[#This Row],[Hr]]&gt;=9,"Day Time",IF(Dataset_A[[#This Row],[Hr]]&gt;=0,"Night Time","")))</f>
        <v>Night Time</v>
      </c>
    </row>
    <row r="282" spans="1:19" x14ac:dyDescent="0.2">
      <c r="A282">
        <v>281</v>
      </c>
      <c r="B282" s="3">
        <v>40556</v>
      </c>
      <c r="C282">
        <v>1</v>
      </c>
      <c r="D282">
        <v>2011</v>
      </c>
      <c r="E282" t="s">
        <v>10</v>
      </c>
      <c r="F282">
        <v>3</v>
      </c>
      <c r="G282" t="b">
        <v>0</v>
      </c>
      <c r="H282" t="s">
        <v>16</v>
      </c>
      <c r="I282">
        <v>1</v>
      </c>
      <c r="J282">
        <v>0.14000000000000001</v>
      </c>
      <c r="K282">
        <v>0.1212</v>
      </c>
      <c r="L282">
        <v>0.5</v>
      </c>
      <c r="M282">
        <v>0.32840000000000003</v>
      </c>
      <c r="N282">
        <v>0</v>
      </c>
      <c r="O282">
        <v>3</v>
      </c>
      <c r="P282">
        <v>3</v>
      </c>
      <c r="S282" t="str">
        <f>IF(Dataset_A[[#This Row],[Hr]]&gt;=19,"Evening Time",IF(Dataset_A[[#This Row],[Hr]]&gt;=9,"Day Time",IF(Dataset_A[[#This Row],[Hr]]&gt;=0,"Night Time","")))</f>
        <v>Night Time</v>
      </c>
    </row>
    <row r="283" spans="1:19" x14ac:dyDescent="0.2">
      <c r="A283">
        <v>282</v>
      </c>
      <c r="B283" s="3">
        <v>40556</v>
      </c>
      <c r="C283">
        <v>1</v>
      </c>
      <c r="D283">
        <v>2011</v>
      </c>
      <c r="E283" t="s">
        <v>10</v>
      </c>
      <c r="F283">
        <v>4</v>
      </c>
      <c r="G283" t="b">
        <v>0</v>
      </c>
      <c r="H283" t="s">
        <v>16</v>
      </c>
      <c r="I283">
        <v>1</v>
      </c>
      <c r="J283">
        <v>0.14000000000000001</v>
      </c>
      <c r="K283">
        <v>0.1212</v>
      </c>
      <c r="L283">
        <v>0.5</v>
      </c>
      <c r="M283">
        <v>0.25369999999999998</v>
      </c>
      <c r="N283">
        <v>0</v>
      </c>
      <c r="O283">
        <v>4</v>
      </c>
      <c r="P283">
        <v>4</v>
      </c>
      <c r="S283" t="str">
        <f>IF(Dataset_A[[#This Row],[Hr]]&gt;=19,"Evening Time",IF(Dataset_A[[#This Row],[Hr]]&gt;=9,"Day Time",IF(Dataset_A[[#This Row],[Hr]]&gt;=0,"Night Time","")))</f>
        <v>Night Time</v>
      </c>
    </row>
    <row r="284" spans="1:19" x14ac:dyDescent="0.2">
      <c r="A284">
        <v>283</v>
      </c>
      <c r="B284" s="3">
        <v>40556</v>
      </c>
      <c r="C284">
        <v>1</v>
      </c>
      <c r="D284">
        <v>2011</v>
      </c>
      <c r="E284" t="s">
        <v>10</v>
      </c>
      <c r="F284">
        <v>5</v>
      </c>
      <c r="G284" t="b">
        <v>0</v>
      </c>
      <c r="H284" t="s">
        <v>16</v>
      </c>
      <c r="I284">
        <v>1</v>
      </c>
      <c r="J284">
        <v>0.14000000000000001</v>
      </c>
      <c r="K284">
        <v>0.1212</v>
      </c>
      <c r="L284">
        <v>0.5</v>
      </c>
      <c r="M284">
        <v>0.29849999999999999</v>
      </c>
      <c r="N284">
        <v>0</v>
      </c>
      <c r="O284">
        <v>3</v>
      </c>
      <c r="P284">
        <v>3</v>
      </c>
      <c r="S284" t="str">
        <f>IF(Dataset_A[[#This Row],[Hr]]&gt;=19,"Evening Time",IF(Dataset_A[[#This Row],[Hr]]&gt;=9,"Day Time",IF(Dataset_A[[#This Row],[Hr]]&gt;=0,"Night Time","")))</f>
        <v>Night Time</v>
      </c>
    </row>
    <row r="285" spans="1:19" x14ac:dyDescent="0.2">
      <c r="A285">
        <v>284</v>
      </c>
      <c r="B285" s="3">
        <v>40556</v>
      </c>
      <c r="C285">
        <v>1</v>
      </c>
      <c r="D285">
        <v>2011</v>
      </c>
      <c r="E285" t="s">
        <v>10</v>
      </c>
      <c r="F285">
        <v>6</v>
      </c>
      <c r="G285" t="b">
        <v>0</v>
      </c>
      <c r="H285" t="s">
        <v>16</v>
      </c>
      <c r="I285">
        <v>1</v>
      </c>
      <c r="J285">
        <v>0.12</v>
      </c>
      <c r="K285">
        <v>0.1515</v>
      </c>
      <c r="L285">
        <v>0.54</v>
      </c>
      <c r="M285">
        <v>0.1343</v>
      </c>
      <c r="N285">
        <v>0</v>
      </c>
      <c r="O285">
        <v>28</v>
      </c>
      <c r="P285">
        <v>28</v>
      </c>
      <c r="S285" t="str">
        <f>IF(Dataset_A[[#This Row],[Hr]]&gt;=19,"Evening Time",IF(Dataset_A[[#This Row],[Hr]]&gt;=9,"Day Time",IF(Dataset_A[[#This Row],[Hr]]&gt;=0,"Night Time","")))</f>
        <v>Night Time</v>
      </c>
    </row>
    <row r="286" spans="1:19" x14ac:dyDescent="0.2">
      <c r="A286">
        <v>285</v>
      </c>
      <c r="B286" s="3">
        <v>40556</v>
      </c>
      <c r="C286">
        <v>1</v>
      </c>
      <c r="D286">
        <v>2011</v>
      </c>
      <c r="E286" t="s">
        <v>10</v>
      </c>
      <c r="F286">
        <v>7</v>
      </c>
      <c r="G286" t="b">
        <v>0</v>
      </c>
      <c r="H286" t="s">
        <v>16</v>
      </c>
      <c r="I286">
        <v>1</v>
      </c>
      <c r="J286">
        <v>0.12</v>
      </c>
      <c r="K286">
        <v>0.1515</v>
      </c>
      <c r="L286">
        <v>0.54</v>
      </c>
      <c r="M286">
        <v>0.1343</v>
      </c>
      <c r="N286">
        <v>0</v>
      </c>
      <c r="O286">
        <v>72</v>
      </c>
      <c r="P286">
        <v>72</v>
      </c>
      <c r="S286" t="str">
        <f>IF(Dataset_A[[#This Row],[Hr]]&gt;=19,"Evening Time",IF(Dataset_A[[#This Row],[Hr]]&gt;=9,"Day Time",IF(Dataset_A[[#This Row],[Hr]]&gt;=0,"Night Time","")))</f>
        <v>Night Time</v>
      </c>
    </row>
    <row r="287" spans="1:19" x14ac:dyDescent="0.2">
      <c r="A287">
        <v>286</v>
      </c>
      <c r="B287" s="3">
        <v>40556</v>
      </c>
      <c r="C287">
        <v>1</v>
      </c>
      <c r="D287">
        <v>2011</v>
      </c>
      <c r="E287" t="s">
        <v>10</v>
      </c>
      <c r="F287">
        <v>8</v>
      </c>
      <c r="G287" t="b">
        <v>0</v>
      </c>
      <c r="H287" t="s">
        <v>16</v>
      </c>
      <c r="I287">
        <v>1</v>
      </c>
      <c r="J287">
        <v>0.14000000000000001</v>
      </c>
      <c r="K287">
        <v>0.13639999999999999</v>
      </c>
      <c r="L287">
        <v>0.5</v>
      </c>
      <c r="M287">
        <v>0.19400000000000001</v>
      </c>
      <c r="N287">
        <v>5</v>
      </c>
      <c r="O287">
        <v>197</v>
      </c>
      <c r="P287">
        <v>202</v>
      </c>
      <c r="S287" t="str">
        <f>IF(Dataset_A[[#This Row],[Hr]]&gt;=19,"Evening Time",IF(Dataset_A[[#This Row],[Hr]]&gt;=9,"Day Time",IF(Dataset_A[[#This Row],[Hr]]&gt;=0,"Night Time","")))</f>
        <v>Night Time</v>
      </c>
    </row>
    <row r="288" spans="1:19" x14ac:dyDescent="0.2">
      <c r="A288">
        <v>287</v>
      </c>
      <c r="B288" s="3">
        <v>40556</v>
      </c>
      <c r="C288">
        <v>1</v>
      </c>
      <c r="D288">
        <v>2011</v>
      </c>
      <c r="E288" t="s">
        <v>10</v>
      </c>
      <c r="F288">
        <v>9</v>
      </c>
      <c r="G288" t="b">
        <v>0</v>
      </c>
      <c r="H288" t="s">
        <v>16</v>
      </c>
      <c r="I288">
        <v>1</v>
      </c>
      <c r="J288">
        <v>0.14000000000000001</v>
      </c>
      <c r="K288">
        <v>0.1212</v>
      </c>
      <c r="L288">
        <v>0.5</v>
      </c>
      <c r="M288">
        <v>0.32840000000000003</v>
      </c>
      <c r="N288">
        <v>2</v>
      </c>
      <c r="O288">
        <v>137</v>
      </c>
      <c r="P288">
        <v>139</v>
      </c>
      <c r="S288" t="str">
        <f>IF(Dataset_A[[#This Row],[Hr]]&gt;=19,"Evening Time",IF(Dataset_A[[#This Row],[Hr]]&gt;=9,"Day Time",IF(Dataset_A[[#This Row],[Hr]]&gt;=0,"Night Time","")))</f>
        <v>Day Time</v>
      </c>
    </row>
    <row r="289" spans="1:19" x14ac:dyDescent="0.2">
      <c r="A289">
        <v>288</v>
      </c>
      <c r="B289" s="3">
        <v>40556</v>
      </c>
      <c r="C289">
        <v>1</v>
      </c>
      <c r="D289">
        <v>2011</v>
      </c>
      <c r="E289" t="s">
        <v>10</v>
      </c>
      <c r="F289">
        <v>10</v>
      </c>
      <c r="G289" t="b">
        <v>0</v>
      </c>
      <c r="H289" t="s">
        <v>16</v>
      </c>
      <c r="I289">
        <v>2</v>
      </c>
      <c r="J289">
        <v>0.16</v>
      </c>
      <c r="K289">
        <v>0.13639999999999999</v>
      </c>
      <c r="L289">
        <v>0.5</v>
      </c>
      <c r="M289">
        <v>0.35820000000000002</v>
      </c>
      <c r="N289">
        <v>2</v>
      </c>
      <c r="O289">
        <v>36</v>
      </c>
      <c r="P289">
        <v>38</v>
      </c>
      <c r="S289" t="str">
        <f>IF(Dataset_A[[#This Row],[Hr]]&gt;=19,"Evening Time",IF(Dataset_A[[#This Row],[Hr]]&gt;=9,"Day Time",IF(Dataset_A[[#This Row],[Hr]]&gt;=0,"Night Time","")))</f>
        <v>Day Time</v>
      </c>
    </row>
    <row r="290" spans="1:19" x14ac:dyDescent="0.2">
      <c r="A290">
        <v>289</v>
      </c>
      <c r="B290" s="3">
        <v>40556</v>
      </c>
      <c r="C290">
        <v>1</v>
      </c>
      <c r="D290">
        <v>2011</v>
      </c>
      <c r="E290" t="s">
        <v>10</v>
      </c>
      <c r="F290">
        <v>11</v>
      </c>
      <c r="G290" t="b">
        <v>0</v>
      </c>
      <c r="H290" t="s">
        <v>16</v>
      </c>
      <c r="I290">
        <v>2</v>
      </c>
      <c r="J290">
        <v>0.2</v>
      </c>
      <c r="K290">
        <v>0.16669999999999999</v>
      </c>
      <c r="L290">
        <v>0.44</v>
      </c>
      <c r="M290">
        <v>0.44779999999999998</v>
      </c>
      <c r="N290">
        <v>4</v>
      </c>
      <c r="O290">
        <v>33</v>
      </c>
      <c r="P290">
        <v>37</v>
      </c>
      <c r="S290" t="str">
        <f>IF(Dataset_A[[#This Row],[Hr]]&gt;=19,"Evening Time",IF(Dataset_A[[#This Row],[Hr]]&gt;=9,"Day Time",IF(Dataset_A[[#This Row],[Hr]]&gt;=0,"Night Time","")))</f>
        <v>Day Time</v>
      </c>
    </row>
    <row r="291" spans="1:19" x14ac:dyDescent="0.2">
      <c r="A291">
        <v>290</v>
      </c>
      <c r="B291" s="3">
        <v>40556</v>
      </c>
      <c r="C291">
        <v>1</v>
      </c>
      <c r="D291">
        <v>2011</v>
      </c>
      <c r="E291" t="s">
        <v>10</v>
      </c>
      <c r="F291">
        <v>12</v>
      </c>
      <c r="G291" t="b">
        <v>0</v>
      </c>
      <c r="H291" t="s">
        <v>16</v>
      </c>
      <c r="I291">
        <v>1</v>
      </c>
      <c r="J291">
        <v>0.2</v>
      </c>
      <c r="K291">
        <v>0.16669999999999999</v>
      </c>
      <c r="L291">
        <v>0.44</v>
      </c>
      <c r="M291">
        <v>0.41789999999999999</v>
      </c>
      <c r="N291">
        <v>3</v>
      </c>
      <c r="O291">
        <v>49</v>
      </c>
      <c r="P291">
        <v>52</v>
      </c>
      <c r="S291" t="str">
        <f>IF(Dataset_A[[#This Row],[Hr]]&gt;=19,"Evening Time",IF(Dataset_A[[#This Row],[Hr]]&gt;=9,"Day Time",IF(Dataset_A[[#This Row],[Hr]]&gt;=0,"Night Time","")))</f>
        <v>Day Time</v>
      </c>
    </row>
    <row r="292" spans="1:19" x14ac:dyDescent="0.2">
      <c r="A292">
        <v>291</v>
      </c>
      <c r="B292" s="3">
        <v>40556</v>
      </c>
      <c r="C292">
        <v>1</v>
      </c>
      <c r="D292">
        <v>2011</v>
      </c>
      <c r="E292" t="s">
        <v>10</v>
      </c>
      <c r="F292">
        <v>13</v>
      </c>
      <c r="G292" t="b">
        <v>0</v>
      </c>
      <c r="H292" t="s">
        <v>16</v>
      </c>
      <c r="I292">
        <v>1</v>
      </c>
      <c r="J292">
        <v>0.22</v>
      </c>
      <c r="K292">
        <v>0.19700000000000001</v>
      </c>
      <c r="L292">
        <v>0.41</v>
      </c>
      <c r="M292">
        <v>0.44779999999999998</v>
      </c>
      <c r="N292">
        <v>2</v>
      </c>
      <c r="O292">
        <v>81</v>
      </c>
      <c r="P292">
        <v>83</v>
      </c>
      <c r="S292" t="str">
        <f>IF(Dataset_A[[#This Row],[Hr]]&gt;=19,"Evening Time",IF(Dataset_A[[#This Row],[Hr]]&gt;=9,"Day Time",IF(Dataset_A[[#This Row],[Hr]]&gt;=0,"Night Time","")))</f>
        <v>Day Time</v>
      </c>
    </row>
    <row r="293" spans="1:19" x14ac:dyDescent="0.2">
      <c r="A293">
        <v>292</v>
      </c>
      <c r="B293" s="3">
        <v>40556</v>
      </c>
      <c r="C293">
        <v>1</v>
      </c>
      <c r="D293">
        <v>2011</v>
      </c>
      <c r="E293" t="s">
        <v>10</v>
      </c>
      <c r="F293">
        <v>14</v>
      </c>
      <c r="G293" t="b">
        <v>0</v>
      </c>
      <c r="H293" t="s">
        <v>16</v>
      </c>
      <c r="I293">
        <v>1</v>
      </c>
      <c r="J293">
        <v>0.22</v>
      </c>
      <c r="K293">
        <v>0.19700000000000001</v>
      </c>
      <c r="L293">
        <v>0.41</v>
      </c>
      <c r="M293">
        <v>0.3881</v>
      </c>
      <c r="N293">
        <v>3</v>
      </c>
      <c r="O293">
        <v>39</v>
      </c>
      <c r="P293">
        <v>42</v>
      </c>
      <c r="S293" t="str">
        <f>IF(Dataset_A[[#This Row],[Hr]]&gt;=19,"Evening Time",IF(Dataset_A[[#This Row],[Hr]]&gt;=9,"Day Time",IF(Dataset_A[[#This Row],[Hr]]&gt;=0,"Night Time","")))</f>
        <v>Day Time</v>
      </c>
    </row>
    <row r="294" spans="1:19" x14ac:dyDescent="0.2">
      <c r="A294">
        <v>293</v>
      </c>
      <c r="B294" s="3">
        <v>40556</v>
      </c>
      <c r="C294">
        <v>1</v>
      </c>
      <c r="D294">
        <v>2011</v>
      </c>
      <c r="E294" t="s">
        <v>10</v>
      </c>
      <c r="F294">
        <v>15</v>
      </c>
      <c r="G294" t="b">
        <v>0</v>
      </c>
      <c r="H294" t="s">
        <v>16</v>
      </c>
      <c r="I294">
        <v>1</v>
      </c>
      <c r="J294">
        <v>0.24</v>
      </c>
      <c r="K294">
        <v>0.21210000000000001</v>
      </c>
      <c r="L294">
        <v>0.38</v>
      </c>
      <c r="M294">
        <v>0.29849999999999999</v>
      </c>
      <c r="N294">
        <v>5</v>
      </c>
      <c r="O294">
        <v>55</v>
      </c>
      <c r="P294">
        <v>60</v>
      </c>
      <c r="S294" t="str">
        <f>IF(Dataset_A[[#This Row],[Hr]]&gt;=19,"Evening Time",IF(Dataset_A[[#This Row],[Hr]]&gt;=9,"Day Time",IF(Dataset_A[[#This Row],[Hr]]&gt;=0,"Night Time","")))</f>
        <v>Day Time</v>
      </c>
    </row>
    <row r="295" spans="1:19" x14ac:dyDescent="0.2">
      <c r="A295">
        <v>294</v>
      </c>
      <c r="B295" s="3">
        <v>40556</v>
      </c>
      <c r="C295">
        <v>1</v>
      </c>
      <c r="D295">
        <v>2011</v>
      </c>
      <c r="E295" t="s">
        <v>10</v>
      </c>
      <c r="F295">
        <v>16</v>
      </c>
      <c r="G295" t="b">
        <v>0</v>
      </c>
      <c r="H295" t="s">
        <v>16</v>
      </c>
      <c r="I295">
        <v>1</v>
      </c>
      <c r="J295">
        <v>0.24</v>
      </c>
      <c r="K295">
        <v>0.21210000000000001</v>
      </c>
      <c r="L295">
        <v>0.38</v>
      </c>
      <c r="M295">
        <v>0.35820000000000002</v>
      </c>
      <c r="N295">
        <v>2</v>
      </c>
      <c r="O295">
        <v>76</v>
      </c>
      <c r="P295">
        <v>78</v>
      </c>
      <c r="S295" t="str">
        <f>IF(Dataset_A[[#This Row],[Hr]]&gt;=19,"Evening Time",IF(Dataset_A[[#This Row],[Hr]]&gt;=9,"Day Time",IF(Dataset_A[[#This Row],[Hr]]&gt;=0,"Night Time","")))</f>
        <v>Day Time</v>
      </c>
    </row>
    <row r="296" spans="1:19" x14ac:dyDescent="0.2">
      <c r="A296">
        <v>295</v>
      </c>
      <c r="B296" s="3">
        <v>40556</v>
      </c>
      <c r="C296">
        <v>1</v>
      </c>
      <c r="D296">
        <v>2011</v>
      </c>
      <c r="E296" t="s">
        <v>10</v>
      </c>
      <c r="F296">
        <v>17</v>
      </c>
      <c r="G296" t="b">
        <v>0</v>
      </c>
      <c r="H296" t="s">
        <v>16</v>
      </c>
      <c r="I296">
        <v>1</v>
      </c>
      <c r="J296">
        <v>0.2</v>
      </c>
      <c r="K296">
        <v>0.18179999999999999</v>
      </c>
      <c r="L296">
        <v>0.4</v>
      </c>
      <c r="M296">
        <v>0.28360000000000002</v>
      </c>
      <c r="N296">
        <v>4</v>
      </c>
      <c r="O296">
        <v>158</v>
      </c>
      <c r="P296">
        <v>162</v>
      </c>
      <c r="S296" t="str">
        <f>IF(Dataset_A[[#This Row],[Hr]]&gt;=19,"Evening Time",IF(Dataset_A[[#This Row],[Hr]]&gt;=9,"Day Time",IF(Dataset_A[[#This Row],[Hr]]&gt;=0,"Night Time","")))</f>
        <v>Day Time</v>
      </c>
    </row>
    <row r="297" spans="1:19" x14ac:dyDescent="0.2">
      <c r="A297">
        <v>296</v>
      </c>
      <c r="B297" s="3">
        <v>40556</v>
      </c>
      <c r="C297">
        <v>1</v>
      </c>
      <c r="D297">
        <v>2011</v>
      </c>
      <c r="E297" t="s">
        <v>10</v>
      </c>
      <c r="F297">
        <v>18</v>
      </c>
      <c r="G297" t="b">
        <v>0</v>
      </c>
      <c r="H297" t="s">
        <v>16</v>
      </c>
      <c r="I297">
        <v>1</v>
      </c>
      <c r="J297">
        <v>0.2</v>
      </c>
      <c r="K297">
        <v>0.18179999999999999</v>
      </c>
      <c r="L297">
        <v>0.4</v>
      </c>
      <c r="M297">
        <v>0.32840000000000003</v>
      </c>
      <c r="N297">
        <v>3</v>
      </c>
      <c r="O297">
        <v>141</v>
      </c>
      <c r="P297">
        <v>144</v>
      </c>
      <c r="S297" t="str">
        <f>IF(Dataset_A[[#This Row],[Hr]]&gt;=19,"Evening Time",IF(Dataset_A[[#This Row],[Hr]]&gt;=9,"Day Time",IF(Dataset_A[[#This Row],[Hr]]&gt;=0,"Night Time","")))</f>
        <v>Day Time</v>
      </c>
    </row>
    <row r="298" spans="1:19" x14ac:dyDescent="0.2">
      <c r="A298">
        <v>297</v>
      </c>
      <c r="B298" s="3">
        <v>40556</v>
      </c>
      <c r="C298">
        <v>1</v>
      </c>
      <c r="D298">
        <v>2011</v>
      </c>
      <c r="E298" t="s">
        <v>10</v>
      </c>
      <c r="F298">
        <v>19</v>
      </c>
      <c r="G298" t="b">
        <v>0</v>
      </c>
      <c r="H298" t="s">
        <v>16</v>
      </c>
      <c r="I298">
        <v>1</v>
      </c>
      <c r="J298">
        <v>0.16</v>
      </c>
      <c r="K298">
        <v>0.1515</v>
      </c>
      <c r="L298">
        <v>0.47</v>
      </c>
      <c r="M298">
        <v>0.25369999999999998</v>
      </c>
      <c r="N298">
        <v>1</v>
      </c>
      <c r="O298">
        <v>98</v>
      </c>
      <c r="P298">
        <v>99</v>
      </c>
      <c r="S298" t="str">
        <f>IF(Dataset_A[[#This Row],[Hr]]&gt;=19,"Evening Time",IF(Dataset_A[[#This Row],[Hr]]&gt;=9,"Day Time",IF(Dataset_A[[#This Row],[Hr]]&gt;=0,"Night Time","")))</f>
        <v>Evening Time</v>
      </c>
    </row>
    <row r="299" spans="1:19" x14ac:dyDescent="0.2">
      <c r="A299">
        <v>298</v>
      </c>
      <c r="B299" s="3">
        <v>40556</v>
      </c>
      <c r="C299">
        <v>1</v>
      </c>
      <c r="D299">
        <v>2011</v>
      </c>
      <c r="E299" t="s">
        <v>10</v>
      </c>
      <c r="F299">
        <v>20</v>
      </c>
      <c r="G299" t="b">
        <v>0</v>
      </c>
      <c r="H299" t="s">
        <v>16</v>
      </c>
      <c r="I299">
        <v>1</v>
      </c>
      <c r="J299">
        <v>0.16</v>
      </c>
      <c r="K299">
        <v>0.1515</v>
      </c>
      <c r="L299">
        <v>0.47</v>
      </c>
      <c r="M299">
        <v>0.22389999999999999</v>
      </c>
      <c r="N299">
        <v>0</v>
      </c>
      <c r="O299">
        <v>64</v>
      </c>
      <c r="P299">
        <v>64</v>
      </c>
      <c r="S299" t="str">
        <f>IF(Dataset_A[[#This Row],[Hr]]&gt;=19,"Evening Time",IF(Dataset_A[[#This Row],[Hr]]&gt;=9,"Day Time",IF(Dataset_A[[#This Row],[Hr]]&gt;=0,"Night Time","")))</f>
        <v>Evening Time</v>
      </c>
    </row>
    <row r="300" spans="1:19" x14ac:dyDescent="0.2">
      <c r="A300">
        <v>299</v>
      </c>
      <c r="B300" s="3">
        <v>40556</v>
      </c>
      <c r="C300">
        <v>1</v>
      </c>
      <c r="D300">
        <v>2011</v>
      </c>
      <c r="E300" t="s">
        <v>10</v>
      </c>
      <c r="F300">
        <v>21</v>
      </c>
      <c r="G300" t="b">
        <v>0</v>
      </c>
      <c r="H300" t="s">
        <v>16</v>
      </c>
      <c r="I300">
        <v>1</v>
      </c>
      <c r="J300">
        <v>0.14000000000000001</v>
      </c>
      <c r="K300">
        <v>0.1212</v>
      </c>
      <c r="L300">
        <v>0.46</v>
      </c>
      <c r="M300">
        <v>0.29849999999999999</v>
      </c>
      <c r="N300">
        <v>0</v>
      </c>
      <c r="O300">
        <v>40</v>
      </c>
      <c r="P300">
        <v>40</v>
      </c>
      <c r="S300" t="str">
        <f>IF(Dataset_A[[#This Row],[Hr]]&gt;=19,"Evening Time",IF(Dataset_A[[#This Row],[Hr]]&gt;=9,"Day Time",IF(Dataset_A[[#This Row],[Hr]]&gt;=0,"Night Time","")))</f>
        <v>Evening Time</v>
      </c>
    </row>
    <row r="301" spans="1:19" x14ac:dyDescent="0.2">
      <c r="A301">
        <v>300</v>
      </c>
      <c r="B301" s="3">
        <v>40556</v>
      </c>
      <c r="C301">
        <v>1</v>
      </c>
      <c r="D301">
        <v>2011</v>
      </c>
      <c r="E301" t="s">
        <v>10</v>
      </c>
      <c r="F301">
        <v>22</v>
      </c>
      <c r="G301" t="b">
        <v>0</v>
      </c>
      <c r="H301" t="s">
        <v>16</v>
      </c>
      <c r="I301">
        <v>1</v>
      </c>
      <c r="J301">
        <v>0.14000000000000001</v>
      </c>
      <c r="K301">
        <v>0.1212</v>
      </c>
      <c r="L301">
        <v>0.46</v>
      </c>
      <c r="M301">
        <v>0.32840000000000003</v>
      </c>
      <c r="N301">
        <v>0</v>
      </c>
      <c r="O301">
        <v>30</v>
      </c>
      <c r="P301">
        <v>30</v>
      </c>
      <c r="S301" t="str">
        <f>IF(Dataset_A[[#This Row],[Hr]]&gt;=19,"Evening Time",IF(Dataset_A[[#This Row],[Hr]]&gt;=9,"Day Time",IF(Dataset_A[[#This Row],[Hr]]&gt;=0,"Night Time","")))</f>
        <v>Evening Time</v>
      </c>
    </row>
    <row r="302" spans="1:19" x14ac:dyDescent="0.2">
      <c r="A302">
        <v>301</v>
      </c>
      <c r="B302" s="3">
        <v>40556</v>
      </c>
      <c r="C302">
        <v>1</v>
      </c>
      <c r="D302">
        <v>2011</v>
      </c>
      <c r="E302" t="s">
        <v>10</v>
      </c>
      <c r="F302">
        <v>23</v>
      </c>
      <c r="G302" t="b">
        <v>0</v>
      </c>
      <c r="H302" t="s">
        <v>16</v>
      </c>
      <c r="I302">
        <v>1</v>
      </c>
      <c r="J302">
        <v>0.12</v>
      </c>
      <c r="K302">
        <v>0.13639999999999999</v>
      </c>
      <c r="L302">
        <v>0.5</v>
      </c>
      <c r="M302">
        <v>0.19400000000000001</v>
      </c>
      <c r="N302">
        <v>1</v>
      </c>
      <c r="O302">
        <v>14</v>
      </c>
      <c r="P302">
        <v>15</v>
      </c>
      <c r="S302" t="str">
        <f>IF(Dataset_A[[#This Row],[Hr]]&gt;=19,"Evening Time",IF(Dataset_A[[#This Row],[Hr]]&gt;=9,"Day Time",IF(Dataset_A[[#This Row],[Hr]]&gt;=0,"Night Time","")))</f>
        <v>Evening Time</v>
      </c>
    </row>
    <row r="303" spans="1:19" x14ac:dyDescent="0.2">
      <c r="A303">
        <v>302</v>
      </c>
      <c r="B303" s="3">
        <v>40557</v>
      </c>
      <c r="C303">
        <v>1</v>
      </c>
      <c r="D303">
        <v>2011</v>
      </c>
      <c r="E303" t="s">
        <v>10</v>
      </c>
      <c r="F303">
        <v>0</v>
      </c>
      <c r="G303" t="b">
        <v>0</v>
      </c>
      <c r="H303" t="s">
        <v>17</v>
      </c>
      <c r="I303">
        <v>1</v>
      </c>
      <c r="J303">
        <v>0.12</v>
      </c>
      <c r="K303">
        <v>0.13639999999999999</v>
      </c>
      <c r="L303">
        <v>0.5</v>
      </c>
      <c r="M303">
        <v>0.19400000000000001</v>
      </c>
      <c r="N303">
        <v>0</v>
      </c>
      <c r="O303">
        <v>14</v>
      </c>
      <c r="P303">
        <v>14</v>
      </c>
      <c r="S303" t="str">
        <f>IF(Dataset_A[[#This Row],[Hr]]&gt;=19,"Evening Time",IF(Dataset_A[[#This Row],[Hr]]&gt;=9,"Day Time",IF(Dataset_A[[#This Row],[Hr]]&gt;=0,"Night Time","")))</f>
        <v>Night Time</v>
      </c>
    </row>
    <row r="304" spans="1:19" x14ac:dyDescent="0.2">
      <c r="A304">
        <v>303</v>
      </c>
      <c r="B304" s="3">
        <v>40557</v>
      </c>
      <c r="C304">
        <v>1</v>
      </c>
      <c r="D304">
        <v>2011</v>
      </c>
      <c r="E304" t="s">
        <v>10</v>
      </c>
      <c r="F304">
        <v>1</v>
      </c>
      <c r="G304" t="b">
        <v>0</v>
      </c>
      <c r="H304" t="s">
        <v>17</v>
      </c>
      <c r="I304">
        <v>1</v>
      </c>
      <c r="J304">
        <v>0.1</v>
      </c>
      <c r="K304">
        <v>0.1212</v>
      </c>
      <c r="L304">
        <v>0.54</v>
      </c>
      <c r="M304">
        <v>0.16420000000000001</v>
      </c>
      <c r="N304">
        <v>0</v>
      </c>
      <c r="O304">
        <v>5</v>
      </c>
      <c r="P304">
        <v>5</v>
      </c>
      <c r="S304" t="str">
        <f>IF(Dataset_A[[#This Row],[Hr]]&gt;=19,"Evening Time",IF(Dataset_A[[#This Row],[Hr]]&gt;=9,"Day Time",IF(Dataset_A[[#This Row],[Hr]]&gt;=0,"Night Time","")))</f>
        <v>Night Time</v>
      </c>
    </row>
    <row r="305" spans="1:19" x14ac:dyDescent="0.2">
      <c r="A305">
        <v>304</v>
      </c>
      <c r="B305" s="3">
        <v>40557</v>
      </c>
      <c r="C305">
        <v>1</v>
      </c>
      <c r="D305">
        <v>2011</v>
      </c>
      <c r="E305" t="s">
        <v>10</v>
      </c>
      <c r="F305">
        <v>2</v>
      </c>
      <c r="G305" t="b">
        <v>0</v>
      </c>
      <c r="H305" t="s">
        <v>17</v>
      </c>
      <c r="I305">
        <v>1</v>
      </c>
      <c r="J305">
        <v>0.1</v>
      </c>
      <c r="K305">
        <v>0.1212</v>
      </c>
      <c r="L305">
        <v>0.54</v>
      </c>
      <c r="M305">
        <v>0.1343</v>
      </c>
      <c r="N305">
        <v>0</v>
      </c>
      <c r="O305">
        <v>1</v>
      </c>
      <c r="P305">
        <v>1</v>
      </c>
      <c r="S305" t="str">
        <f>IF(Dataset_A[[#This Row],[Hr]]&gt;=19,"Evening Time",IF(Dataset_A[[#This Row],[Hr]]&gt;=9,"Day Time",IF(Dataset_A[[#This Row],[Hr]]&gt;=0,"Night Time","")))</f>
        <v>Night Time</v>
      </c>
    </row>
    <row r="306" spans="1:19" x14ac:dyDescent="0.2">
      <c r="A306">
        <v>305</v>
      </c>
      <c r="B306" s="3">
        <v>40557</v>
      </c>
      <c r="C306">
        <v>1</v>
      </c>
      <c r="D306">
        <v>2011</v>
      </c>
      <c r="E306" t="s">
        <v>10</v>
      </c>
      <c r="F306">
        <v>3</v>
      </c>
      <c r="G306" t="b">
        <v>0</v>
      </c>
      <c r="H306" t="s">
        <v>17</v>
      </c>
      <c r="I306">
        <v>1</v>
      </c>
      <c r="J306">
        <v>0.1</v>
      </c>
      <c r="K306">
        <v>0.13639999999999999</v>
      </c>
      <c r="L306">
        <v>0.54</v>
      </c>
      <c r="M306">
        <v>0.1045</v>
      </c>
      <c r="N306">
        <v>0</v>
      </c>
      <c r="O306">
        <v>1</v>
      </c>
      <c r="P306">
        <v>1</v>
      </c>
      <c r="S306" t="str">
        <f>IF(Dataset_A[[#This Row],[Hr]]&gt;=19,"Evening Time",IF(Dataset_A[[#This Row],[Hr]]&gt;=9,"Day Time",IF(Dataset_A[[#This Row],[Hr]]&gt;=0,"Night Time","")))</f>
        <v>Night Time</v>
      </c>
    </row>
    <row r="307" spans="1:19" x14ac:dyDescent="0.2">
      <c r="A307">
        <v>306</v>
      </c>
      <c r="B307" s="3">
        <v>40557</v>
      </c>
      <c r="C307">
        <v>1</v>
      </c>
      <c r="D307">
        <v>2011</v>
      </c>
      <c r="E307" t="s">
        <v>10</v>
      </c>
      <c r="F307">
        <v>5</v>
      </c>
      <c r="G307" t="b">
        <v>0</v>
      </c>
      <c r="H307" t="s">
        <v>17</v>
      </c>
      <c r="I307">
        <v>1</v>
      </c>
      <c r="J307">
        <v>0.1</v>
      </c>
      <c r="K307">
        <v>0.13639999999999999</v>
      </c>
      <c r="L307">
        <v>0.54</v>
      </c>
      <c r="M307">
        <v>8.9599999999999999E-2</v>
      </c>
      <c r="N307">
        <v>0</v>
      </c>
      <c r="O307">
        <v>8</v>
      </c>
      <c r="P307">
        <v>8</v>
      </c>
      <c r="S307" t="str">
        <f>IF(Dataset_A[[#This Row],[Hr]]&gt;=19,"Evening Time",IF(Dataset_A[[#This Row],[Hr]]&gt;=9,"Day Time",IF(Dataset_A[[#This Row],[Hr]]&gt;=0,"Night Time","")))</f>
        <v>Night Time</v>
      </c>
    </row>
    <row r="308" spans="1:19" x14ac:dyDescent="0.2">
      <c r="A308">
        <v>307</v>
      </c>
      <c r="B308" s="3">
        <v>40557</v>
      </c>
      <c r="C308">
        <v>1</v>
      </c>
      <c r="D308">
        <v>2011</v>
      </c>
      <c r="E308" t="s">
        <v>10</v>
      </c>
      <c r="F308">
        <v>6</v>
      </c>
      <c r="G308" t="b">
        <v>0</v>
      </c>
      <c r="H308" t="s">
        <v>17</v>
      </c>
      <c r="I308">
        <v>1</v>
      </c>
      <c r="J308">
        <v>0.1</v>
      </c>
      <c r="K308">
        <v>0.18179999999999999</v>
      </c>
      <c r="L308">
        <v>0.54</v>
      </c>
      <c r="M308">
        <v>0</v>
      </c>
      <c r="N308">
        <v>0</v>
      </c>
      <c r="O308">
        <v>17</v>
      </c>
      <c r="P308">
        <v>17</v>
      </c>
      <c r="S308" t="str">
        <f>IF(Dataset_A[[#This Row],[Hr]]&gt;=19,"Evening Time",IF(Dataset_A[[#This Row],[Hr]]&gt;=9,"Day Time",IF(Dataset_A[[#This Row],[Hr]]&gt;=0,"Night Time","")))</f>
        <v>Night Time</v>
      </c>
    </row>
    <row r="309" spans="1:19" x14ac:dyDescent="0.2">
      <c r="A309">
        <v>308</v>
      </c>
      <c r="B309" s="3">
        <v>40557</v>
      </c>
      <c r="C309">
        <v>1</v>
      </c>
      <c r="D309">
        <v>2011</v>
      </c>
      <c r="E309" t="s">
        <v>10</v>
      </c>
      <c r="F309">
        <v>7</v>
      </c>
      <c r="G309" t="b">
        <v>0</v>
      </c>
      <c r="H309" t="s">
        <v>17</v>
      </c>
      <c r="I309">
        <v>1</v>
      </c>
      <c r="J309">
        <v>0.1</v>
      </c>
      <c r="K309">
        <v>0.1212</v>
      </c>
      <c r="L309">
        <v>0.74</v>
      </c>
      <c r="M309">
        <v>0.16420000000000001</v>
      </c>
      <c r="N309">
        <v>0</v>
      </c>
      <c r="O309">
        <v>70</v>
      </c>
      <c r="P309">
        <v>70</v>
      </c>
      <c r="S309" t="str">
        <f>IF(Dataset_A[[#This Row],[Hr]]&gt;=19,"Evening Time",IF(Dataset_A[[#This Row],[Hr]]&gt;=9,"Day Time",IF(Dataset_A[[#This Row],[Hr]]&gt;=0,"Night Time","")))</f>
        <v>Night Time</v>
      </c>
    </row>
    <row r="310" spans="1:19" x14ac:dyDescent="0.2">
      <c r="A310">
        <v>309</v>
      </c>
      <c r="B310" s="3">
        <v>40557</v>
      </c>
      <c r="C310">
        <v>1</v>
      </c>
      <c r="D310">
        <v>2011</v>
      </c>
      <c r="E310" t="s">
        <v>10</v>
      </c>
      <c r="F310">
        <v>8</v>
      </c>
      <c r="G310" t="b">
        <v>0</v>
      </c>
      <c r="H310" t="s">
        <v>17</v>
      </c>
      <c r="I310">
        <v>1</v>
      </c>
      <c r="J310">
        <v>0.12</v>
      </c>
      <c r="K310">
        <v>0.16669999999999999</v>
      </c>
      <c r="L310">
        <v>0.68</v>
      </c>
      <c r="M310">
        <v>0</v>
      </c>
      <c r="N310">
        <v>2</v>
      </c>
      <c r="O310">
        <v>156</v>
      </c>
      <c r="P310">
        <v>158</v>
      </c>
      <c r="S310" t="str">
        <f>IF(Dataset_A[[#This Row],[Hr]]&gt;=19,"Evening Time",IF(Dataset_A[[#This Row],[Hr]]&gt;=9,"Day Time",IF(Dataset_A[[#This Row],[Hr]]&gt;=0,"Night Time","")))</f>
        <v>Night Time</v>
      </c>
    </row>
    <row r="311" spans="1:19" x14ac:dyDescent="0.2">
      <c r="A311">
        <v>310</v>
      </c>
      <c r="B311" s="3">
        <v>40557</v>
      </c>
      <c r="C311">
        <v>1</v>
      </c>
      <c r="D311">
        <v>2011</v>
      </c>
      <c r="E311" t="s">
        <v>10</v>
      </c>
      <c r="F311">
        <v>9</v>
      </c>
      <c r="G311" t="b">
        <v>0</v>
      </c>
      <c r="H311" t="s">
        <v>17</v>
      </c>
      <c r="I311">
        <v>1</v>
      </c>
      <c r="J311">
        <v>0.14000000000000001</v>
      </c>
      <c r="K311">
        <v>0.1515</v>
      </c>
      <c r="L311">
        <v>0.69</v>
      </c>
      <c r="M311">
        <v>0.1343</v>
      </c>
      <c r="N311">
        <v>0</v>
      </c>
      <c r="O311">
        <v>117</v>
      </c>
      <c r="P311">
        <v>117</v>
      </c>
      <c r="S311" t="str">
        <f>IF(Dataset_A[[#This Row],[Hr]]&gt;=19,"Evening Time",IF(Dataset_A[[#This Row],[Hr]]&gt;=9,"Day Time",IF(Dataset_A[[#This Row],[Hr]]&gt;=0,"Night Time","")))</f>
        <v>Day Time</v>
      </c>
    </row>
    <row r="312" spans="1:19" x14ac:dyDescent="0.2">
      <c r="A312">
        <v>311</v>
      </c>
      <c r="B312" s="3">
        <v>40557</v>
      </c>
      <c r="C312">
        <v>1</v>
      </c>
      <c r="D312">
        <v>2011</v>
      </c>
      <c r="E312" t="s">
        <v>10</v>
      </c>
      <c r="F312">
        <v>10</v>
      </c>
      <c r="G312" t="b">
        <v>0</v>
      </c>
      <c r="H312" t="s">
        <v>17</v>
      </c>
      <c r="I312">
        <v>1</v>
      </c>
      <c r="J312">
        <v>0.18</v>
      </c>
      <c r="K312">
        <v>0.18179999999999999</v>
      </c>
      <c r="L312">
        <v>0.55000000000000004</v>
      </c>
      <c r="M312">
        <v>0.19400000000000001</v>
      </c>
      <c r="N312">
        <v>4</v>
      </c>
      <c r="O312">
        <v>40</v>
      </c>
      <c r="P312">
        <v>44</v>
      </c>
      <c r="S312" t="str">
        <f>IF(Dataset_A[[#This Row],[Hr]]&gt;=19,"Evening Time",IF(Dataset_A[[#This Row],[Hr]]&gt;=9,"Day Time",IF(Dataset_A[[#This Row],[Hr]]&gt;=0,"Night Time","")))</f>
        <v>Day Time</v>
      </c>
    </row>
    <row r="313" spans="1:19" x14ac:dyDescent="0.2">
      <c r="A313">
        <v>312</v>
      </c>
      <c r="B313" s="3">
        <v>40557</v>
      </c>
      <c r="C313">
        <v>1</v>
      </c>
      <c r="D313">
        <v>2011</v>
      </c>
      <c r="E313" t="s">
        <v>10</v>
      </c>
      <c r="F313">
        <v>11</v>
      </c>
      <c r="G313" t="b">
        <v>0</v>
      </c>
      <c r="H313" t="s">
        <v>17</v>
      </c>
      <c r="I313">
        <v>1</v>
      </c>
      <c r="J313">
        <v>0.18</v>
      </c>
      <c r="K313">
        <v>0.16669999999999999</v>
      </c>
      <c r="L313">
        <v>0.51</v>
      </c>
      <c r="M313">
        <v>0.28360000000000002</v>
      </c>
      <c r="N313">
        <v>6</v>
      </c>
      <c r="O313">
        <v>47</v>
      </c>
      <c r="P313">
        <v>53</v>
      </c>
      <c r="S313" t="str">
        <f>IF(Dataset_A[[#This Row],[Hr]]&gt;=19,"Evening Time",IF(Dataset_A[[#This Row],[Hr]]&gt;=9,"Day Time",IF(Dataset_A[[#This Row],[Hr]]&gt;=0,"Night Time","")))</f>
        <v>Day Time</v>
      </c>
    </row>
    <row r="314" spans="1:19" x14ac:dyDescent="0.2">
      <c r="A314">
        <v>313</v>
      </c>
      <c r="B314" s="3">
        <v>40557</v>
      </c>
      <c r="C314">
        <v>1</v>
      </c>
      <c r="D314">
        <v>2011</v>
      </c>
      <c r="E314" t="s">
        <v>10</v>
      </c>
      <c r="F314">
        <v>12</v>
      </c>
      <c r="G314" t="b">
        <v>0</v>
      </c>
      <c r="H314" t="s">
        <v>17</v>
      </c>
      <c r="I314">
        <v>1</v>
      </c>
      <c r="J314">
        <v>0.2</v>
      </c>
      <c r="K314">
        <v>0.19700000000000001</v>
      </c>
      <c r="L314">
        <v>0.44</v>
      </c>
      <c r="M314">
        <v>0.25369999999999998</v>
      </c>
      <c r="N314">
        <v>2</v>
      </c>
      <c r="O314">
        <v>59</v>
      </c>
      <c r="P314">
        <v>61</v>
      </c>
      <c r="S314" t="str">
        <f>IF(Dataset_A[[#This Row],[Hr]]&gt;=19,"Evening Time",IF(Dataset_A[[#This Row],[Hr]]&gt;=9,"Day Time",IF(Dataset_A[[#This Row],[Hr]]&gt;=0,"Night Time","")))</f>
        <v>Day Time</v>
      </c>
    </row>
    <row r="315" spans="1:19" x14ac:dyDescent="0.2">
      <c r="A315">
        <v>314</v>
      </c>
      <c r="B315" s="3">
        <v>40557</v>
      </c>
      <c r="C315">
        <v>1</v>
      </c>
      <c r="D315">
        <v>2011</v>
      </c>
      <c r="E315" t="s">
        <v>10</v>
      </c>
      <c r="F315">
        <v>13</v>
      </c>
      <c r="G315" t="b">
        <v>0</v>
      </c>
      <c r="H315" t="s">
        <v>17</v>
      </c>
      <c r="I315">
        <v>1</v>
      </c>
      <c r="J315">
        <v>0.22</v>
      </c>
      <c r="K315">
        <v>0.19700000000000001</v>
      </c>
      <c r="L315">
        <v>0.37</v>
      </c>
      <c r="M315">
        <v>0.3881</v>
      </c>
      <c r="N315">
        <v>4</v>
      </c>
      <c r="O315">
        <v>73</v>
      </c>
      <c r="P315">
        <v>77</v>
      </c>
      <c r="S315" t="str">
        <f>IF(Dataset_A[[#This Row],[Hr]]&gt;=19,"Evening Time",IF(Dataset_A[[#This Row],[Hr]]&gt;=9,"Day Time",IF(Dataset_A[[#This Row],[Hr]]&gt;=0,"Night Time","")))</f>
        <v>Day Time</v>
      </c>
    </row>
    <row r="316" spans="1:19" x14ac:dyDescent="0.2">
      <c r="A316">
        <v>315</v>
      </c>
      <c r="B316" s="3">
        <v>40557</v>
      </c>
      <c r="C316">
        <v>1</v>
      </c>
      <c r="D316">
        <v>2011</v>
      </c>
      <c r="E316" t="s">
        <v>10</v>
      </c>
      <c r="F316">
        <v>14</v>
      </c>
      <c r="G316" t="b">
        <v>0</v>
      </c>
      <c r="H316" t="s">
        <v>17</v>
      </c>
      <c r="I316">
        <v>1</v>
      </c>
      <c r="J316">
        <v>0.22</v>
      </c>
      <c r="K316">
        <v>0.21210000000000001</v>
      </c>
      <c r="L316">
        <v>0.41</v>
      </c>
      <c r="M316">
        <v>0.28360000000000002</v>
      </c>
      <c r="N316">
        <v>5</v>
      </c>
      <c r="O316">
        <v>59</v>
      </c>
      <c r="P316">
        <v>64</v>
      </c>
      <c r="S316" t="str">
        <f>IF(Dataset_A[[#This Row],[Hr]]&gt;=19,"Evening Time",IF(Dataset_A[[#This Row],[Hr]]&gt;=9,"Day Time",IF(Dataset_A[[#This Row],[Hr]]&gt;=0,"Night Time","")))</f>
        <v>Day Time</v>
      </c>
    </row>
    <row r="317" spans="1:19" x14ac:dyDescent="0.2">
      <c r="A317">
        <v>316</v>
      </c>
      <c r="B317" s="3">
        <v>40557</v>
      </c>
      <c r="C317">
        <v>1</v>
      </c>
      <c r="D317">
        <v>2011</v>
      </c>
      <c r="E317" t="s">
        <v>10</v>
      </c>
      <c r="F317">
        <v>15</v>
      </c>
      <c r="G317" t="b">
        <v>0</v>
      </c>
      <c r="H317" t="s">
        <v>17</v>
      </c>
      <c r="I317">
        <v>1</v>
      </c>
      <c r="J317">
        <v>0.24</v>
      </c>
      <c r="K317">
        <v>0.2424</v>
      </c>
      <c r="L317">
        <v>0.38</v>
      </c>
      <c r="M317">
        <v>0.16420000000000001</v>
      </c>
      <c r="N317">
        <v>9</v>
      </c>
      <c r="O317">
        <v>59</v>
      </c>
      <c r="P317">
        <v>68</v>
      </c>
      <c r="S317" t="str">
        <f>IF(Dataset_A[[#This Row],[Hr]]&gt;=19,"Evening Time",IF(Dataset_A[[#This Row],[Hr]]&gt;=9,"Day Time",IF(Dataset_A[[#This Row],[Hr]]&gt;=0,"Night Time","")))</f>
        <v>Day Time</v>
      </c>
    </row>
    <row r="318" spans="1:19" x14ac:dyDescent="0.2">
      <c r="A318">
        <v>317</v>
      </c>
      <c r="B318" s="3">
        <v>40557</v>
      </c>
      <c r="C318">
        <v>1</v>
      </c>
      <c r="D318">
        <v>2011</v>
      </c>
      <c r="E318" t="s">
        <v>10</v>
      </c>
      <c r="F318">
        <v>16</v>
      </c>
      <c r="G318" t="b">
        <v>0</v>
      </c>
      <c r="H318" t="s">
        <v>17</v>
      </c>
      <c r="I318">
        <v>1</v>
      </c>
      <c r="J318">
        <v>0.22</v>
      </c>
      <c r="K318">
        <v>0.2424</v>
      </c>
      <c r="L318">
        <v>0.41</v>
      </c>
      <c r="M318">
        <v>0.1045</v>
      </c>
      <c r="N318">
        <v>3</v>
      </c>
      <c r="O318">
        <v>87</v>
      </c>
      <c r="P318">
        <v>90</v>
      </c>
      <c r="S318" t="str">
        <f>IF(Dataset_A[[#This Row],[Hr]]&gt;=19,"Evening Time",IF(Dataset_A[[#This Row],[Hr]]&gt;=9,"Day Time",IF(Dataset_A[[#This Row],[Hr]]&gt;=0,"Night Time","")))</f>
        <v>Day Time</v>
      </c>
    </row>
    <row r="319" spans="1:19" x14ac:dyDescent="0.2">
      <c r="A319">
        <v>318</v>
      </c>
      <c r="B319" s="3">
        <v>40557</v>
      </c>
      <c r="C319">
        <v>1</v>
      </c>
      <c r="D319">
        <v>2011</v>
      </c>
      <c r="E319" t="s">
        <v>10</v>
      </c>
      <c r="F319">
        <v>17</v>
      </c>
      <c r="G319" t="b">
        <v>0</v>
      </c>
      <c r="H319" t="s">
        <v>17</v>
      </c>
      <c r="I319">
        <v>1</v>
      </c>
      <c r="J319">
        <v>0.22</v>
      </c>
      <c r="K319">
        <v>0.2273</v>
      </c>
      <c r="L319">
        <v>0.41</v>
      </c>
      <c r="M319">
        <v>0.16420000000000001</v>
      </c>
      <c r="N319">
        <v>4</v>
      </c>
      <c r="O319">
        <v>155</v>
      </c>
      <c r="P319">
        <v>159</v>
      </c>
      <c r="S319" t="str">
        <f>IF(Dataset_A[[#This Row],[Hr]]&gt;=19,"Evening Time",IF(Dataset_A[[#This Row],[Hr]]&gt;=9,"Day Time",IF(Dataset_A[[#This Row],[Hr]]&gt;=0,"Night Time","")))</f>
        <v>Day Time</v>
      </c>
    </row>
    <row r="320" spans="1:19" x14ac:dyDescent="0.2">
      <c r="A320">
        <v>319</v>
      </c>
      <c r="B320" s="3">
        <v>40557</v>
      </c>
      <c r="C320">
        <v>1</v>
      </c>
      <c r="D320">
        <v>2011</v>
      </c>
      <c r="E320" t="s">
        <v>10</v>
      </c>
      <c r="F320">
        <v>18</v>
      </c>
      <c r="G320" t="b">
        <v>0</v>
      </c>
      <c r="H320" t="s">
        <v>17</v>
      </c>
      <c r="I320">
        <v>1</v>
      </c>
      <c r="J320">
        <v>0.2</v>
      </c>
      <c r="K320">
        <v>0.2576</v>
      </c>
      <c r="L320">
        <v>0.47</v>
      </c>
      <c r="M320">
        <v>0</v>
      </c>
      <c r="N320">
        <v>5</v>
      </c>
      <c r="O320">
        <v>134</v>
      </c>
      <c r="P320">
        <v>139</v>
      </c>
      <c r="S320" t="str">
        <f>IF(Dataset_A[[#This Row],[Hr]]&gt;=19,"Evening Time",IF(Dataset_A[[#This Row],[Hr]]&gt;=9,"Day Time",IF(Dataset_A[[#This Row],[Hr]]&gt;=0,"Night Time","")))</f>
        <v>Day Time</v>
      </c>
    </row>
    <row r="321" spans="1:19" x14ac:dyDescent="0.2">
      <c r="A321">
        <v>320</v>
      </c>
      <c r="B321" s="3">
        <v>40557</v>
      </c>
      <c r="C321">
        <v>1</v>
      </c>
      <c r="D321">
        <v>2011</v>
      </c>
      <c r="E321" t="s">
        <v>10</v>
      </c>
      <c r="F321">
        <v>19</v>
      </c>
      <c r="G321" t="b">
        <v>0</v>
      </c>
      <c r="H321" t="s">
        <v>17</v>
      </c>
      <c r="I321">
        <v>1</v>
      </c>
      <c r="J321">
        <v>0.16</v>
      </c>
      <c r="K321">
        <v>0.19700000000000001</v>
      </c>
      <c r="L321">
        <v>0.59</v>
      </c>
      <c r="M321">
        <v>8.9599999999999999E-2</v>
      </c>
      <c r="N321">
        <v>3</v>
      </c>
      <c r="O321">
        <v>89</v>
      </c>
      <c r="P321">
        <v>92</v>
      </c>
      <c r="S321" t="str">
        <f>IF(Dataset_A[[#This Row],[Hr]]&gt;=19,"Evening Time",IF(Dataset_A[[#This Row],[Hr]]&gt;=9,"Day Time",IF(Dataset_A[[#This Row],[Hr]]&gt;=0,"Night Time","")))</f>
        <v>Evening Time</v>
      </c>
    </row>
    <row r="322" spans="1:19" x14ac:dyDescent="0.2">
      <c r="A322">
        <v>321</v>
      </c>
      <c r="B322" s="3">
        <v>40557</v>
      </c>
      <c r="C322">
        <v>1</v>
      </c>
      <c r="D322">
        <v>2011</v>
      </c>
      <c r="E322" t="s">
        <v>10</v>
      </c>
      <c r="F322">
        <v>20</v>
      </c>
      <c r="G322" t="b">
        <v>0</v>
      </c>
      <c r="H322" t="s">
        <v>17</v>
      </c>
      <c r="I322">
        <v>1</v>
      </c>
      <c r="J322">
        <v>0.18</v>
      </c>
      <c r="K322">
        <v>0.2424</v>
      </c>
      <c r="L322">
        <v>0.59</v>
      </c>
      <c r="M322">
        <v>0</v>
      </c>
      <c r="N322">
        <v>0</v>
      </c>
      <c r="O322">
        <v>68</v>
      </c>
      <c r="P322">
        <v>68</v>
      </c>
      <c r="S322" t="str">
        <f>IF(Dataset_A[[#This Row],[Hr]]&gt;=19,"Evening Time",IF(Dataset_A[[#This Row],[Hr]]&gt;=9,"Day Time",IF(Dataset_A[[#This Row],[Hr]]&gt;=0,"Night Time","")))</f>
        <v>Evening Time</v>
      </c>
    </row>
    <row r="323" spans="1:19" x14ac:dyDescent="0.2">
      <c r="A323">
        <v>322</v>
      </c>
      <c r="B323" s="3">
        <v>40557</v>
      </c>
      <c r="C323">
        <v>1</v>
      </c>
      <c r="D323">
        <v>2011</v>
      </c>
      <c r="E323" t="s">
        <v>10</v>
      </c>
      <c r="F323">
        <v>21</v>
      </c>
      <c r="G323" t="b">
        <v>0</v>
      </c>
      <c r="H323" t="s">
        <v>17</v>
      </c>
      <c r="I323">
        <v>1</v>
      </c>
      <c r="J323">
        <v>0.16</v>
      </c>
      <c r="K323">
        <v>0.2273</v>
      </c>
      <c r="L323">
        <v>0.69</v>
      </c>
      <c r="M323">
        <v>0</v>
      </c>
      <c r="N323">
        <v>4</v>
      </c>
      <c r="O323">
        <v>48</v>
      </c>
      <c r="P323">
        <v>52</v>
      </c>
      <c r="S323" t="str">
        <f>IF(Dataset_A[[#This Row],[Hr]]&gt;=19,"Evening Time",IF(Dataset_A[[#This Row],[Hr]]&gt;=9,"Day Time",IF(Dataset_A[[#This Row],[Hr]]&gt;=0,"Night Time","")))</f>
        <v>Evening Time</v>
      </c>
    </row>
    <row r="324" spans="1:19" x14ac:dyDescent="0.2">
      <c r="A324">
        <v>323</v>
      </c>
      <c r="B324" s="3">
        <v>40557</v>
      </c>
      <c r="C324">
        <v>1</v>
      </c>
      <c r="D324">
        <v>2011</v>
      </c>
      <c r="E324" t="s">
        <v>10</v>
      </c>
      <c r="F324">
        <v>22</v>
      </c>
      <c r="G324" t="b">
        <v>0</v>
      </c>
      <c r="H324" t="s">
        <v>17</v>
      </c>
      <c r="I324">
        <v>2</v>
      </c>
      <c r="J324">
        <v>0.16</v>
      </c>
      <c r="K324">
        <v>0.2273</v>
      </c>
      <c r="L324">
        <v>0.69</v>
      </c>
      <c r="M324">
        <v>0</v>
      </c>
      <c r="N324">
        <v>2</v>
      </c>
      <c r="O324">
        <v>34</v>
      </c>
      <c r="P324">
        <v>36</v>
      </c>
      <c r="S324" t="str">
        <f>IF(Dataset_A[[#This Row],[Hr]]&gt;=19,"Evening Time",IF(Dataset_A[[#This Row],[Hr]]&gt;=9,"Day Time",IF(Dataset_A[[#This Row],[Hr]]&gt;=0,"Night Time","")))</f>
        <v>Evening Time</v>
      </c>
    </row>
    <row r="325" spans="1:19" x14ac:dyDescent="0.2">
      <c r="A325">
        <v>324</v>
      </c>
      <c r="B325" s="3">
        <v>40557</v>
      </c>
      <c r="C325">
        <v>1</v>
      </c>
      <c r="D325">
        <v>2011</v>
      </c>
      <c r="E325" t="s">
        <v>10</v>
      </c>
      <c r="F325">
        <v>23</v>
      </c>
      <c r="G325" t="b">
        <v>0</v>
      </c>
      <c r="H325" t="s">
        <v>17</v>
      </c>
      <c r="I325">
        <v>2</v>
      </c>
      <c r="J325">
        <v>0.18</v>
      </c>
      <c r="K325">
        <v>0.2424</v>
      </c>
      <c r="L325">
        <v>0.55000000000000004</v>
      </c>
      <c r="M325">
        <v>0</v>
      </c>
      <c r="N325">
        <v>1</v>
      </c>
      <c r="O325">
        <v>26</v>
      </c>
      <c r="P325">
        <v>27</v>
      </c>
      <c r="S325" t="str">
        <f>IF(Dataset_A[[#This Row],[Hr]]&gt;=19,"Evening Time",IF(Dataset_A[[#This Row],[Hr]]&gt;=9,"Day Time",IF(Dataset_A[[#This Row],[Hr]]&gt;=0,"Night Time","")))</f>
        <v>Evening Time</v>
      </c>
    </row>
    <row r="326" spans="1:19" x14ac:dyDescent="0.2">
      <c r="A326">
        <v>325</v>
      </c>
      <c r="B326" s="3">
        <v>40558</v>
      </c>
      <c r="C326">
        <v>1</v>
      </c>
      <c r="D326">
        <v>2011</v>
      </c>
      <c r="E326" t="s">
        <v>10</v>
      </c>
      <c r="F326">
        <v>0</v>
      </c>
      <c r="G326" t="b">
        <v>0</v>
      </c>
      <c r="H326" t="s">
        <v>11</v>
      </c>
      <c r="I326">
        <v>1</v>
      </c>
      <c r="J326">
        <v>0.18</v>
      </c>
      <c r="K326">
        <v>0.2424</v>
      </c>
      <c r="L326">
        <v>0.55000000000000004</v>
      </c>
      <c r="M326">
        <v>0</v>
      </c>
      <c r="N326">
        <v>3</v>
      </c>
      <c r="O326">
        <v>25</v>
      </c>
      <c r="P326">
        <v>28</v>
      </c>
      <c r="S326" t="str">
        <f>IF(Dataset_A[[#This Row],[Hr]]&gt;=19,"Evening Time",IF(Dataset_A[[#This Row],[Hr]]&gt;=9,"Day Time",IF(Dataset_A[[#This Row],[Hr]]&gt;=0,"Night Time","")))</f>
        <v>Night Time</v>
      </c>
    </row>
    <row r="327" spans="1:19" x14ac:dyDescent="0.2">
      <c r="A327">
        <v>326</v>
      </c>
      <c r="B327" s="3">
        <v>40558</v>
      </c>
      <c r="C327">
        <v>1</v>
      </c>
      <c r="D327">
        <v>2011</v>
      </c>
      <c r="E327" t="s">
        <v>10</v>
      </c>
      <c r="F327">
        <v>1</v>
      </c>
      <c r="G327" t="b">
        <v>0</v>
      </c>
      <c r="H327" t="s">
        <v>11</v>
      </c>
      <c r="I327">
        <v>2</v>
      </c>
      <c r="J327">
        <v>0.16</v>
      </c>
      <c r="K327">
        <v>0.19700000000000001</v>
      </c>
      <c r="L327">
        <v>0.59</v>
      </c>
      <c r="M327">
        <v>8.9599999999999999E-2</v>
      </c>
      <c r="N327">
        <v>2</v>
      </c>
      <c r="O327">
        <v>18</v>
      </c>
      <c r="P327">
        <v>20</v>
      </c>
      <c r="S327" t="str">
        <f>IF(Dataset_A[[#This Row],[Hr]]&gt;=19,"Evening Time",IF(Dataset_A[[#This Row],[Hr]]&gt;=9,"Day Time",IF(Dataset_A[[#This Row],[Hr]]&gt;=0,"Night Time","")))</f>
        <v>Night Time</v>
      </c>
    </row>
    <row r="328" spans="1:19" x14ac:dyDescent="0.2">
      <c r="A328">
        <v>327</v>
      </c>
      <c r="B328" s="3">
        <v>40558</v>
      </c>
      <c r="C328">
        <v>1</v>
      </c>
      <c r="D328">
        <v>2011</v>
      </c>
      <c r="E328" t="s">
        <v>10</v>
      </c>
      <c r="F328">
        <v>2</v>
      </c>
      <c r="G328" t="b">
        <v>0</v>
      </c>
      <c r="H328" t="s">
        <v>11</v>
      </c>
      <c r="I328">
        <v>2</v>
      </c>
      <c r="J328">
        <v>0.16</v>
      </c>
      <c r="K328">
        <v>0.19700000000000001</v>
      </c>
      <c r="L328">
        <v>0.59</v>
      </c>
      <c r="M328">
        <v>8.9599999999999999E-2</v>
      </c>
      <c r="N328">
        <v>0</v>
      </c>
      <c r="O328">
        <v>12</v>
      </c>
      <c r="P328">
        <v>12</v>
      </c>
      <c r="S328" t="str">
        <f>IF(Dataset_A[[#This Row],[Hr]]&gt;=19,"Evening Time",IF(Dataset_A[[#This Row],[Hr]]&gt;=9,"Day Time",IF(Dataset_A[[#This Row],[Hr]]&gt;=0,"Night Time","")))</f>
        <v>Night Time</v>
      </c>
    </row>
    <row r="329" spans="1:19" x14ac:dyDescent="0.2">
      <c r="A329">
        <v>328</v>
      </c>
      <c r="B329" s="3">
        <v>40558</v>
      </c>
      <c r="C329">
        <v>1</v>
      </c>
      <c r="D329">
        <v>2011</v>
      </c>
      <c r="E329" t="s">
        <v>10</v>
      </c>
      <c r="F329">
        <v>3</v>
      </c>
      <c r="G329" t="b">
        <v>0</v>
      </c>
      <c r="H329" t="s">
        <v>11</v>
      </c>
      <c r="I329">
        <v>2</v>
      </c>
      <c r="J329">
        <v>0.16</v>
      </c>
      <c r="K329">
        <v>0.2273</v>
      </c>
      <c r="L329">
        <v>0.59</v>
      </c>
      <c r="M329">
        <v>0</v>
      </c>
      <c r="N329">
        <v>1</v>
      </c>
      <c r="O329">
        <v>7</v>
      </c>
      <c r="P329">
        <v>8</v>
      </c>
      <c r="S329" t="str">
        <f>IF(Dataset_A[[#This Row],[Hr]]&gt;=19,"Evening Time",IF(Dataset_A[[#This Row],[Hr]]&gt;=9,"Day Time",IF(Dataset_A[[#This Row],[Hr]]&gt;=0,"Night Time","")))</f>
        <v>Night Time</v>
      </c>
    </row>
    <row r="330" spans="1:19" x14ac:dyDescent="0.2">
      <c r="A330">
        <v>329</v>
      </c>
      <c r="B330" s="3">
        <v>40558</v>
      </c>
      <c r="C330">
        <v>1</v>
      </c>
      <c r="D330">
        <v>2011</v>
      </c>
      <c r="E330" t="s">
        <v>10</v>
      </c>
      <c r="F330">
        <v>4</v>
      </c>
      <c r="G330" t="b">
        <v>0</v>
      </c>
      <c r="H330" t="s">
        <v>11</v>
      </c>
      <c r="I330">
        <v>2</v>
      </c>
      <c r="J330">
        <v>0.16</v>
      </c>
      <c r="K330">
        <v>0.2273</v>
      </c>
      <c r="L330">
        <v>0.59</v>
      </c>
      <c r="M330">
        <v>0</v>
      </c>
      <c r="N330">
        <v>0</v>
      </c>
      <c r="O330">
        <v>5</v>
      </c>
      <c r="P330">
        <v>5</v>
      </c>
      <c r="S330" t="str">
        <f>IF(Dataset_A[[#This Row],[Hr]]&gt;=19,"Evening Time",IF(Dataset_A[[#This Row],[Hr]]&gt;=9,"Day Time",IF(Dataset_A[[#This Row],[Hr]]&gt;=0,"Night Time","")))</f>
        <v>Night Time</v>
      </c>
    </row>
    <row r="331" spans="1:19" x14ac:dyDescent="0.2">
      <c r="A331">
        <v>330</v>
      </c>
      <c r="B331" s="3">
        <v>40558</v>
      </c>
      <c r="C331">
        <v>1</v>
      </c>
      <c r="D331">
        <v>2011</v>
      </c>
      <c r="E331" t="s">
        <v>10</v>
      </c>
      <c r="F331">
        <v>5</v>
      </c>
      <c r="G331" t="b">
        <v>0</v>
      </c>
      <c r="H331" t="s">
        <v>11</v>
      </c>
      <c r="I331">
        <v>1</v>
      </c>
      <c r="J331">
        <v>0.16</v>
      </c>
      <c r="K331">
        <v>0.2273</v>
      </c>
      <c r="L331">
        <v>0.59</v>
      </c>
      <c r="M331">
        <v>0</v>
      </c>
      <c r="N331">
        <v>0</v>
      </c>
      <c r="O331">
        <v>1</v>
      </c>
      <c r="P331">
        <v>1</v>
      </c>
      <c r="S331" t="str">
        <f>IF(Dataset_A[[#This Row],[Hr]]&gt;=19,"Evening Time",IF(Dataset_A[[#This Row],[Hr]]&gt;=9,"Day Time",IF(Dataset_A[[#This Row],[Hr]]&gt;=0,"Night Time","")))</f>
        <v>Night Time</v>
      </c>
    </row>
    <row r="332" spans="1:19" x14ac:dyDescent="0.2">
      <c r="A332">
        <v>331</v>
      </c>
      <c r="B332" s="3">
        <v>40558</v>
      </c>
      <c r="C332">
        <v>1</v>
      </c>
      <c r="D332">
        <v>2011</v>
      </c>
      <c r="E332" t="s">
        <v>10</v>
      </c>
      <c r="F332">
        <v>6</v>
      </c>
      <c r="G332" t="b">
        <v>0</v>
      </c>
      <c r="H332" t="s">
        <v>11</v>
      </c>
      <c r="I332">
        <v>1</v>
      </c>
      <c r="J332">
        <v>0.14000000000000001</v>
      </c>
      <c r="K332">
        <v>0.16669999999999999</v>
      </c>
      <c r="L332">
        <v>0.63</v>
      </c>
      <c r="M332">
        <v>0.1045</v>
      </c>
      <c r="N332">
        <v>1</v>
      </c>
      <c r="O332">
        <v>2</v>
      </c>
      <c r="P332">
        <v>3</v>
      </c>
      <c r="S332" t="str">
        <f>IF(Dataset_A[[#This Row],[Hr]]&gt;=19,"Evening Time",IF(Dataset_A[[#This Row],[Hr]]&gt;=9,"Day Time",IF(Dataset_A[[#This Row],[Hr]]&gt;=0,"Night Time","")))</f>
        <v>Night Time</v>
      </c>
    </row>
    <row r="333" spans="1:19" x14ac:dyDescent="0.2">
      <c r="A333">
        <v>332</v>
      </c>
      <c r="B333" s="3">
        <v>40558</v>
      </c>
      <c r="C333">
        <v>1</v>
      </c>
      <c r="D333">
        <v>2011</v>
      </c>
      <c r="E333" t="s">
        <v>10</v>
      </c>
      <c r="F333">
        <v>7</v>
      </c>
      <c r="G333" t="b">
        <v>0</v>
      </c>
      <c r="H333" t="s">
        <v>11</v>
      </c>
      <c r="I333">
        <v>1</v>
      </c>
      <c r="J333">
        <v>0.14000000000000001</v>
      </c>
      <c r="K333">
        <v>0.21210000000000001</v>
      </c>
      <c r="L333">
        <v>0.63</v>
      </c>
      <c r="M333">
        <v>0</v>
      </c>
      <c r="N333">
        <v>1</v>
      </c>
      <c r="O333">
        <v>9</v>
      </c>
      <c r="P333">
        <v>10</v>
      </c>
      <c r="S333" t="str">
        <f>IF(Dataset_A[[#This Row],[Hr]]&gt;=19,"Evening Time",IF(Dataset_A[[#This Row],[Hr]]&gt;=9,"Day Time",IF(Dataset_A[[#This Row],[Hr]]&gt;=0,"Night Time","")))</f>
        <v>Night Time</v>
      </c>
    </row>
    <row r="334" spans="1:19" x14ac:dyDescent="0.2">
      <c r="A334">
        <v>333</v>
      </c>
      <c r="B334" s="3">
        <v>40558</v>
      </c>
      <c r="C334">
        <v>1</v>
      </c>
      <c r="D334">
        <v>2011</v>
      </c>
      <c r="E334" t="s">
        <v>10</v>
      </c>
      <c r="F334">
        <v>8</v>
      </c>
      <c r="G334" t="b">
        <v>0</v>
      </c>
      <c r="H334" t="s">
        <v>11</v>
      </c>
      <c r="I334">
        <v>1</v>
      </c>
      <c r="J334">
        <v>0.14000000000000001</v>
      </c>
      <c r="K334">
        <v>0.1515</v>
      </c>
      <c r="L334">
        <v>0.63</v>
      </c>
      <c r="M334">
        <v>0.1343</v>
      </c>
      <c r="N334">
        <v>1</v>
      </c>
      <c r="O334">
        <v>22</v>
      </c>
      <c r="P334">
        <v>23</v>
      </c>
      <c r="S334" t="str">
        <f>IF(Dataset_A[[#This Row],[Hr]]&gt;=19,"Evening Time",IF(Dataset_A[[#This Row],[Hr]]&gt;=9,"Day Time",IF(Dataset_A[[#This Row],[Hr]]&gt;=0,"Night Time","")))</f>
        <v>Night Time</v>
      </c>
    </row>
    <row r="335" spans="1:19" x14ac:dyDescent="0.2">
      <c r="A335">
        <v>334</v>
      </c>
      <c r="B335" s="3">
        <v>40558</v>
      </c>
      <c r="C335">
        <v>1</v>
      </c>
      <c r="D335">
        <v>2011</v>
      </c>
      <c r="E335" t="s">
        <v>10</v>
      </c>
      <c r="F335">
        <v>9</v>
      </c>
      <c r="G335" t="b">
        <v>0</v>
      </c>
      <c r="H335" t="s">
        <v>11</v>
      </c>
      <c r="I335">
        <v>1</v>
      </c>
      <c r="J335">
        <v>0.16</v>
      </c>
      <c r="K335">
        <v>0.18179999999999999</v>
      </c>
      <c r="L335">
        <v>0.64</v>
      </c>
      <c r="M335">
        <v>0.1343</v>
      </c>
      <c r="N335">
        <v>2</v>
      </c>
      <c r="O335">
        <v>31</v>
      </c>
      <c r="P335">
        <v>33</v>
      </c>
      <c r="S335" t="str">
        <f>IF(Dataset_A[[#This Row],[Hr]]&gt;=19,"Evening Time",IF(Dataset_A[[#This Row],[Hr]]&gt;=9,"Day Time",IF(Dataset_A[[#This Row],[Hr]]&gt;=0,"Night Time","")))</f>
        <v>Day Time</v>
      </c>
    </row>
    <row r="336" spans="1:19" x14ac:dyDescent="0.2">
      <c r="A336">
        <v>335</v>
      </c>
      <c r="B336" s="3">
        <v>40558</v>
      </c>
      <c r="C336">
        <v>1</v>
      </c>
      <c r="D336">
        <v>2011</v>
      </c>
      <c r="E336" t="s">
        <v>10</v>
      </c>
      <c r="F336">
        <v>10</v>
      </c>
      <c r="G336" t="b">
        <v>0</v>
      </c>
      <c r="H336" t="s">
        <v>11</v>
      </c>
      <c r="I336">
        <v>1</v>
      </c>
      <c r="J336">
        <v>0.18</v>
      </c>
      <c r="K336">
        <v>0.19700000000000001</v>
      </c>
      <c r="L336">
        <v>0.59</v>
      </c>
      <c r="M336">
        <v>0.16420000000000001</v>
      </c>
      <c r="N336">
        <v>2</v>
      </c>
      <c r="O336">
        <v>57</v>
      </c>
      <c r="P336">
        <v>59</v>
      </c>
      <c r="S336" t="str">
        <f>IF(Dataset_A[[#This Row],[Hr]]&gt;=19,"Evening Time",IF(Dataset_A[[#This Row],[Hr]]&gt;=9,"Day Time",IF(Dataset_A[[#This Row],[Hr]]&gt;=0,"Night Time","")))</f>
        <v>Day Time</v>
      </c>
    </row>
    <row r="337" spans="1:19" x14ac:dyDescent="0.2">
      <c r="A337">
        <v>336</v>
      </c>
      <c r="B337" s="3">
        <v>40558</v>
      </c>
      <c r="C337">
        <v>1</v>
      </c>
      <c r="D337">
        <v>2011</v>
      </c>
      <c r="E337" t="s">
        <v>10</v>
      </c>
      <c r="F337">
        <v>11</v>
      </c>
      <c r="G337" t="b">
        <v>0</v>
      </c>
      <c r="H337" t="s">
        <v>11</v>
      </c>
      <c r="I337">
        <v>1</v>
      </c>
      <c r="J337">
        <v>0.2</v>
      </c>
      <c r="K337">
        <v>0.19700000000000001</v>
      </c>
      <c r="L337">
        <v>0.55000000000000004</v>
      </c>
      <c r="M337">
        <v>0.22389999999999999</v>
      </c>
      <c r="N337">
        <v>18</v>
      </c>
      <c r="O337">
        <v>54</v>
      </c>
      <c r="P337">
        <v>72</v>
      </c>
      <c r="S337" t="str">
        <f>IF(Dataset_A[[#This Row],[Hr]]&gt;=19,"Evening Time",IF(Dataset_A[[#This Row],[Hr]]&gt;=9,"Day Time",IF(Dataset_A[[#This Row],[Hr]]&gt;=0,"Night Time","")))</f>
        <v>Day Time</v>
      </c>
    </row>
    <row r="338" spans="1:19" x14ac:dyDescent="0.2">
      <c r="A338">
        <v>337</v>
      </c>
      <c r="B338" s="3">
        <v>40558</v>
      </c>
      <c r="C338">
        <v>1</v>
      </c>
      <c r="D338">
        <v>2011</v>
      </c>
      <c r="E338" t="s">
        <v>10</v>
      </c>
      <c r="F338">
        <v>12</v>
      </c>
      <c r="G338" t="b">
        <v>0</v>
      </c>
      <c r="H338" t="s">
        <v>11</v>
      </c>
      <c r="I338">
        <v>1</v>
      </c>
      <c r="J338">
        <v>0.24</v>
      </c>
      <c r="K338">
        <v>0.2273</v>
      </c>
      <c r="L338">
        <v>0.48</v>
      </c>
      <c r="M338">
        <v>0.22389999999999999</v>
      </c>
      <c r="N338">
        <v>15</v>
      </c>
      <c r="O338">
        <v>74</v>
      </c>
      <c r="P338">
        <v>89</v>
      </c>
      <c r="S338" t="str">
        <f>IF(Dataset_A[[#This Row],[Hr]]&gt;=19,"Evening Time",IF(Dataset_A[[#This Row],[Hr]]&gt;=9,"Day Time",IF(Dataset_A[[#This Row],[Hr]]&gt;=0,"Night Time","")))</f>
        <v>Day Time</v>
      </c>
    </row>
    <row r="339" spans="1:19" x14ac:dyDescent="0.2">
      <c r="A339">
        <v>338</v>
      </c>
      <c r="B339" s="3">
        <v>40558</v>
      </c>
      <c r="C339">
        <v>1</v>
      </c>
      <c r="D339">
        <v>2011</v>
      </c>
      <c r="E339" t="s">
        <v>10</v>
      </c>
      <c r="F339">
        <v>13</v>
      </c>
      <c r="G339" t="b">
        <v>0</v>
      </c>
      <c r="H339" t="s">
        <v>11</v>
      </c>
      <c r="I339">
        <v>1</v>
      </c>
      <c r="J339">
        <v>0.28000000000000003</v>
      </c>
      <c r="K339">
        <v>0.2576</v>
      </c>
      <c r="L339">
        <v>0.38</v>
      </c>
      <c r="M339">
        <v>0.29849999999999999</v>
      </c>
      <c r="N339">
        <v>21</v>
      </c>
      <c r="O339">
        <v>80</v>
      </c>
      <c r="P339">
        <v>101</v>
      </c>
      <c r="S339" t="str">
        <f>IF(Dataset_A[[#This Row],[Hr]]&gt;=19,"Evening Time",IF(Dataset_A[[#This Row],[Hr]]&gt;=9,"Day Time",IF(Dataset_A[[#This Row],[Hr]]&gt;=0,"Night Time","")))</f>
        <v>Day Time</v>
      </c>
    </row>
    <row r="340" spans="1:19" x14ac:dyDescent="0.2">
      <c r="A340">
        <v>339</v>
      </c>
      <c r="B340" s="3">
        <v>40558</v>
      </c>
      <c r="C340">
        <v>1</v>
      </c>
      <c r="D340">
        <v>2011</v>
      </c>
      <c r="E340" t="s">
        <v>10</v>
      </c>
      <c r="F340">
        <v>14</v>
      </c>
      <c r="G340" t="b">
        <v>0</v>
      </c>
      <c r="H340" t="s">
        <v>11</v>
      </c>
      <c r="I340">
        <v>1</v>
      </c>
      <c r="J340">
        <v>0.3</v>
      </c>
      <c r="K340">
        <v>0.28789999999999999</v>
      </c>
      <c r="L340">
        <v>0.39</v>
      </c>
      <c r="M340">
        <v>0.28360000000000002</v>
      </c>
      <c r="N340">
        <v>26</v>
      </c>
      <c r="O340">
        <v>92</v>
      </c>
      <c r="P340">
        <v>118</v>
      </c>
      <c r="S340" t="str">
        <f>IF(Dataset_A[[#This Row],[Hr]]&gt;=19,"Evening Time",IF(Dataset_A[[#This Row],[Hr]]&gt;=9,"Day Time",IF(Dataset_A[[#This Row],[Hr]]&gt;=0,"Night Time","")))</f>
        <v>Day Time</v>
      </c>
    </row>
    <row r="341" spans="1:19" x14ac:dyDescent="0.2">
      <c r="A341">
        <v>340</v>
      </c>
      <c r="B341" s="3">
        <v>40558</v>
      </c>
      <c r="C341">
        <v>1</v>
      </c>
      <c r="D341">
        <v>2011</v>
      </c>
      <c r="E341" t="s">
        <v>10</v>
      </c>
      <c r="F341">
        <v>15</v>
      </c>
      <c r="G341" t="b">
        <v>0</v>
      </c>
      <c r="H341" t="s">
        <v>11</v>
      </c>
      <c r="I341">
        <v>2</v>
      </c>
      <c r="J341">
        <v>0.32</v>
      </c>
      <c r="K341">
        <v>0.31819999999999998</v>
      </c>
      <c r="L341">
        <v>0.36</v>
      </c>
      <c r="M341">
        <v>0.19400000000000001</v>
      </c>
      <c r="N341">
        <v>21</v>
      </c>
      <c r="O341">
        <v>108</v>
      </c>
      <c r="P341">
        <v>129</v>
      </c>
      <c r="S341" t="str">
        <f>IF(Dataset_A[[#This Row],[Hr]]&gt;=19,"Evening Time",IF(Dataset_A[[#This Row],[Hr]]&gt;=9,"Day Time",IF(Dataset_A[[#This Row],[Hr]]&gt;=0,"Night Time","")))</f>
        <v>Day Time</v>
      </c>
    </row>
    <row r="342" spans="1:19" x14ac:dyDescent="0.2">
      <c r="A342">
        <v>341</v>
      </c>
      <c r="B342" s="3">
        <v>40558</v>
      </c>
      <c r="C342">
        <v>1</v>
      </c>
      <c r="D342">
        <v>2011</v>
      </c>
      <c r="E342" t="s">
        <v>10</v>
      </c>
      <c r="F342">
        <v>16</v>
      </c>
      <c r="G342" t="b">
        <v>0</v>
      </c>
      <c r="H342" t="s">
        <v>11</v>
      </c>
      <c r="I342">
        <v>2</v>
      </c>
      <c r="J342">
        <v>0.34</v>
      </c>
      <c r="K342">
        <v>0.33329999999999999</v>
      </c>
      <c r="L342">
        <v>0.34</v>
      </c>
      <c r="M342">
        <v>0.19400000000000001</v>
      </c>
      <c r="N342">
        <v>33</v>
      </c>
      <c r="O342">
        <v>95</v>
      </c>
      <c r="P342">
        <v>128</v>
      </c>
      <c r="S342" t="str">
        <f>IF(Dataset_A[[#This Row],[Hr]]&gt;=19,"Evening Time",IF(Dataset_A[[#This Row],[Hr]]&gt;=9,"Day Time",IF(Dataset_A[[#This Row],[Hr]]&gt;=0,"Night Time","")))</f>
        <v>Day Time</v>
      </c>
    </row>
    <row r="343" spans="1:19" x14ac:dyDescent="0.2">
      <c r="A343">
        <v>342</v>
      </c>
      <c r="B343" s="3">
        <v>40558</v>
      </c>
      <c r="C343">
        <v>1</v>
      </c>
      <c r="D343">
        <v>2011</v>
      </c>
      <c r="E343" t="s">
        <v>10</v>
      </c>
      <c r="F343">
        <v>17</v>
      </c>
      <c r="G343" t="b">
        <v>0</v>
      </c>
      <c r="H343" t="s">
        <v>11</v>
      </c>
      <c r="I343">
        <v>2</v>
      </c>
      <c r="J343">
        <v>0.32</v>
      </c>
      <c r="K343">
        <v>0.30299999999999999</v>
      </c>
      <c r="L343">
        <v>0.36</v>
      </c>
      <c r="M343">
        <v>0.28360000000000002</v>
      </c>
      <c r="N343">
        <v>29</v>
      </c>
      <c r="O343">
        <v>54</v>
      </c>
      <c r="P343">
        <v>83</v>
      </c>
      <c r="S343" t="str">
        <f>IF(Dataset_A[[#This Row],[Hr]]&gt;=19,"Evening Time",IF(Dataset_A[[#This Row],[Hr]]&gt;=9,"Day Time",IF(Dataset_A[[#This Row],[Hr]]&gt;=0,"Night Time","")))</f>
        <v>Day Time</v>
      </c>
    </row>
    <row r="344" spans="1:19" x14ac:dyDescent="0.2">
      <c r="A344">
        <v>343</v>
      </c>
      <c r="B344" s="3">
        <v>40558</v>
      </c>
      <c r="C344">
        <v>1</v>
      </c>
      <c r="D344">
        <v>2011</v>
      </c>
      <c r="E344" t="s">
        <v>10</v>
      </c>
      <c r="F344">
        <v>18</v>
      </c>
      <c r="G344" t="b">
        <v>0</v>
      </c>
      <c r="H344" t="s">
        <v>11</v>
      </c>
      <c r="I344">
        <v>2</v>
      </c>
      <c r="J344">
        <v>0.3</v>
      </c>
      <c r="K344">
        <v>0.28789999999999999</v>
      </c>
      <c r="L344">
        <v>0.45</v>
      </c>
      <c r="M344">
        <v>0.25369999999999998</v>
      </c>
      <c r="N344">
        <v>15</v>
      </c>
      <c r="O344">
        <v>69</v>
      </c>
      <c r="P344">
        <v>84</v>
      </c>
      <c r="S344" t="str">
        <f>IF(Dataset_A[[#This Row],[Hr]]&gt;=19,"Evening Time",IF(Dataset_A[[#This Row],[Hr]]&gt;=9,"Day Time",IF(Dataset_A[[#This Row],[Hr]]&gt;=0,"Night Time","")))</f>
        <v>Day Time</v>
      </c>
    </row>
    <row r="345" spans="1:19" x14ac:dyDescent="0.2">
      <c r="A345">
        <v>344</v>
      </c>
      <c r="B345" s="3">
        <v>40558</v>
      </c>
      <c r="C345">
        <v>1</v>
      </c>
      <c r="D345">
        <v>2011</v>
      </c>
      <c r="E345" t="s">
        <v>10</v>
      </c>
      <c r="F345">
        <v>19</v>
      </c>
      <c r="G345" t="b">
        <v>0</v>
      </c>
      <c r="H345" t="s">
        <v>11</v>
      </c>
      <c r="I345">
        <v>2</v>
      </c>
      <c r="J345">
        <v>0.32</v>
      </c>
      <c r="K345">
        <v>0.30299999999999999</v>
      </c>
      <c r="L345">
        <v>0.39</v>
      </c>
      <c r="M345">
        <v>0.25369999999999998</v>
      </c>
      <c r="N345">
        <v>14</v>
      </c>
      <c r="O345">
        <v>60</v>
      </c>
      <c r="P345">
        <v>74</v>
      </c>
      <c r="S345" t="str">
        <f>IF(Dataset_A[[#This Row],[Hr]]&gt;=19,"Evening Time",IF(Dataset_A[[#This Row],[Hr]]&gt;=9,"Day Time",IF(Dataset_A[[#This Row],[Hr]]&gt;=0,"Night Time","")))</f>
        <v>Evening Time</v>
      </c>
    </row>
    <row r="346" spans="1:19" x14ac:dyDescent="0.2">
      <c r="A346">
        <v>345</v>
      </c>
      <c r="B346" s="3">
        <v>40558</v>
      </c>
      <c r="C346">
        <v>1</v>
      </c>
      <c r="D346">
        <v>2011</v>
      </c>
      <c r="E346" t="s">
        <v>10</v>
      </c>
      <c r="F346">
        <v>20</v>
      </c>
      <c r="G346" t="b">
        <v>0</v>
      </c>
      <c r="H346" t="s">
        <v>11</v>
      </c>
      <c r="I346">
        <v>2</v>
      </c>
      <c r="J346">
        <v>0.32</v>
      </c>
      <c r="K346">
        <v>0.30299999999999999</v>
      </c>
      <c r="L346">
        <v>0.39</v>
      </c>
      <c r="M346">
        <v>0.25369999999999998</v>
      </c>
      <c r="N346">
        <v>6</v>
      </c>
      <c r="O346">
        <v>35</v>
      </c>
      <c r="P346">
        <v>41</v>
      </c>
      <c r="S346" t="str">
        <f>IF(Dataset_A[[#This Row],[Hr]]&gt;=19,"Evening Time",IF(Dataset_A[[#This Row],[Hr]]&gt;=9,"Day Time",IF(Dataset_A[[#This Row],[Hr]]&gt;=0,"Night Time","")))</f>
        <v>Evening Time</v>
      </c>
    </row>
    <row r="347" spans="1:19" x14ac:dyDescent="0.2">
      <c r="A347">
        <v>346</v>
      </c>
      <c r="B347" s="3">
        <v>40558</v>
      </c>
      <c r="C347">
        <v>1</v>
      </c>
      <c r="D347">
        <v>2011</v>
      </c>
      <c r="E347" t="s">
        <v>10</v>
      </c>
      <c r="F347">
        <v>21</v>
      </c>
      <c r="G347" t="b">
        <v>0</v>
      </c>
      <c r="H347" t="s">
        <v>11</v>
      </c>
      <c r="I347">
        <v>2</v>
      </c>
      <c r="J347">
        <v>0.32</v>
      </c>
      <c r="K347">
        <v>0.30299999999999999</v>
      </c>
      <c r="L347">
        <v>0.39</v>
      </c>
      <c r="M347">
        <v>0.22389999999999999</v>
      </c>
      <c r="N347">
        <v>6</v>
      </c>
      <c r="O347">
        <v>51</v>
      </c>
      <c r="P347">
        <v>57</v>
      </c>
      <c r="S347" t="str">
        <f>IF(Dataset_A[[#This Row],[Hr]]&gt;=19,"Evening Time",IF(Dataset_A[[#This Row],[Hr]]&gt;=9,"Day Time",IF(Dataset_A[[#This Row],[Hr]]&gt;=0,"Night Time","")))</f>
        <v>Evening Time</v>
      </c>
    </row>
    <row r="348" spans="1:19" x14ac:dyDescent="0.2">
      <c r="A348">
        <v>347</v>
      </c>
      <c r="B348" s="3">
        <v>40558</v>
      </c>
      <c r="C348">
        <v>1</v>
      </c>
      <c r="D348">
        <v>2011</v>
      </c>
      <c r="E348" t="s">
        <v>10</v>
      </c>
      <c r="F348">
        <v>22</v>
      </c>
      <c r="G348" t="b">
        <v>0</v>
      </c>
      <c r="H348" t="s">
        <v>11</v>
      </c>
      <c r="I348">
        <v>2</v>
      </c>
      <c r="J348">
        <v>0.3</v>
      </c>
      <c r="K348">
        <v>0.31819999999999998</v>
      </c>
      <c r="L348">
        <v>0.42</v>
      </c>
      <c r="M348">
        <v>0.1045</v>
      </c>
      <c r="N348">
        <v>0</v>
      </c>
      <c r="O348">
        <v>26</v>
      </c>
      <c r="P348">
        <v>26</v>
      </c>
      <c r="S348" t="str">
        <f>IF(Dataset_A[[#This Row],[Hr]]&gt;=19,"Evening Time",IF(Dataset_A[[#This Row],[Hr]]&gt;=9,"Day Time",IF(Dataset_A[[#This Row],[Hr]]&gt;=0,"Night Time","")))</f>
        <v>Evening Time</v>
      </c>
    </row>
    <row r="349" spans="1:19" x14ac:dyDescent="0.2">
      <c r="A349">
        <v>348</v>
      </c>
      <c r="B349" s="3">
        <v>40558</v>
      </c>
      <c r="C349">
        <v>1</v>
      </c>
      <c r="D349">
        <v>2011</v>
      </c>
      <c r="E349" t="s">
        <v>10</v>
      </c>
      <c r="F349">
        <v>23</v>
      </c>
      <c r="G349" t="b">
        <v>0</v>
      </c>
      <c r="H349" t="s">
        <v>11</v>
      </c>
      <c r="I349">
        <v>1</v>
      </c>
      <c r="J349">
        <v>0.3</v>
      </c>
      <c r="K349">
        <v>0.28789999999999999</v>
      </c>
      <c r="L349">
        <v>0.45</v>
      </c>
      <c r="M349">
        <v>0.28360000000000002</v>
      </c>
      <c r="N349">
        <v>5</v>
      </c>
      <c r="O349">
        <v>39</v>
      </c>
      <c r="P349">
        <v>44</v>
      </c>
      <c r="S349" t="str">
        <f>IF(Dataset_A[[#This Row],[Hr]]&gt;=19,"Evening Time",IF(Dataset_A[[#This Row],[Hr]]&gt;=9,"Day Time",IF(Dataset_A[[#This Row],[Hr]]&gt;=0,"Night Time","")))</f>
        <v>Evening Time</v>
      </c>
    </row>
    <row r="350" spans="1:19" x14ac:dyDescent="0.2">
      <c r="A350">
        <v>349</v>
      </c>
      <c r="B350" s="3">
        <v>40559</v>
      </c>
      <c r="C350">
        <v>1</v>
      </c>
      <c r="D350">
        <v>2011</v>
      </c>
      <c r="E350" t="s">
        <v>10</v>
      </c>
      <c r="F350">
        <v>0</v>
      </c>
      <c r="G350" t="b">
        <v>1</v>
      </c>
      <c r="H350" t="s">
        <v>12</v>
      </c>
      <c r="I350">
        <v>1</v>
      </c>
      <c r="J350">
        <v>0.26</v>
      </c>
      <c r="K350">
        <v>0.30299999999999999</v>
      </c>
      <c r="L350">
        <v>0.56000000000000005</v>
      </c>
      <c r="M350">
        <v>0</v>
      </c>
      <c r="N350">
        <v>6</v>
      </c>
      <c r="O350">
        <v>33</v>
      </c>
      <c r="P350">
        <v>39</v>
      </c>
      <c r="S350" t="str">
        <f>IF(Dataset_A[[#This Row],[Hr]]&gt;=19,"Evening Time",IF(Dataset_A[[#This Row],[Hr]]&gt;=9,"Day Time",IF(Dataset_A[[#This Row],[Hr]]&gt;=0,"Night Time","")))</f>
        <v>Night Time</v>
      </c>
    </row>
    <row r="351" spans="1:19" x14ac:dyDescent="0.2">
      <c r="A351">
        <v>350</v>
      </c>
      <c r="B351" s="3">
        <v>40559</v>
      </c>
      <c r="C351">
        <v>1</v>
      </c>
      <c r="D351">
        <v>2011</v>
      </c>
      <c r="E351" t="s">
        <v>10</v>
      </c>
      <c r="F351">
        <v>1</v>
      </c>
      <c r="G351" t="b">
        <v>1</v>
      </c>
      <c r="H351" t="s">
        <v>12</v>
      </c>
      <c r="I351">
        <v>1</v>
      </c>
      <c r="J351">
        <v>0.26</v>
      </c>
      <c r="K351">
        <v>0.2727</v>
      </c>
      <c r="L351">
        <v>0.56000000000000005</v>
      </c>
      <c r="M351">
        <v>0.1343</v>
      </c>
      <c r="N351">
        <v>4</v>
      </c>
      <c r="O351">
        <v>19</v>
      </c>
      <c r="P351">
        <v>23</v>
      </c>
      <c r="S351" t="str">
        <f>IF(Dataset_A[[#This Row],[Hr]]&gt;=19,"Evening Time",IF(Dataset_A[[#This Row],[Hr]]&gt;=9,"Day Time",IF(Dataset_A[[#This Row],[Hr]]&gt;=0,"Night Time","")))</f>
        <v>Night Time</v>
      </c>
    </row>
    <row r="352" spans="1:19" x14ac:dyDescent="0.2">
      <c r="A352">
        <v>351</v>
      </c>
      <c r="B352" s="3">
        <v>40559</v>
      </c>
      <c r="C352">
        <v>1</v>
      </c>
      <c r="D352">
        <v>2011</v>
      </c>
      <c r="E352" t="s">
        <v>10</v>
      </c>
      <c r="F352">
        <v>2</v>
      </c>
      <c r="G352" t="b">
        <v>1</v>
      </c>
      <c r="H352" t="s">
        <v>12</v>
      </c>
      <c r="I352">
        <v>1</v>
      </c>
      <c r="J352">
        <v>0.26</v>
      </c>
      <c r="K352">
        <v>0.28789999999999999</v>
      </c>
      <c r="L352">
        <v>0.56000000000000005</v>
      </c>
      <c r="M352">
        <v>8.9599999999999999E-2</v>
      </c>
      <c r="N352">
        <v>3</v>
      </c>
      <c r="O352">
        <v>13</v>
      </c>
      <c r="P352">
        <v>16</v>
      </c>
      <c r="S352" t="str">
        <f>IF(Dataset_A[[#This Row],[Hr]]&gt;=19,"Evening Time",IF(Dataset_A[[#This Row],[Hr]]&gt;=9,"Day Time",IF(Dataset_A[[#This Row],[Hr]]&gt;=0,"Night Time","")))</f>
        <v>Night Time</v>
      </c>
    </row>
    <row r="353" spans="1:19" x14ac:dyDescent="0.2">
      <c r="A353">
        <v>352</v>
      </c>
      <c r="B353" s="3">
        <v>40559</v>
      </c>
      <c r="C353">
        <v>1</v>
      </c>
      <c r="D353">
        <v>2011</v>
      </c>
      <c r="E353" t="s">
        <v>10</v>
      </c>
      <c r="F353">
        <v>3</v>
      </c>
      <c r="G353" t="b">
        <v>1</v>
      </c>
      <c r="H353" t="s">
        <v>12</v>
      </c>
      <c r="I353">
        <v>1</v>
      </c>
      <c r="J353">
        <v>0.22</v>
      </c>
      <c r="K353">
        <v>0.2727</v>
      </c>
      <c r="L353">
        <v>0.69</v>
      </c>
      <c r="M353">
        <v>0</v>
      </c>
      <c r="N353">
        <v>9</v>
      </c>
      <c r="O353">
        <v>6</v>
      </c>
      <c r="P353">
        <v>15</v>
      </c>
      <c r="S353" t="str">
        <f>IF(Dataset_A[[#This Row],[Hr]]&gt;=19,"Evening Time",IF(Dataset_A[[#This Row],[Hr]]&gt;=9,"Day Time",IF(Dataset_A[[#This Row],[Hr]]&gt;=0,"Night Time","")))</f>
        <v>Night Time</v>
      </c>
    </row>
    <row r="354" spans="1:19" x14ac:dyDescent="0.2">
      <c r="A354">
        <v>353</v>
      </c>
      <c r="B354" s="3">
        <v>40559</v>
      </c>
      <c r="C354">
        <v>1</v>
      </c>
      <c r="D354">
        <v>2011</v>
      </c>
      <c r="E354" t="s">
        <v>10</v>
      </c>
      <c r="F354">
        <v>4</v>
      </c>
      <c r="G354" t="b">
        <v>1</v>
      </c>
      <c r="H354" t="s">
        <v>12</v>
      </c>
      <c r="I354">
        <v>1</v>
      </c>
      <c r="J354">
        <v>0.26</v>
      </c>
      <c r="K354">
        <v>0.2576</v>
      </c>
      <c r="L354">
        <v>0.56000000000000005</v>
      </c>
      <c r="M354">
        <v>0.16420000000000001</v>
      </c>
      <c r="N354">
        <v>0</v>
      </c>
      <c r="O354">
        <v>1</v>
      </c>
      <c r="P354">
        <v>1</v>
      </c>
      <c r="S354" t="str">
        <f>IF(Dataset_A[[#This Row],[Hr]]&gt;=19,"Evening Time",IF(Dataset_A[[#This Row],[Hr]]&gt;=9,"Day Time",IF(Dataset_A[[#This Row],[Hr]]&gt;=0,"Night Time","")))</f>
        <v>Night Time</v>
      </c>
    </row>
    <row r="355" spans="1:19" x14ac:dyDescent="0.2">
      <c r="A355">
        <v>354</v>
      </c>
      <c r="B355" s="3">
        <v>40559</v>
      </c>
      <c r="C355">
        <v>1</v>
      </c>
      <c r="D355">
        <v>2011</v>
      </c>
      <c r="E355" t="s">
        <v>10</v>
      </c>
      <c r="F355">
        <v>5</v>
      </c>
      <c r="G355" t="b">
        <v>1</v>
      </c>
      <c r="H355" t="s">
        <v>12</v>
      </c>
      <c r="I355">
        <v>2</v>
      </c>
      <c r="J355">
        <v>0.26</v>
      </c>
      <c r="K355">
        <v>0.2576</v>
      </c>
      <c r="L355">
        <v>0.56000000000000005</v>
      </c>
      <c r="M355">
        <v>0.16420000000000001</v>
      </c>
      <c r="N355">
        <v>1</v>
      </c>
      <c r="O355">
        <v>1</v>
      </c>
      <c r="P355">
        <v>2</v>
      </c>
      <c r="S355" t="str">
        <f>IF(Dataset_A[[#This Row],[Hr]]&gt;=19,"Evening Time",IF(Dataset_A[[#This Row],[Hr]]&gt;=9,"Day Time",IF(Dataset_A[[#This Row],[Hr]]&gt;=0,"Night Time","")))</f>
        <v>Night Time</v>
      </c>
    </row>
    <row r="356" spans="1:19" x14ac:dyDescent="0.2">
      <c r="A356">
        <v>355</v>
      </c>
      <c r="B356" s="3">
        <v>40559</v>
      </c>
      <c r="C356">
        <v>1</v>
      </c>
      <c r="D356">
        <v>2011</v>
      </c>
      <c r="E356" t="s">
        <v>10</v>
      </c>
      <c r="F356">
        <v>6</v>
      </c>
      <c r="G356" t="b">
        <v>1</v>
      </c>
      <c r="H356" t="s">
        <v>12</v>
      </c>
      <c r="I356">
        <v>2</v>
      </c>
      <c r="J356">
        <v>0.26</v>
      </c>
      <c r="K356">
        <v>0.2576</v>
      </c>
      <c r="L356">
        <v>0.56000000000000005</v>
      </c>
      <c r="M356">
        <v>0.16420000000000001</v>
      </c>
      <c r="N356">
        <v>0</v>
      </c>
      <c r="O356">
        <v>1</v>
      </c>
      <c r="P356">
        <v>1</v>
      </c>
      <c r="S356" t="str">
        <f>IF(Dataset_A[[#This Row],[Hr]]&gt;=19,"Evening Time",IF(Dataset_A[[#This Row],[Hr]]&gt;=9,"Day Time",IF(Dataset_A[[#This Row],[Hr]]&gt;=0,"Night Time","")))</f>
        <v>Night Time</v>
      </c>
    </row>
    <row r="357" spans="1:19" x14ac:dyDescent="0.2">
      <c r="A357">
        <v>356</v>
      </c>
      <c r="B357" s="3">
        <v>40559</v>
      </c>
      <c r="C357">
        <v>1</v>
      </c>
      <c r="D357">
        <v>2011</v>
      </c>
      <c r="E357" t="s">
        <v>10</v>
      </c>
      <c r="F357">
        <v>7</v>
      </c>
      <c r="G357" t="b">
        <v>1</v>
      </c>
      <c r="H357" t="s">
        <v>12</v>
      </c>
      <c r="I357">
        <v>2</v>
      </c>
      <c r="J357">
        <v>0.24</v>
      </c>
      <c r="K357">
        <v>0.21210000000000001</v>
      </c>
      <c r="L357">
        <v>0.56000000000000005</v>
      </c>
      <c r="M357">
        <v>0.29849999999999999</v>
      </c>
      <c r="N357">
        <v>0</v>
      </c>
      <c r="O357">
        <v>3</v>
      </c>
      <c r="P357">
        <v>3</v>
      </c>
      <c r="S357" t="str">
        <f>IF(Dataset_A[[#This Row],[Hr]]&gt;=19,"Evening Time",IF(Dataset_A[[#This Row],[Hr]]&gt;=9,"Day Time",IF(Dataset_A[[#This Row],[Hr]]&gt;=0,"Night Time","")))</f>
        <v>Night Time</v>
      </c>
    </row>
    <row r="358" spans="1:19" x14ac:dyDescent="0.2">
      <c r="A358">
        <v>357</v>
      </c>
      <c r="B358" s="3">
        <v>40559</v>
      </c>
      <c r="C358">
        <v>1</v>
      </c>
      <c r="D358">
        <v>2011</v>
      </c>
      <c r="E358" t="s">
        <v>10</v>
      </c>
      <c r="F358">
        <v>8</v>
      </c>
      <c r="G358" t="b">
        <v>1</v>
      </c>
      <c r="H358" t="s">
        <v>12</v>
      </c>
      <c r="I358">
        <v>1</v>
      </c>
      <c r="J358">
        <v>0.22</v>
      </c>
      <c r="K358">
        <v>0.21210000000000001</v>
      </c>
      <c r="L358">
        <v>0.55000000000000004</v>
      </c>
      <c r="M358">
        <v>0.28360000000000002</v>
      </c>
      <c r="N358">
        <v>0</v>
      </c>
      <c r="O358">
        <v>18</v>
      </c>
      <c r="P358">
        <v>18</v>
      </c>
      <c r="S358" t="str">
        <f>IF(Dataset_A[[#This Row],[Hr]]&gt;=19,"Evening Time",IF(Dataset_A[[#This Row],[Hr]]&gt;=9,"Day Time",IF(Dataset_A[[#This Row],[Hr]]&gt;=0,"Night Time","")))</f>
        <v>Night Time</v>
      </c>
    </row>
    <row r="359" spans="1:19" x14ac:dyDescent="0.2">
      <c r="A359">
        <v>358</v>
      </c>
      <c r="B359" s="3">
        <v>40559</v>
      </c>
      <c r="C359">
        <v>1</v>
      </c>
      <c r="D359">
        <v>2011</v>
      </c>
      <c r="E359" t="s">
        <v>10</v>
      </c>
      <c r="F359">
        <v>9</v>
      </c>
      <c r="G359" t="b">
        <v>1</v>
      </c>
      <c r="H359" t="s">
        <v>12</v>
      </c>
      <c r="I359">
        <v>1</v>
      </c>
      <c r="J359">
        <v>0.22</v>
      </c>
      <c r="K359">
        <v>0.21210000000000001</v>
      </c>
      <c r="L359">
        <v>0.51</v>
      </c>
      <c r="M359">
        <v>0.25369999999999998</v>
      </c>
      <c r="N359">
        <v>3</v>
      </c>
      <c r="O359">
        <v>29</v>
      </c>
      <c r="P359">
        <v>32</v>
      </c>
      <c r="S359" t="str">
        <f>IF(Dataset_A[[#This Row],[Hr]]&gt;=19,"Evening Time",IF(Dataset_A[[#This Row],[Hr]]&gt;=9,"Day Time",IF(Dataset_A[[#This Row],[Hr]]&gt;=0,"Night Time","")))</f>
        <v>Day Time</v>
      </c>
    </row>
    <row r="360" spans="1:19" x14ac:dyDescent="0.2">
      <c r="A360">
        <v>359</v>
      </c>
      <c r="B360" s="3">
        <v>40559</v>
      </c>
      <c r="C360">
        <v>1</v>
      </c>
      <c r="D360">
        <v>2011</v>
      </c>
      <c r="E360" t="s">
        <v>10</v>
      </c>
      <c r="F360">
        <v>10</v>
      </c>
      <c r="G360" t="b">
        <v>1</v>
      </c>
      <c r="H360" t="s">
        <v>12</v>
      </c>
      <c r="I360">
        <v>1</v>
      </c>
      <c r="J360">
        <v>0.22</v>
      </c>
      <c r="K360">
        <v>0.21210000000000001</v>
      </c>
      <c r="L360">
        <v>0.51</v>
      </c>
      <c r="M360">
        <v>0.28360000000000002</v>
      </c>
      <c r="N360">
        <v>8</v>
      </c>
      <c r="O360">
        <v>71</v>
      </c>
      <c r="P360">
        <v>79</v>
      </c>
      <c r="S360" t="str">
        <f>IF(Dataset_A[[#This Row],[Hr]]&gt;=19,"Evening Time",IF(Dataset_A[[#This Row],[Hr]]&gt;=9,"Day Time",IF(Dataset_A[[#This Row],[Hr]]&gt;=0,"Night Time","")))</f>
        <v>Day Time</v>
      </c>
    </row>
    <row r="361" spans="1:19" x14ac:dyDescent="0.2">
      <c r="A361">
        <v>360</v>
      </c>
      <c r="B361" s="3">
        <v>40559</v>
      </c>
      <c r="C361">
        <v>1</v>
      </c>
      <c r="D361">
        <v>2011</v>
      </c>
      <c r="E361" t="s">
        <v>10</v>
      </c>
      <c r="F361">
        <v>11</v>
      </c>
      <c r="G361" t="b">
        <v>1</v>
      </c>
      <c r="H361" t="s">
        <v>12</v>
      </c>
      <c r="I361">
        <v>1</v>
      </c>
      <c r="J361">
        <v>0.24</v>
      </c>
      <c r="K361">
        <v>0.2273</v>
      </c>
      <c r="L361">
        <v>0.44</v>
      </c>
      <c r="M361">
        <v>0.25369999999999998</v>
      </c>
      <c r="N361">
        <v>23</v>
      </c>
      <c r="O361">
        <v>70</v>
      </c>
      <c r="P361">
        <v>93</v>
      </c>
      <c r="S361" t="str">
        <f>IF(Dataset_A[[#This Row],[Hr]]&gt;=19,"Evening Time",IF(Dataset_A[[#This Row],[Hr]]&gt;=9,"Day Time",IF(Dataset_A[[#This Row],[Hr]]&gt;=0,"Night Time","")))</f>
        <v>Day Time</v>
      </c>
    </row>
    <row r="362" spans="1:19" x14ac:dyDescent="0.2">
      <c r="A362">
        <v>361</v>
      </c>
      <c r="B362" s="3">
        <v>40559</v>
      </c>
      <c r="C362">
        <v>1</v>
      </c>
      <c r="D362">
        <v>2011</v>
      </c>
      <c r="E362" t="s">
        <v>10</v>
      </c>
      <c r="F362">
        <v>12</v>
      </c>
      <c r="G362" t="b">
        <v>1</v>
      </c>
      <c r="H362" t="s">
        <v>12</v>
      </c>
      <c r="I362">
        <v>1</v>
      </c>
      <c r="J362">
        <v>0.24</v>
      </c>
      <c r="K362">
        <v>0.21210000000000001</v>
      </c>
      <c r="L362">
        <v>0.41</v>
      </c>
      <c r="M362">
        <v>0.28360000000000002</v>
      </c>
      <c r="N362">
        <v>29</v>
      </c>
      <c r="O362">
        <v>75</v>
      </c>
      <c r="P362">
        <v>104</v>
      </c>
      <c r="S362" t="str">
        <f>IF(Dataset_A[[#This Row],[Hr]]&gt;=19,"Evening Time",IF(Dataset_A[[#This Row],[Hr]]&gt;=9,"Day Time",IF(Dataset_A[[#This Row],[Hr]]&gt;=0,"Night Time","")))</f>
        <v>Day Time</v>
      </c>
    </row>
    <row r="363" spans="1:19" x14ac:dyDescent="0.2">
      <c r="A363">
        <v>362</v>
      </c>
      <c r="B363" s="3">
        <v>40559</v>
      </c>
      <c r="C363">
        <v>1</v>
      </c>
      <c r="D363">
        <v>2011</v>
      </c>
      <c r="E363" t="s">
        <v>10</v>
      </c>
      <c r="F363">
        <v>13</v>
      </c>
      <c r="G363" t="b">
        <v>1</v>
      </c>
      <c r="H363" t="s">
        <v>12</v>
      </c>
      <c r="I363">
        <v>1</v>
      </c>
      <c r="J363">
        <v>0.26</v>
      </c>
      <c r="K363">
        <v>0.2273</v>
      </c>
      <c r="L363">
        <v>0.35</v>
      </c>
      <c r="M363">
        <v>0.29849999999999999</v>
      </c>
      <c r="N363">
        <v>23</v>
      </c>
      <c r="O363">
        <v>95</v>
      </c>
      <c r="P363">
        <v>118</v>
      </c>
      <c r="S363" t="str">
        <f>IF(Dataset_A[[#This Row],[Hr]]&gt;=19,"Evening Time",IF(Dataset_A[[#This Row],[Hr]]&gt;=9,"Day Time",IF(Dataset_A[[#This Row],[Hr]]&gt;=0,"Night Time","")))</f>
        <v>Day Time</v>
      </c>
    </row>
    <row r="364" spans="1:19" x14ac:dyDescent="0.2">
      <c r="A364">
        <v>363</v>
      </c>
      <c r="B364" s="3">
        <v>40559</v>
      </c>
      <c r="C364">
        <v>1</v>
      </c>
      <c r="D364">
        <v>2011</v>
      </c>
      <c r="E364" t="s">
        <v>10</v>
      </c>
      <c r="F364">
        <v>14</v>
      </c>
      <c r="G364" t="b">
        <v>1</v>
      </c>
      <c r="H364" t="s">
        <v>12</v>
      </c>
      <c r="I364">
        <v>1</v>
      </c>
      <c r="J364">
        <v>0.28000000000000003</v>
      </c>
      <c r="K364">
        <v>0.2727</v>
      </c>
      <c r="L364">
        <v>0.36</v>
      </c>
      <c r="M364">
        <v>0.25369999999999998</v>
      </c>
      <c r="N364">
        <v>22</v>
      </c>
      <c r="O364">
        <v>69</v>
      </c>
      <c r="P364">
        <v>91</v>
      </c>
      <c r="S364" t="str">
        <f>IF(Dataset_A[[#This Row],[Hr]]&gt;=19,"Evening Time",IF(Dataset_A[[#This Row],[Hr]]&gt;=9,"Day Time",IF(Dataset_A[[#This Row],[Hr]]&gt;=0,"Night Time","")))</f>
        <v>Day Time</v>
      </c>
    </row>
    <row r="365" spans="1:19" x14ac:dyDescent="0.2">
      <c r="A365">
        <v>364</v>
      </c>
      <c r="B365" s="3">
        <v>40559</v>
      </c>
      <c r="C365">
        <v>1</v>
      </c>
      <c r="D365">
        <v>2011</v>
      </c>
      <c r="E365" t="s">
        <v>10</v>
      </c>
      <c r="F365">
        <v>15</v>
      </c>
      <c r="G365" t="b">
        <v>1</v>
      </c>
      <c r="H365" t="s">
        <v>12</v>
      </c>
      <c r="I365">
        <v>1</v>
      </c>
      <c r="J365">
        <v>0.26</v>
      </c>
      <c r="K365">
        <v>0.2424</v>
      </c>
      <c r="L365">
        <v>0.38</v>
      </c>
      <c r="M365">
        <v>0.25369999999999998</v>
      </c>
      <c r="N365">
        <v>35</v>
      </c>
      <c r="O365">
        <v>78</v>
      </c>
      <c r="P365">
        <v>113</v>
      </c>
      <c r="S365" t="str">
        <f>IF(Dataset_A[[#This Row],[Hr]]&gt;=19,"Evening Time",IF(Dataset_A[[#This Row],[Hr]]&gt;=9,"Day Time",IF(Dataset_A[[#This Row],[Hr]]&gt;=0,"Night Time","")))</f>
        <v>Day Time</v>
      </c>
    </row>
    <row r="366" spans="1:19" x14ac:dyDescent="0.2">
      <c r="A366">
        <v>365</v>
      </c>
      <c r="B366" s="3">
        <v>40559</v>
      </c>
      <c r="C366">
        <v>1</v>
      </c>
      <c r="D366">
        <v>2011</v>
      </c>
      <c r="E366" t="s">
        <v>10</v>
      </c>
      <c r="F366">
        <v>16</v>
      </c>
      <c r="G366" t="b">
        <v>1</v>
      </c>
      <c r="H366" t="s">
        <v>12</v>
      </c>
      <c r="I366">
        <v>1</v>
      </c>
      <c r="J366">
        <v>0.24</v>
      </c>
      <c r="K366">
        <v>0.2273</v>
      </c>
      <c r="L366">
        <v>0.38</v>
      </c>
      <c r="M366">
        <v>0.22389999999999999</v>
      </c>
      <c r="N366">
        <v>22</v>
      </c>
      <c r="O366">
        <v>77</v>
      </c>
      <c r="P366">
        <v>99</v>
      </c>
      <c r="S366" t="str">
        <f>IF(Dataset_A[[#This Row],[Hr]]&gt;=19,"Evening Time",IF(Dataset_A[[#This Row],[Hr]]&gt;=9,"Day Time",IF(Dataset_A[[#This Row],[Hr]]&gt;=0,"Night Time","")))</f>
        <v>Day Time</v>
      </c>
    </row>
    <row r="367" spans="1:19" x14ac:dyDescent="0.2">
      <c r="A367">
        <v>366</v>
      </c>
      <c r="B367" s="3">
        <v>40559</v>
      </c>
      <c r="C367">
        <v>1</v>
      </c>
      <c r="D367">
        <v>2011</v>
      </c>
      <c r="E367" t="s">
        <v>10</v>
      </c>
      <c r="F367">
        <v>17</v>
      </c>
      <c r="G367" t="b">
        <v>1</v>
      </c>
      <c r="H367" t="s">
        <v>12</v>
      </c>
      <c r="I367">
        <v>1</v>
      </c>
      <c r="J367">
        <v>0.22</v>
      </c>
      <c r="K367">
        <v>0.21210000000000001</v>
      </c>
      <c r="L367">
        <v>0.37</v>
      </c>
      <c r="M367">
        <v>0.25369999999999998</v>
      </c>
      <c r="N367">
        <v>23</v>
      </c>
      <c r="O367">
        <v>82</v>
      </c>
      <c r="P367">
        <v>105</v>
      </c>
      <c r="S367" t="str">
        <f>IF(Dataset_A[[#This Row],[Hr]]&gt;=19,"Evening Time",IF(Dataset_A[[#This Row],[Hr]]&gt;=9,"Day Time",IF(Dataset_A[[#This Row],[Hr]]&gt;=0,"Night Time","")))</f>
        <v>Day Time</v>
      </c>
    </row>
    <row r="368" spans="1:19" x14ac:dyDescent="0.2">
      <c r="A368">
        <v>367</v>
      </c>
      <c r="B368" s="3">
        <v>40559</v>
      </c>
      <c r="C368">
        <v>1</v>
      </c>
      <c r="D368">
        <v>2011</v>
      </c>
      <c r="E368" t="s">
        <v>10</v>
      </c>
      <c r="F368">
        <v>18</v>
      </c>
      <c r="G368" t="b">
        <v>1</v>
      </c>
      <c r="H368" t="s">
        <v>12</v>
      </c>
      <c r="I368">
        <v>1</v>
      </c>
      <c r="J368">
        <v>0.2</v>
      </c>
      <c r="K368">
        <v>0.21210000000000001</v>
      </c>
      <c r="L368">
        <v>0.4</v>
      </c>
      <c r="M368">
        <v>0.16420000000000001</v>
      </c>
      <c r="N368">
        <v>11</v>
      </c>
      <c r="O368">
        <v>56</v>
      </c>
      <c r="P368">
        <v>67</v>
      </c>
      <c r="S368" t="str">
        <f>IF(Dataset_A[[#This Row],[Hr]]&gt;=19,"Evening Time",IF(Dataset_A[[#This Row],[Hr]]&gt;=9,"Day Time",IF(Dataset_A[[#This Row],[Hr]]&gt;=0,"Night Time","")))</f>
        <v>Day Time</v>
      </c>
    </row>
    <row r="369" spans="1:19" x14ac:dyDescent="0.2">
      <c r="A369">
        <v>368</v>
      </c>
      <c r="B369" s="3">
        <v>40559</v>
      </c>
      <c r="C369">
        <v>1</v>
      </c>
      <c r="D369">
        <v>2011</v>
      </c>
      <c r="E369" t="s">
        <v>10</v>
      </c>
      <c r="F369">
        <v>19</v>
      </c>
      <c r="G369" t="b">
        <v>1</v>
      </c>
      <c r="H369" t="s">
        <v>12</v>
      </c>
      <c r="I369">
        <v>1</v>
      </c>
      <c r="J369">
        <v>0.18</v>
      </c>
      <c r="K369">
        <v>0.19700000000000001</v>
      </c>
      <c r="L369">
        <v>0.47</v>
      </c>
      <c r="M369">
        <v>0.1343</v>
      </c>
      <c r="N369">
        <v>14</v>
      </c>
      <c r="O369">
        <v>47</v>
      </c>
      <c r="P369">
        <v>61</v>
      </c>
      <c r="S369" t="str">
        <f>IF(Dataset_A[[#This Row],[Hr]]&gt;=19,"Evening Time",IF(Dataset_A[[#This Row],[Hr]]&gt;=9,"Day Time",IF(Dataset_A[[#This Row],[Hr]]&gt;=0,"Night Time","")))</f>
        <v>Evening Time</v>
      </c>
    </row>
    <row r="370" spans="1:19" x14ac:dyDescent="0.2">
      <c r="A370">
        <v>369</v>
      </c>
      <c r="B370" s="3">
        <v>40559</v>
      </c>
      <c r="C370">
        <v>1</v>
      </c>
      <c r="D370">
        <v>2011</v>
      </c>
      <c r="E370" t="s">
        <v>10</v>
      </c>
      <c r="F370">
        <v>20</v>
      </c>
      <c r="G370" t="b">
        <v>1</v>
      </c>
      <c r="H370" t="s">
        <v>12</v>
      </c>
      <c r="I370">
        <v>1</v>
      </c>
      <c r="J370">
        <v>0.18</v>
      </c>
      <c r="K370">
        <v>0.19700000000000001</v>
      </c>
      <c r="L370">
        <v>0.47</v>
      </c>
      <c r="M370">
        <v>0.16420000000000001</v>
      </c>
      <c r="N370">
        <v>7</v>
      </c>
      <c r="O370">
        <v>50</v>
      </c>
      <c r="P370">
        <v>57</v>
      </c>
      <c r="S370" t="str">
        <f>IF(Dataset_A[[#This Row],[Hr]]&gt;=19,"Evening Time",IF(Dataset_A[[#This Row],[Hr]]&gt;=9,"Day Time",IF(Dataset_A[[#This Row],[Hr]]&gt;=0,"Night Time","")))</f>
        <v>Evening Time</v>
      </c>
    </row>
    <row r="371" spans="1:19" x14ac:dyDescent="0.2">
      <c r="A371">
        <v>370</v>
      </c>
      <c r="B371" s="3">
        <v>40559</v>
      </c>
      <c r="C371">
        <v>1</v>
      </c>
      <c r="D371">
        <v>2011</v>
      </c>
      <c r="E371" t="s">
        <v>10</v>
      </c>
      <c r="F371">
        <v>21</v>
      </c>
      <c r="G371" t="b">
        <v>1</v>
      </c>
      <c r="H371" t="s">
        <v>12</v>
      </c>
      <c r="I371">
        <v>1</v>
      </c>
      <c r="J371">
        <v>0.18</v>
      </c>
      <c r="K371">
        <v>0.19700000000000001</v>
      </c>
      <c r="L371">
        <v>0.51</v>
      </c>
      <c r="M371">
        <v>0.16420000000000001</v>
      </c>
      <c r="N371">
        <v>6</v>
      </c>
      <c r="O371">
        <v>22</v>
      </c>
      <c r="P371">
        <v>28</v>
      </c>
      <c r="S371" t="str">
        <f>IF(Dataset_A[[#This Row],[Hr]]&gt;=19,"Evening Time",IF(Dataset_A[[#This Row],[Hr]]&gt;=9,"Day Time",IF(Dataset_A[[#This Row],[Hr]]&gt;=0,"Night Time","")))</f>
        <v>Evening Time</v>
      </c>
    </row>
    <row r="372" spans="1:19" x14ac:dyDescent="0.2">
      <c r="A372">
        <v>371</v>
      </c>
      <c r="B372" s="3">
        <v>40559</v>
      </c>
      <c r="C372">
        <v>1</v>
      </c>
      <c r="D372">
        <v>2011</v>
      </c>
      <c r="E372" t="s">
        <v>10</v>
      </c>
      <c r="F372">
        <v>22</v>
      </c>
      <c r="G372" t="b">
        <v>1</v>
      </c>
      <c r="H372" t="s">
        <v>12</v>
      </c>
      <c r="I372">
        <v>2</v>
      </c>
      <c r="J372">
        <v>0.2</v>
      </c>
      <c r="K372">
        <v>0.21210000000000001</v>
      </c>
      <c r="L372">
        <v>0.49</v>
      </c>
      <c r="M372">
        <v>0.1343</v>
      </c>
      <c r="N372">
        <v>2</v>
      </c>
      <c r="O372">
        <v>19</v>
      </c>
      <c r="P372">
        <v>21</v>
      </c>
      <c r="S372" t="str">
        <f>IF(Dataset_A[[#This Row],[Hr]]&gt;=19,"Evening Time",IF(Dataset_A[[#This Row],[Hr]]&gt;=9,"Day Time",IF(Dataset_A[[#This Row],[Hr]]&gt;=0,"Night Time","")))</f>
        <v>Evening Time</v>
      </c>
    </row>
    <row r="373" spans="1:19" x14ac:dyDescent="0.2">
      <c r="A373">
        <v>372</v>
      </c>
      <c r="B373" s="3">
        <v>40559</v>
      </c>
      <c r="C373">
        <v>1</v>
      </c>
      <c r="D373">
        <v>2011</v>
      </c>
      <c r="E373" t="s">
        <v>10</v>
      </c>
      <c r="F373">
        <v>23</v>
      </c>
      <c r="G373" t="b">
        <v>1</v>
      </c>
      <c r="H373" t="s">
        <v>12</v>
      </c>
      <c r="I373">
        <v>2</v>
      </c>
      <c r="J373">
        <v>0.2</v>
      </c>
      <c r="K373">
        <v>0.2273</v>
      </c>
      <c r="L373">
        <v>0.4</v>
      </c>
      <c r="M373">
        <v>0.1045</v>
      </c>
      <c r="N373">
        <v>0</v>
      </c>
      <c r="O373">
        <v>18</v>
      </c>
      <c r="P373">
        <v>18</v>
      </c>
      <c r="S373" t="str">
        <f>IF(Dataset_A[[#This Row],[Hr]]&gt;=19,"Evening Time",IF(Dataset_A[[#This Row],[Hr]]&gt;=9,"Day Time",IF(Dataset_A[[#This Row],[Hr]]&gt;=0,"Night Time","")))</f>
        <v>Evening Time</v>
      </c>
    </row>
    <row r="374" spans="1:19" x14ac:dyDescent="0.2">
      <c r="A374">
        <v>373</v>
      </c>
      <c r="B374" s="3">
        <v>40560</v>
      </c>
      <c r="C374">
        <v>1</v>
      </c>
      <c r="D374">
        <v>2011</v>
      </c>
      <c r="E374" t="s">
        <v>10</v>
      </c>
      <c r="F374">
        <v>0</v>
      </c>
      <c r="G374" t="b">
        <v>0</v>
      </c>
      <c r="H374" t="s">
        <v>13</v>
      </c>
      <c r="I374">
        <v>2</v>
      </c>
      <c r="J374">
        <v>0.2</v>
      </c>
      <c r="K374">
        <v>0.19700000000000001</v>
      </c>
      <c r="L374">
        <v>0.47</v>
      </c>
      <c r="M374">
        <v>0.22389999999999999</v>
      </c>
      <c r="N374">
        <v>1</v>
      </c>
      <c r="O374">
        <v>16</v>
      </c>
      <c r="P374">
        <v>17</v>
      </c>
      <c r="S374" t="str">
        <f>IF(Dataset_A[[#This Row],[Hr]]&gt;=19,"Evening Time",IF(Dataset_A[[#This Row],[Hr]]&gt;=9,"Day Time",IF(Dataset_A[[#This Row],[Hr]]&gt;=0,"Night Time","")))</f>
        <v>Night Time</v>
      </c>
    </row>
    <row r="375" spans="1:19" x14ac:dyDescent="0.2">
      <c r="A375">
        <v>374</v>
      </c>
      <c r="B375" s="3">
        <v>40560</v>
      </c>
      <c r="C375">
        <v>1</v>
      </c>
      <c r="D375">
        <v>2011</v>
      </c>
      <c r="E375" t="s">
        <v>10</v>
      </c>
      <c r="F375">
        <v>1</v>
      </c>
      <c r="G375" t="b">
        <v>0</v>
      </c>
      <c r="H375" t="s">
        <v>13</v>
      </c>
      <c r="I375">
        <v>2</v>
      </c>
      <c r="J375">
        <v>0.2</v>
      </c>
      <c r="K375">
        <v>0.19700000000000001</v>
      </c>
      <c r="L375">
        <v>0.44</v>
      </c>
      <c r="M375">
        <v>0.19400000000000001</v>
      </c>
      <c r="N375">
        <v>1</v>
      </c>
      <c r="O375">
        <v>15</v>
      </c>
      <c r="P375">
        <v>16</v>
      </c>
      <c r="S375" t="str">
        <f>IF(Dataset_A[[#This Row],[Hr]]&gt;=19,"Evening Time",IF(Dataset_A[[#This Row],[Hr]]&gt;=9,"Day Time",IF(Dataset_A[[#This Row],[Hr]]&gt;=0,"Night Time","")))</f>
        <v>Night Time</v>
      </c>
    </row>
    <row r="376" spans="1:19" x14ac:dyDescent="0.2">
      <c r="A376">
        <v>375</v>
      </c>
      <c r="B376" s="3">
        <v>40560</v>
      </c>
      <c r="C376">
        <v>1</v>
      </c>
      <c r="D376">
        <v>2011</v>
      </c>
      <c r="E376" t="s">
        <v>10</v>
      </c>
      <c r="F376">
        <v>2</v>
      </c>
      <c r="G376" t="b">
        <v>0</v>
      </c>
      <c r="H376" t="s">
        <v>13</v>
      </c>
      <c r="I376">
        <v>2</v>
      </c>
      <c r="J376">
        <v>0.18</v>
      </c>
      <c r="K376">
        <v>0.16669999999999999</v>
      </c>
      <c r="L376">
        <v>0.43</v>
      </c>
      <c r="M376">
        <v>0.25369999999999998</v>
      </c>
      <c r="N376">
        <v>0</v>
      </c>
      <c r="O376">
        <v>8</v>
      </c>
      <c r="P376">
        <v>8</v>
      </c>
      <c r="S376" t="str">
        <f>IF(Dataset_A[[#This Row],[Hr]]&gt;=19,"Evening Time",IF(Dataset_A[[#This Row],[Hr]]&gt;=9,"Day Time",IF(Dataset_A[[#This Row],[Hr]]&gt;=0,"Night Time","")))</f>
        <v>Night Time</v>
      </c>
    </row>
    <row r="377" spans="1:19" x14ac:dyDescent="0.2">
      <c r="A377">
        <v>376</v>
      </c>
      <c r="B377" s="3">
        <v>40560</v>
      </c>
      <c r="C377">
        <v>1</v>
      </c>
      <c r="D377">
        <v>2011</v>
      </c>
      <c r="E377" t="s">
        <v>10</v>
      </c>
      <c r="F377">
        <v>3</v>
      </c>
      <c r="G377" t="b">
        <v>0</v>
      </c>
      <c r="H377" t="s">
        <v>13</v>
      </c>
      <c r="I377">
        <v>2</v>
      </c>
      <c r="J377">
        <v>0.18</v>
      </c>
      <c r="K377">
        <v>0.18179999999999999</v>
      </c>
      <c r="L377">
        <v>0.43</v>
      </c>
      <c r="M377">
        <v>0.19400000000000001</v>
      </c>
      <c r="N377">
        <v>0</v>
      </c>
      <c r="O377">
        <v>2</v>
      </c>
      <c r="P377">
        <v>2</v>
      </c>
      <c r="S377" t="str">
        <f>IF(Dataset_A[[#This Row],[Hr]]&gt;=19,"Evening Time",IF(Dataset_A[[#This Row],[Hr]]&gt;=9,"Day Time",IF(Dataset_A[[#This Row],[Hr]]&gt;=0,"Night Time","")))</f>
        <v>Night Time</v>
      </c>
    </row>
    <row r="378" spans="1:19" x14ac:dyDescent="0.2">
      <c r="A378">
        <v>377</v>
      </c>
      <c r="B378" s="3">
        <v>40560</v>
      </c>
      <c r="C378">
        <v>1</v>
      </c>
      <c r="D378">
        <v>2011</v>
      </c>
      <c r="E378" t="s">
        <v>10</v>
      </c>
      <c r="F378">
        <v>4</v>
      </c>
      <c r="G378" t="b">
        <v>0</v>
      </c>
      <c r="H378" t="s">
        <v>13</v>
      </c>
      <c r="I378">
        <v>2</v>
      </c>
      <c r="J378">
        <v>0.18</v>
      </c>
      <c r="K378">
        <v>0.19700000000000001</v>
      </c>
      <c r="L378">
        <v>0.43</v>
      </c>
      <c r="M378">
        <v>0.1343</v>
      </c>
      <c r="N378">
        <v>1</v>
      </c>
      <c r="O378">
        <v>2</v>
      </c>
      <c r="P378">
        <v>3</v>
      </c>
      <c r="S378" t="str">
        <f>IF(Dataset_A[[#This Row],[Hr]]&gt;=19,"Evening Time",IF(Dataset_A[[#This Row],[Hr]]&gt;=9,"Day Time",IF(Dataset_A[[#This Row],[Hr]]&gt;=0,"Night Time","")))</f>
        <v>Night Time</v>
      </c>
    </row>
    <row r="379" spans="1:19" x14ac:dyDescent="0.2">
      <c r="A379">
        <v>378</v>
      </c>
      <c r="B379" s="3">
        <v>40560</v>
      </c>
      <c r="C379">
        <v>1</v>
      </c>
      <c r="D379">
        <v>2011</v>
      </c>
      <c r="E379" t="s">
        <v>10</v>
      </c>
      <c r="F379">
        <v>5</v>
      </c>
      <c r="G379" t="b">
        <v>0</v>
      </c>
      <c r="H379" t="s">
        <v>13</v>
      </c>
      <c r="I379">
        <v>2</v>
      </c>
      <c r="J379">
        <v>0.18</v>
      </c>
      <c r="K379">
        <v>0.19700000000000001</v>
      </c>
      <c r="L379">
        <v>0.43</v>
      </c>
      <c r="M379">
        <v>0.16420000000000001</v>
      </c>
      <c r="N379">
        <v>0</v>
      </c>
      <c r="O379">
        <v>1</v>
      </c>
      <c r="P379">
        <v>1</v>
      </c>
      <c r="S379" t="str">
        <f>IF(Dataset_A[[#This Row],[Hr]]&gt;=19,"Evening Time",IF(Dataset_A[[#This Row],[Hr]]&gt;=9,"Day Time",IF(Dataset_A[[#This Row],[Hr]]&gt;=0,"Night Time","")))</f>
        <v>Night Time</v>
      </c>
    </row>
    <row r="380" spans="1:19" x14ac:dyDescent="0.2">
      <c r="A380">
        <v>379</v>
      </c>
      <c r="B380" s="3">
        <v>40560</v>
      </c>
      <c r="C380">
        <v>1</v>
      </c>
      <c r="D380">
        <v>2011</v>
      </c>
      <c r="E380" t="s">
        <v>10</v>
      </c>
      <c r="F380">
        <v>6</v>
      </c>
      <c r="G380" t="b">
        <v>0</v>
      </c>
      <c r="H380" t="s">
        <v>13</v>
      </c>
      <c r="I380">
        <v>2</v>
      </c>
      <c r="J380">
        <v>0.18</v>
      </c>
      <c r="K380">
        <v>0.18179999999999999</v>
      </c>
      <c r="L380">
        <v>0.43</v>
      </c>
      <c r="M380">
        <v>0.19400000000000001</v>
      </c>
      <c r="N380">
        <v>0</v>
      </c>
      <c r="O380">
        <v>5</v>
      </c>
      <c r="P380">
        <v>5</v>
      </c>
      <c r="S380" t="str">
        <f>IF(Dataset_A[[#This Row],[Hr]]&gt;=19,"Evening Time",IF(Dataset_A[[#This Row],[Hr]]&gt;=9,"Day Time",IF(Dataset_A[[#This Row],[Hr]]&gt;=0,"Night Time","")))</f>
        <v>Night Time</v>
      </c>
    </row>
    <row r="381" spans="1:19" x14ac:dyDescent="0.2">
      <c r="A381">
        <v>380</v>
      </c>
      <c r="B381" s="3">
        <v>40560</v>
      </c>
      <c r="C381">
        <v>1</v>
      </c>
      <c r="D381">
        <v>2011</v>
      </c>
      <c r="E381" t="s">
        <v>10</v>
      </c>
      <c r="F381">
        <v>7</v>
      </c>
      <c r="G381" t="b">
        <v>0</v>
      </c>
      <c r="H381" t="s">
        <v>13</v>
      </c>
      <c r="I381">
        <v>2</v>
      </c>
      <c r="J381">
        <v>0.16</v>
      </c>
      <c r="K381">
        <v>0.18179999999999999</v>
      </c>
      <c r="L381">
        <v>0.5</v>
      </c>
      <c r="M381">
        <v>0.1343</v>
      </c>
      <c r="N381">
        <v>4</v>
      </c>
      <c r="O381">
        <v>9</v>
      </c>
      <c r="P381">
        <v>13</v>
      </c>
      <c r="S381" t="str">
        <f>IF(Dataset_A[[#This Row],[Hr]]&gt;=19,"Evening Time",IF(Dataset_A[[#This Row],[Hr]]&gt;=9,"Day Time",IF(Dataset_A[[#This Row],[Hr]]&gt;=0,"Night Time","")))</f>
        <v>Night Time</v>
      </c>
    </row>
    <row r="382" spans="1:19" x14ac:dyDescent="0.2">
      <c r="A382">
        <v>381</v>
      </c>
      <c r="B382" s="3">
        <v>40560</v>
      </c>
      <c r="C382">
        <v>1</v>
      </c>
      <c r="D382">
        <v>2011</v>
      </c>
      <c r="E382" t="s">
        <v>10</v>
      </c>
      <c r="F382">
        <v>8</v>
      </c>
      <c r="G382" t="b">
        <v>0</v>
      </c>
      <c r="H382" t="s">
        <v>13</v>
      </c>
      <c r="I382">
        <v>2</v>
      </c>
      <c r="J382">
        <v>0.16</v>
      </c>
      <c r="K382">
        <v>0.1515</v>
      </c>
      <c r="L382">
        <v>0.47</v>
      </c>
      <c r="M382">
        <v>0.22389999999999999</v>
      </c>
      <c r="N382">
        <v>3</v>
      </c>
      <c r="O382">
        <v>30</v>
      </c>
      <c r="P382">
        <v>33</v>
      </c>
      <c r="S382" t="str">
        <f>IF(Dataset_A[[#This Row],[Hr]]&gt;=19,"Evening Time",IF(Dataset_A[[#This Row],[Hr]]&gt;=9,"Day Time",IF(Dataset_A[[#This Row],[Hr]]&gt;=0,"Night Time","")))</f>
        <v>Night Time</v>
      </c>
    </row>
    <row r="383" spans="1:19" x14ac:dyDescent="0.2">
      <c r="A383">
        <v>382</v>
      </c>
      <c r="B383" s="3">
        <v>40560</v>
      </c>
      <c r="C383">
        <v>1</v>
      </c>
      <c r="D383">
        <v>2011</v>
      </c>
      <c r="E383" t="s">
        <v>10</v>
      </c>
      <c r="F383">
        <v>9</v>
      </c>
      <c r="G383" t="b">
        <v>0</v>
      </c>
      <c r="H383" t="s">
        <v>13</v>
      </c>
      <c r="I383">
        <v>2</v>
      </c>
      <c r="J383">
        <v>0.16</v>
      </c>
      <c r="K383">
        <v>0.1515</v>
      </c>
      <c r="L383">
        <v>0.47</v>
      </c>
      <c r="M383">
        <v>0.22389999999999999</v>
      </c>
      <c r="N383">
        <v>8</v>
      </c>
      <c r="O383">
        <v>39</v>
      </c>
      <c r="P383">
        <v>47</v>
      </c>
      <c r="S383" t="str">
        <f>IF(Dataset_A[[#This Row],[Hr]]&gt;=19,"Evening Time",IF(Dataset_A[[#This Row],[Hr]]&gt;=9,"Day Time",IF(Dataset_A[[#This Row],[Hr]]&gt;=0,"Night Time","")))</f>
        <v>Day Time</v>
      </c>
    </row>
    <row r="384" spans="1:19" x14ac:dyDescent="0.2">
      <c r="A384">
        <v>383</v>
      </c>
      <c r="B384" s="3">
        <v>40560</v>
      </c>
      <c r="C384">
        <v>1</v>
      </c>
      <c r="D384">
        <v>2011</v>
      </c>
      <c r="E384" t="s">
        <v>10</v>
      </c>
      <c r="F384">
        <v>10</v>
      </c>
      <c r="G384" t="b">
        <v>0</v>
      </c>
      <c r="H384" t="s">
        <v>13</v>
      </c>
      <c r="I384">
        <v>2</v>
      </c>
      <c r="J384">
        <v>0.16</v>
      </c>
      <c r="K384">
        <v>0.1515</v>
      </c>
      <c r="L384">
        <v>0.5</v>
      </c>
      <c r="M384">
        <v>0.25369999999999998</v>
      </c>
      <c r="N384">
        <v>7</v>
      </c>
      <c r="O384">
        <v>50</v>
      </c>
      <c r="P384">
        <v>57</v>
      </c>
      <c r="S384" t="str">
        <f>IF(Dataset_A[[#This Row],[Hr]]&gt;=19,"Evening Time",IF(Dataset_A[[#This Row],[Hr]]&gt;=9,"Day Time",IF(Dataset_A[[#This Row],[Hr]]&gt;=0,"Night Time","")))</f>
        <v>Day Time</v>
      </c>
    </row>
    <row r="385" spans="1:19" x14ac:dyDescent="0.2">
      <c r="A385">
        <v>384</v>
      </c>
      <c r="B385" s="3">
        <v>40560</v>
      </c>
      <c r="C385">
        <v>1</v>
      </c>
      <c r="D385">
        <v>2011</v>
      </c>
      <c r="E385" t="s">
        <v>10</v>
      </c>
      <c r="F385">
        <v>11</v>
      </c>
      <c r="G385" t="b">
        <v>0</v>
      </c>
      <c r="H385" t="s">
        <v>13</v>
      </c>
      <c r="I385">
        <v>2</v>
      </c>
      <c r="J385">
        <v>0.16</v>
      </c>
      <c r="K385">
        <v>0.1515</v>
      </c>
      <c r="L385">
        <v>0.55000000000000004</v>
      </c>
      <c r="M385">
        <v>0.19400000000000001</v>
      </c>
      <c r="N385">
        <v>9</v>
      </c>
      <c r="O385">
        <v>55</v>
      </c>
      <c r="P385">
        <v>64</v>
      </c>
      <c r="S385" t="str">
        <f>IF(Dataset_A[[#This Row],[Hr]]&gt;=19,"Evening Time",IF(Dataset_A[[#This Row],[Hr]]&gt;=9,"Day Time",IF(Dataset_A[[#This Row],[Hr]]&gt;=0,"Night Time","")))</f>
        <v>Day Time</v>
      </c>
    </row>
    <row r="386" spans="1:19" x14ac:dyDescent="0.2">
      <c r="A386">
        <v>385</v>
      </c>
      <c r="B386" s="3">
        <v>40560</v>
      </c>
      <c r="C386">
        <v>1</v>
      </c>
      <c r="D386">
        <v>2011</v>
      </c>
      <c r="E386" t="s">
        <v>10</v>
      </c>
      <c r="F386">
        <v>12</v>
      </c>
      <c r="G386" t="b">
        <v>0</v>
      </c>
      <c r="H386" t="s">
        <v>13</v>
      </c>
      <c r="I386">
        <v>2</v>
      </c>
      <c r="J386">
        <v>0.18</v>
      </c>
      <c r="K386">
        <v>0.19700000000000001</v>
      </c>
      <c r="L386">
        <v>0.47</v>
      </c>
      <c r="M386">
        <v>0.1343</v>
      </c>
      <c r="N386">
        <v>10</v>
      </c>
      <c r="O386">
        <v>70</v>
      </c>
      <c r="P386">
        <v>80</v>
      </c>
      <c r="S386" t="str">
        <f>IF(Dataset_A[[#This Row],[Hr]]&gt;=19,"Evening Time",IF(Dataset_A[[#This Row],[Hr]]&gt;=9,"Day Time",IF(Dataset_A[[#This Row],[Hr]]&gt;=0,"Night Time","")))</f>
        <v>Day Time</v>
      </c>
    </row>
    <row r="387" spans="1:19" x14ac:dyDescent="0.2">
      <c r="A387">
        <v>386</v>
      </c>
      <c r="B387" s="3">
        <v>40560</v>
      </c>
      <c r="C387">
        <v>1</v>
      </c>
      <c r="D387">
        <v>2011</v>
      </c>
      <c r="E387" t="s">
        <v>10</v>
      </c>
      <c r="F387">
        <v>13</v>
      </c>
      <c r="G387" t="b">
        <v>0</v>
      </c>
      <c r="H387" t="s">
        <v>13</v>
      </c>
      <c r="I387">
        <v>2</v>
      </c>
      <c r="J387">
        <v>0.18</v>
      </c>
      <c r="K387">
        <v>0.19700000000000001</v>
      </c>
      <c r="L387">
        <v>0.47</v>
      </c>
      <c r="M387">
        <v>0.1343</v>
      </c>
      <c r="N387">
        <v>13</v>
      </c>
      <c r="O387">
        <v>80</v>
      </c>
      <c r="P387">
        <v>93</v>
      </c>
      <c r="S387" t="str">
        <f>IF(Dataset_A[[#This Row],[Hr]]&gt;=19,"Evening Time",IF(Dataset_A[[#This Row],[Hr]]&gt;=9,"Day Time",IF(Dataset_A[[#This Row],[Hr]]&gt;=0,"Night Time","")))</f>
        <v>Day Time</v>
      </c>
    </row>
    <row r="388" spans="1:19" x14ac:dyDescent="0.2">
      <c r="A388">
        <v>387</v>
      </c>
      <c r="B388" s="3">
        <v>40560</v>
      </c>
      <c r="C388">
        <v>1</v>
      </c>
      <c r="D388">
        <v>2011</v>
      </c>
      <c r="E388" t="s">
        <v>10</v>
      </c>
      <c r="F388">
        <v>14</v>
      </c>
      <c r="G388" t="b">
        <v>0</v>
      </c>
      <c r="H388" t="s">
        <v>13</v>
      </c>
      <c r="I388">
        <v>2</v>
      </c>
      <c r="J388">
        <v>0.18</v>
      </c>
      <c r="K388">
        <v>0.21210000000000001</v>
      </c>
      <c r="L388">
        <v>0.43</v>
      </c>
      <c r="M388">
        <v>0.1045</v>
      </c>
      <c r="N388">
        <v>12</v>
      </c>
      <c r="O388">
        <v>74</v>
      </c>
      <c r="P388">
        <v>86</v>
      </c>
      <c r="S388" t="str">
        <f>IF(Dataset_A[[#This Row],[Hr]]&gt;=19,"Evening Time",IF(Dataset_A[[#This Row],[Hr]]&gt;=9,"Day Time",IF(Dataset_A[[#This Row],[Hr]]&gt;=0,"Night Time","")))</f>
        <v>Day Time</v>
      </c>
    </row>
    <row r="389" spans="1:19" x14ac:dyDescent="0.2">
      <c r="A389">
        <v>388</v>
      </c>
      <c r="B389" s="3">
        <v>40560</v>
      </c>
      <c r="C389">
        <v>1</v>
      </c>
      <c r="D389">
        <v>2011</v>
      </c>
      <c r="E389" t="s">
        <v>10</v>
      </c>
      <c r="F389">
        <v>15</v>
      </c>
      <c r="G389" t="b">
        <v>0</v>
      </c>
      <c r="H389" t="s">
        <v>13</v>
      </c>
      <c r="I389">
        <v>2</v>
      </c>
      <c r="J389">
        <v>0.2</v>
      </c>
      <c r="K389">
        <v>0.21210000000000001</v>
      </c>
      <c r="L389">
        <v>0.47</v>
      </c>
      <c r="M389">
        <v>0.16420000000000001</v>
      </c>
      <c r="N389">
        <v>21</v>
      </c>
      <c r="O389">
        <v>72</v>
      </c>
      <c r="P389">
        <v>93</v>
      </c>
      <c r="S389" t="str">
        <f>IF(Dataset_A[[#This Row],[Hr]]&gt;=19,"Evening Time",IF(Dataset_A[[#This Row],[Hr]]&gt;=9,"Day Time",IF(Dataset_A[[#This Row],[Hr]]&gt;=0,"Night Time","")))</f>
        <v>Day Time</v>
      </c>
    </row>
    <row r="390" spans="1:19" x14ac:dyDescent="0.2">
      <c r="A390">
        <v>389</v>
      </c>
      <c r="B390" s="3">
        <v>40560</v>
      </c>
      <c r="C390">
        <v>1</v>
      </c>
      <c r="D390">
        <v>2011</v>
      </c>
      <c r="E390" t="s">
        <v>10</v>
      </c>
      <c r="F390">
        <v>16</v>
      </c>
      <c r="G390" t="b">
        <v>0</v>
      </c>
      <c r="H390" t="s">
        <v>13</v>
      </c>
      <c r="I390">
        <v>2</v>
      </c>
      <c r="J390">
        <v>0.2</v>
      </c>
      <c r="K390">
        <v>0.21210000000000001</v>
      </c>
      <c r="L390">
        <v>0.47</v>
      </c>
      <c r="M390">
        <v>0.16420000000000001</v>
      </c>
      <c r="N390">
        <v>6</v>
      </c>
      <c r="O390">
        <v>76</v>
      </c>
      <c r="P390">
        <v>82</v>
      </c>
      <c r="S390" t="str">
        <f>IF(Dataset_A[[#This Row],[Hr]]&gt;=19,"Evening Time",IF(Dataset_A[[#This Row],[Hr]]&gt;=9,"Day Time",IF(Dataset_A[[#This Row],[Hr]]&gt;=0,"Night Time","")))</f>
        <v>Day Time</v>
      </c>
    </row>
    <row r="391" spans="1:19" x14ac:dyDescent="0.2">
      <c r="A391">
        <v>390</v>
      </c>
      <c r="B391" s="3">
        <v>40560</v>
      </c>
      <c r="C391">
        <v>1</v>
      </c>
      <c r="D391">
        <v>2011</v>
      </c>
      <c r="E391" t="s">
        <v>10</v>
      </c>
      <c r="F391">
        <v>17</v>
      </c>
      <c r="G391" t="b">
        <v>0</v>
      </c>
      <c r="H391" t="s">
        <v>13</v>
      </c>
      <c r="I391">
        <v>1</v>
      </c>
      <c r="J391">
        <v>0.2</v>
      </c>
      <c r="K391">
        <v>0.19700000000000001</v>
      </c>
      <c r="L391">
        <v>0.51</v>
      </c>
      <c r="M391">
        <v>0.19400000000000001</v>
      </c>
      <c r="N391">
        <v>4</v>
      </c>
      <c r="O391">
        <v>67</v>
      </c>
      <c r="P391">
        <v>71</v>
      </c>
      <c r="S391" t="str">
        <f>IF(Dataset_A[[#This Row],[Hr]]&gt;=19,"Evening Time",IF(Dataset_A[[#This Row],[Hr]]&gt;=9,"Day Time",IF(Dataset_A[[#This Row],[Hr]]&gt;=0,"Night Time","")))</f>
        <v>Day Time</v>
      </c>
    </row>
    <row r="392" spans="1:19" x14ac:dyDescent="0.2">
      <c r="A392">
        <v>391</v>
      </c>
      <c r="B392" s="3">
        <v>40560</v>
      </c>
      <c r="C392">
        <v>1</v>
      </c>
      <c r="D392">
        <v>2011</v>
      </c>
      <c r="E392" t="s">
        <v>10</v>
      </c>
      <c r="F392">
        <v>18</v>
      </c>
      <c r="G392" t="b">
        <v>0</v>
      </c>
      <c r="H392" t="s">
        <v>13</v>
      </c>
      <c r="I392">
        <v>2</v>
      </c>
      <c r="J392">
        <v>0.18</v>
      </c>
      <c r="K392">
        <v>0.16669999999999999</v>
      </c>
      <c r="L392">
        <v>0.55000000000000004</v>
      </c>
      <c r="M392">
        <v>0.25369999999999998</v>
      </c>
      <c r="N392">
        <v>7</v>
      </c>
      <c r="O392">
        <v>85</v>
      </c>
      <c r="P392">
        <v>92</v>
      </c>
      <c r="S392" t="str">
        <f>IF(Dataset_A[[#This Row],[Hr]]&gt;=19,"Evening Time",IF(Dataset_A[[#This Row],[Hr]]&gt;=9,"Day Time",IF(Dataset_A[[#This Row],[Hr]]&gt;=0,"Night Time","")))</f>
        <v>Day Time</v>
      </c>
    </row>
    <row r="393" spans="1:19" x14ac:dyDescent="0.2">
      <c r="A393">
        <v>392</v>
      </c>
      <c r="B393" s="3">
        <v>40560</v>
      </c>
      <c r="C393">
        <v>1</v>
      </c>
      <c r="D393">
        <v>2011</v>
      </c>
      <c r="E393" t="s">
        <v>10</v>
      </c>
      <c r="F393">
        <v>19</v>
      </c>
      <c r="G393" t="b">
        <v>0</v>
      </c>
      <c r="H393" t="s">
        <v>13</v>
      </c>
      <c r="I393">
        <v>3</v>
      </c>
      <c r="J393">
        <v>0.18</v>
      </c>
      <c r="K393">
        <v>0.18179999999999999</v>
      </c>
      <c r="L393">
        <v>0.59</v>
      </c>
      <c r="M393">
        <v>0.19400000000000001</v>
      </c>
      <c r="N393">
        <v>2</v>
      </c>
      <c r="O393">
        <v>58</v>
      </c>
      <c r="P393">
        <v>60</v>
      </c>
      <c r="S393" t="str">
        <f>IF(Dataset_A[[#This Row],[Hr]]&gt;=19,"Evening Time",IF(Dataset_A[[#This Row],[Hr]]&gt;=9,"Day Time",IF(Dataset_A[[#This Row],[Hr]]&gt;=0,"Night Time","")))</f>
        <v>Evening Time</v>
      </c>
    </row>
    <row r="394" spans="1:19" x14ac:dyDescent="0.2">
      <c r="A394">
        <v>393</v>
      </c>
      <c r="B394" s="3">
        <v>40560</v>
      </c>
      <c r="C394">
        <v>1</v>
      </c>
      <c r="D394">
        <v>2011</v>
      </c>
      <c r="E394" t="s">
        <v>10</v>
      </c>
      <c r="F394">
        <v>20</v>
      </c>
      <c r="G394" t="b">
        <v>0</v>
      </c>
      <c r="H394" t="s">
        <v>13</v>
      </c>
      <c r="I394">
        <v>3</v>
      </c>
      <c r="J394">
        <v>0.16</v>
      </c>
      <c r="K394">
        <v>0.1515</v>
      </c>
      <c r="L394">
        <v>0.8</v>
      </c>
      <c r="M394">
        <v>0.19400000000000001</v>
      </c>
      <c r="N394">
        <v>4</v>
      </c>
      <c r="O394">
        <v>29</v>
      </c>
      <c r="P394">
        <v>33</v>
      </c>
      <c r="S394" t="str">
        <f>IF(Dataset_A[[#This Row],[Hr]]&gt;=19,"Evening Time",IF(Dataset_A[[#This Row],[Hr]]&gt;=9,"Day Time",IF(Dataset_A[[#This Row],[Hr]]&gt;=0,"Night Time","")))</f>
        <v>Evening Time</v>
      </c>
    </row>
    <row r="395" spans="1:19" x14ac:dyDescent="0.2">
      <c r="A395">
        <v>394</v>
      </c>
      <c r="B395" s="3">
        <v>40560</v>
      </c>
      <c r="C395">
        <v>1</v>
      </c>
      <c r="D395">
        <v>2011</v>
      </c>
      <c r="E395" t="s">
        <v>10</v>
      </c>
      <c r="F395">
        <v>21</v>
      </c>
      <c r="G395" t="b">
        <v>0</v>
      </c>
      <c r="H395" t="s">
        <v>13</v>
      </c>
      <c r="I395">
        <v>3</v>
      </c>
      <c r="J395">
        <v>0.16</v>
      </c>
      <c r="K395">
        <v>0.1515</v>
      </c>
      <c r="L395">
        <v>0.8</v>
      </c>
      <c r="M395">
        <v>0.19400000000000001</v>
      </c>
      <c r="N395">
        <v>3</v>
      </c>
      <c r="O395">
        <v>24</v>
      </c>
      <c r="P395">
        <v>27</v>
      </c>
      <c r="S395" t="str">
        <f>IF(Dataset_A[[#This Row],[Hr]]&gt;=19,"Evening Time",IF(Dataset_A[[#This Row],[Hr]]&gt;=9,"Day Time",IF(Dataset_A[[#This Row],[Hr]]&gt;=0,"Night Time","")))</f>
        <v>Evening Time</v>
      </c>
    </row>
    <row r="396" spans="1:19" x14ac:dyDescent="0.2">
      <c r="A396">
        <v>395</v>
      </c>
      <c r="B396" s="3">
        <v>40560</v>
      </c>
      <c r="C396">
        <v>1</v>
      </c>
      <c r="D396">
        <v>2011</v>
      </c>
      <c r="E396" t="s">
        <v>10</v>
      </c>
      <c r="F396">
        <v>22</v>
      </c>
      <c r="G396" t="b">
        <v>0</v>
      </c>
      <c r="H396" t="s">
        <v>13</v>
      </c>
      <c r="I396">
        <v>3</v>
      </c>
      <c r="J396">
        <v>0.14000000000000001</v>
      </c>
      <c r="K396">
        <v>0.1212</v>
      </c>
      <c r="L396">
        <v>0.93</v>
      </c>
      <c r="M396">
        <v>0.25369999999999998</v>
      </c>
      <c r="N396">
        <v>0</v>
      </c>
      <c r="O396">
        <v>13</v>
      </c>
      <c r="P396">
        <v>13</v>
      </c>
      <c r="S396" t="str">
        <f>IF(Dataset_A[[#This Row],[Hr]]&gt;=19,"Evening Time",IF(Dataset_A[[#This Row],[Hr]]&gt;=9,"Day Time",IF(Dataset_A[[#This Row],[Hr]]&gt;=0,"Night Time","")))</f>
        <v>Evening Time</v>
      </c>
    </row>
    <row r="397" spans="1:19" x14ac:dyDescent="0.2">
      <c r="A397">
        <v>396</v>
      </c>
      <c r="B397" s="3">
        <v>40560</v>
      </c>
      <c r="C397">
        <v>1</v>
      </c>
      <c r="D397">
        <v>2011</v>
      </c>
      <c r="E397" t="s">
        <v>10</v>
      </c>
      <c r="F397">
        <v>23</v>
      </c>
      <c r="G397" t="b">
        <v>0</v>
      </c>
      <c r="H397" t="s">
        <v>13</v>
      </c>
      <c r="I397">
        <v>3</v>
      </c>
      <c r="J397">
        <v>0.16</v>
      </c>
      <c r="K397">
        <v>0.13639999999999999</v>
      </c>
      <c r="L397">
        <v>0.86</v>
      </c>
      <c r="M397">
        <v>0.28360000000000002</v>
      </c>
      <c r="N397">
        <v>1</v>
      </c>
      <c r="O397">
        <v>3</v>
      </c>
      <c r="P397">
        <v>4</v>
      </c>
      <c r="S397" t="str">
        <f>IF(Dataset_A[[#This Row],[Hr]]&gt;=19,"Evening Time",IF(Dataset_A[[#This Row],[Hr]]&gt;=9,"Day Time",IF(Dataset_A[[#This Row],[Hr]]&gt;=0,"Night Time","")))</f>
        <v>Evening Time</v>
      </c>
    </row>
    <row r="398" spans="1:19" x14ac:dyDescent="0.2">
      <c r="A398">
        <v>397</v>
      </c>
      <c r="B398" s="3">
        <v>40561</v>
      </c>
      <c r="C398">
        <v>1</v>
      </c>
      <c r="D398">
        <v>2011</v>
      </c>
      <c r="E398" t="s">
        <v>10</v>
      </c>
      <c r="F398">
        <v>12</v>
      </c>
      <c r="G398" t="b">
        <v>0</v>
      </c>
      <c r="H398" t="s">
        <v>14</v>
      </c>
      <c r="I398">
        <v>2</v>
      </c>
      <c r="J398">
        <v>0.2</v>
      </c>
      <c r="K398">
        <v>0.18179999999999999</v>
      </c>
      <c r="L398">
        <v>0.86</v>
      </c>
      <c r="M398">
        <v>0.32840000000000003</v>
      </c>
      <c r="N398">
        <v>0</v>
      </c>
      <c r="O398">
        <v>3</v>
      </c>
      <c r="P398">
        <v>3</v>
      </c>
      <c r="S398" t="str">
        <f>IF(Dataset_A[[#This Row],[Hr]]&gt;=19,"Evening Time",IF(Dataset_A[[#This Row],[Hr]]&gt;=9,"Day Time",IF(Dataset_A[[#This Row],[Hr]]&gt;=0,"Night Time","")))</f>
        <v>Day Time</v>
      </c>
    </row>
    <row r="399" spans="1:19" x14ac:dyDescent="0.2">
      <c r="A399">
        <v>398</v>
      </c>
      <c r="B399" s="3">
        <v>40561</v>
      </c>
      <c r="C399">
        <v>1</v>
      </c>
      <c r="D399">
        <v>2011</v>
      </c>
      <c r="E399" t="s">
        <v>10</v>
      </c>
      <c r="F399">
        <v>13</v>
      </c>
      <c r="G399" t="b">
        <v>0</v>
      </c>
      <c r="H399" t="s">
        <v>14</v>
      </c>
      <c r="I399">
        <v>2</v>
      </c>
      <c r="J399">
        <v>0.2</v>
      </c>
      <c r="K399">
        <v>0.19700000000000001</v>
      </c>
      <c r="L399">
        <v>0.86</v>
      </c>
      <c r="M399">
        <v>0.22389999999999999</v>
      </c>
      <c r="N399">
        <v>0</v>
      </c>
      <c r="O399">
        <v>22</v>
      </c>
      <c r="P399">
        <v>22</v>
      </c>
      <c r="S399" t="str">
        <f>IF(Dataset_A[[#This Row],[Hr]]&gt;=19,"Evening Time",IF(Dataset_A[[#This Row],[Hr]]&gt;=9,"Day Time",IF(Dataset_A[[#This Row],[Hr]]&gt;=0,"Night Time","")))</f>
        <v>Day Time</v>
      </c>
    </row>
    <row r="400" spans="1:19" x14ac:dyDescent="0.2">
      <c r="A400">
        <v>399</v>
      </c>
      <c r="B400" s="3">
        <v>40561</v>
      </c>
      <c r="C400">
        <v>1</v>
      </c>
      <c r="D400">
        <v>2011</v>
      </c>
      <c r="E400" t="s">
        <v>10</v>
      </c>
      <c r="F400">
        <v>14</v>
      </c>
      <c r="G400" t="b">
        <v>0</v>
      </c>
      <c r="H400" t="s">
        <v>14</v>
      </c>
      <c r="I400">
        <v>2</v>
      </c>
      <c r="J400">
        <v>0.22</v>
      </c>
      <c r="K400">
        <v>0.2273</v>
      </c>
      <c r="L400">
        <v>0.8</v>
      </c>
      <c r="M400">
        <v>0.16420000000000001</v>
      </c>
      <c r="N400">
        <v>2</v>
      </c>
      <c r="O400">
        <v>26</v>
      </c>
      <c r="P400">
        <v>28</v>
      </c>
      <c r="S400" t="str">
        <f>IF(Dataset_A[[#This Row],[Hr]]&gt;=19,"Evening Time",IF(Dataset_A[[#This Row],[Hr]]&gt;=9,"Day Time",IF(Dataset_A[[#This Row],[Hr]]&gt;=0,"Night Time","")))</f>
        <v>Day Time</v>
      </c>
    </row>
    <row r="401" spans="1:19" x14ac:dyDescent="0.2">
      <c r="A401">
        <v>400</v>
      </c>
      <c r="B401" s="3">
        <v>40561</v>
      </c>
      <c r="C401">
        <v>1</v>
      </c>
      <c r="D401">
        <v>2011</v>
      </c>
      <c r="E401" t="s">
        <v>10</v>
      </c>
      <c r="F401">
        <v>15</v>
      </c>
      <c r="G401" t="b">
        <v>0</v>
      </c>
      <c r="H401" t="s">
        <v>14</v>
      </c>
      <c r="I401">
        <v>2</v>
      </c>
      <c r="J401">
        <v>0.22</v>
      </c>
      <c r="K401">
        <v>0.2273</v>
      </c>
      <c r="L401">
        <v>0.87</v>
      </c>
      <c r="M401">
        <v>0.16420000000000001</v>
      </c>
      <c r="N401">
        <v>3</v>
      </c>
      <c r="O401">
        <v>32</v>
      </c>
      <c r="P401">
        <v>35</v>
      </c>
      <c r="S401" t="str">
        <f>IF(Dataset_A[[#This Row],[Hr]]&gt;=19,"Evening Time",IF(Dataset_A[[#This Row],[Hr]]&gt;=9,"Day Time",IF(Dataset_A[[#This Row],[Hr]]&gt;=0,"Night Time","")))</f>
        <v>Day Time</v>
      </c>
    </row>
    <row r="402" spans="1:19" x14ac:dyDescent="0.2">
      <c r="A402">
        <v>401</v>
      </c>
      <c r="B402" s="3">
        <v>40561</v>
      </c>
      <c r="C402">
        <v>1</v>
      </c>
      <c r="D402">
        <v>2011</v>
      </c>
      <c r="E402" t="s">
        <v>10</v>
      </c>
      <c r="F402">
        <v>16</v>
      </c>
      <c r="G402" t="b">
        <v>0</v>
      </c>
      <c r="H402" t="s">
        <v>14</v>
      </c>
      <c r="I402">
        <v>2</v>
      </c>
      <c r="J402">
        <v>0.22</v>
      </c>
      <c r="K402">
        <v>0.2273</v>
      </c>
      <c r="L402">
        <v>0.87</v>
      </c>
      <c r="M402">
        <v>0.19400000000000001</v>
      </c>
      <c r="N402">
        <v>0</v>
      </c>
      <c r="O402">
        <v>61</v>
      </c>
      <c r="P402">
        <v>61</v>
      </c>
      <c r="S402" t="str">
        <f>IF(Dataset_A[[#This Row],[Hr]]&gt;=19,"Evening Time",IF(Dataset_A[[#This Row],[Hr]]&gt;=9,"Day Time",IF(Dataset_A[[#This Row],[Hr]]&gt;=0,"Night Time","")))</f>
        <v>Day Time</v>
      </c>
    </row>
    <row r="403" spans="1:19" x14ac:dyDescent="0.2">
      <c r="A403">
        <v>402</v>
      </c>
      <c r="B403" s="3">
        <v>40561</v>
      </c>
      <c r="C403">
        <v>1</v>
      </c>
      <c r="D403">
        <v>2011</v>
      </c>
      <c r="E403" t="s">
        <v>10</v>
      </c>
      <c r="F403">
        <v>17</v>
      </c>
      <c r="G403" t="b">
        <v>0</v>
      </c>
      <c r="H403" t="s">
        <v>14</v>
      </c>
      <c r="I403">
        <v>2</v>
      </c>
      <c r="J403">
        <v>0.22</v>
      </c>
      <c r="K403">
        <v>0.2273</v>
      </c>
      <c r="L403">
        <v>0.82</v>
      </c>
      <c r="M403">
        <v>0.19400000000000001</v>
      </c>
      <c r="N403">
        <v>1</v>
      </c>
      <c r="O403">
        <v>124</v>
      </c>
      <c r="P403">
        <v>125</v>
      </c>
      <c r="S403" t="str">
        <f>IF(Dataset_A[[#This Row],[Hr]]&gt;=19,"Evening Time",IF(Dataset_A[[#This Row],[Hr]]&gt;=9,"Day Time",IF(Dataset_A[[#This Row],[Hr]]&gt;=0,"Night Time","")))</f>
        <v>Day Time</v>
      </c>
    </row>
    <row r="404" spans="1:19" x14ac:dyDescent="0.2">
      <c r="A404">
        <v>403</v>
      </c>
      <c r="B404" s="3">
        <v>40561</v>
      </c>
      <c r="C404">
        <v>1</v>
      </c>
      <c r="D404">
        <v>2011</v>
      </c>
      <c r="E404" t="s">
        <v>10</v>
      </c>
      <c r="F404">
        <v>18</v>
      </c>
      <c r="G404" t="b">
        <v>0</v>
      </c>
      <c r="H404" t="s">
        <v>14</v>
      </c>
      <c r="I404">
        <v>2</v>
      </c>
      <c r="J404">
        <v>0.22</v>
      </c>
      <c r="K404">
        <v>0.2273</v>
      </c>
      <c r="L404">
        <v>0.8</v>
      </c>
      <c r="M404">
        <v>0.16420000000000001</v>
      </c>
      <c r="N404">
        <v>1</v>
      </c>
      <c r="O404">
        <v>132</v>
      </c>
      <c r="P404">
        <v>133</v>
      </c>
      <c r="S404" t="str">
        <f>IF(Dataset_A[[#This Row],[Hr]]&gt;=19,"Evening Time",IF(Dataset_A[[#This Row],[Hr]]&gt;=9,"Day Time",IF(Dataset_A[[#This Row],[Hr]]&gt;=0,"Night Time","")))</f>
        <v>Day Time</v>
      </c>
    </row>
    <row r="405" spans="1:19" x14ac:dyDescent="0.2">
      <c r="A405">
        <v>404</v>
      </c>
      <c r="B405" s="3">
        <v>40561</v>
      </c>
      <c r="C405">
        <v>1</v>
      </c>
      <c r="D405">
        <v>2011</v>
      </c>
      <c r="E405" t="s">
        <v>10</v>
      </c>
      <c r="F405">
        <v>19</v>
      </c>
      <c r="G405" t="b">
        <v>0</v>
      </c>
      <c r="H405" t="s">
        <v>14</v>
      </c>
      <c r="I405">
        <v>2</v>
      </c>
      <c r="J405">
        <v>0.22</v>
      </c>
      <c r="K405">
        <v>0.2273</v>
      </c>
      <c r="L405">
        <v>0.8</v>
      </c>
      <c r="M405">
        <v>0.1343</v>
      </c>
      <c r="N405">
        <v>1</v>
      </c>
      <c r="O405">
        <v>98</v>
      </c>
      <c r="P405">
        <v>99</v>
      </c>
      <c r="S405" t="str">
        <f>IF(Dataset_A[[#This Row],[Hr]]&gt;=19,"Evening Time",IF(Dataset_A[[#This Row],[Hr]]&gt;=9,"Day Time",IF(Dataset_A[[#This Row],[Hr]]&gt;=0,"Night Time","")))</f>
        <v>Evening Time</v>
      </c>
    </row>
    <row r="406" spans="1:19" x14ac:dyDescent="0.2">
      <c r="A406">
        <v>405</v>
      </c>
      <c r="B406" s="3">
        <v>40561</v>
      </c>
      <c r="C406">
        <v>1</v>
      </c>
      <c r="D406">
        <v>2011</v>
      </c>
      <c r="E406" t="s">
        <v>10</v>
      </c>
      <c r="F406">
        <v>20</v>
      </c>
      <c r="G406" t="b">
        <v>0</v>
      </c>
      <c r="H406" t="s">
        <v>14</v>
      </c>
      <c r="I406">
        <v>2</v>
      </c>
      <c r="J406">
        <v>0.22</v>
      </c>
      <c r="K406">
        <v>0.2727</v>
      </c>
      <c r="L406">
        <v>0.87</v>
      </c>
      <c r="M406">
        <v>0</v>
      </c>
      <c r="N406">
        <v>0</v>
      </c>
      <c r="O406">
        <v>83</v>
      </c>
      <c r="P406">
        <v>83</v>
      </c>
      <c r="S406" t="str">
        <f>IF(Dataset_A[[#This Row],[Hr]]&gt;=19,"Evening Time",IF(Dataset_A[[#This Row],[Hr]]&gt;=9,"Day Time",IF(Dataset_A[[#This Row],[Hr]]&gt;=0,"Night Time","")))</f>
        <v>Evening Time</v>
      </c>
    </row>
    <row r="407" spans="1:19" x14ac:dyDescent="0.2">
      <c r="A407">
        <v>406</v>
      </c>
      <c r="B407" s="3">
        <v>40561</v>
      </c>
      <c r="C407">
        <v>1</v>
      </c>
      <c r="D407">
        <v>2011</v>
      </c>
      <c r="E407" t="s">
        <v>10</v>
      </c>
      <c r="F407">
        <v>21</v>
      </c>
      <c r="G407" t="b">
        <v>0</v>
      </c>
      <c r="H407" t="s">
        <v>14</v>
      </c>
      <c r="I407">
        <v>2</v>
      </c>
      <c r="J407">
        <v>0.22</v>
      </c>
      <c r="K407">
        <v>0.2424</v>
      </c>
      <c r="L407">
        <v>0.93</v>
      </c>
      <c r="M407">
        <v>0.1045</v>
      </c>
      <c r="N407">
        <v>0</v>
      </c>
      <c r="O407">
        <v>41</v>
      </c>
      <c r="P407">
        <v>41</v>
      </c>
      <c r="S407" t="str">
        <f>IF(Dataset_A[[#This Row],[Hr]]&gt;=19,"Evening Time",IF(Dataset_A[[#This Row],[Hr]]&gt;=9,"Day Time",IF(Dataset_A[[#This Row],[Hr]]&gt;=0,"Night Time","")))</f>
        <v>Evening Time</v>
      </c>
    </row>
    <row r="408" spans="1:19" x14ac:dyDescent="0.2">
      <c r="A408">
        <v>407</v>
      </c>
      <c r="B408" s="3">
        <v>40561</v>
      </c>
      <c r="C408">
        <v>1</v>
      </c>
      <c r="D408">
        <v>2011</v>
      </c>
      <c r="E408" t="s">
        <v>10</v>
      </c>
      <c r="F408">
        <v>22</v>
      </c>
      <c r="G408" t="b">
        <v>0</v>
      </c>
      <c r="H408" t="s">
        <v>14</v>
      </c>
      <c r="I408">
        <v>2</v>
      </c>
      <c r="J408">
        <v>0.22</v>
      </c>
      <c r="K408">
        <v>0.2576</v>
      </c>
      <c r="L408">
        <v>0.93</v>
      </c>
      <c r="M408">
        <v>8.9599999999999999E-2</v>
      </c>
      <c r="N408">
        <v>0</v>
      </c>
      <c r="O408">
        <v>33</v>
      </c>
      <c r="P408">
        <v>33</v>
      </c>
      <c r="S408" t="str">
        <f>IF(Dataset_A[[#This Row],[Hr]]&gt;=19,"Evening Time",IF(Dataset_A[[#This Row],[Hr]]&gt;=9,"Day Time",IF(Dataset_A[[#This Row],[Hr]]&gt;=0,"Night Time","")))</f>
        <v>Evening Time</v>
      </c>
    </row>
    <row r="409" spans="1:19" x14ac:dyDescent="0.2">
      <c r="A409">
        <v>408</v>
      </c>
      <c r="B409" s="3">
        <v>40561</v>
      </c>
      <c r="C409">
        <v>1</v>
      </c>
      <c r="D409">
        <v>2011</v>
      </c>
      <c r="E409" t="s">
        <v>10</v>
      </c>
      <c r="F409">
        <v>23</v>
      </c>
      <c r="G409" t="b">
        <v>0</v>
      </c>
      <c r="H409" t="s">
        <v>14</v>
      </c>
      <c r="I409">
        <v>2</v>
      </c>
      <c r="J409">
        <v>0.22</v>
      </c>
      <c r="K409">
        <v>0.2727</v>
      </c>
      <c r="L409">
        <v>0.93</v>
      </c>
      <c r="M409">
        <v>0</v>
      </c>
      <c r="N409">
        <v>1</v>
      </c>
      <c r="O409">
        <v>19</v>
      </c>
      <c r="P409">
        <v>20</v>
      </c>
      <c r="S409" t="str">
        <f>IF(Dataset_A[[#This Row],[Hr]]&gt;=19,"Evening Time",IF(Dataset_A[[#This Row],[Hr]]&gt;=9,"Day Time",IF(Dataset_A[[#This Row],[Hr]]&gt;=0,"Night Time","")))</f>
        <v>Evening Time</v>
      </c>
    </row>
    <row r="410" spans="1:19" x14ac:dyDescent="0.2">
      <c r="A410">
        <v>409</v>
      </c>
      <c r="B410" s="3">
        <v>40562</v>
      </c>
      <c r="C410">
        <v>1</v>
      </c>
      <c r="D410">
        <v>2011</v>
      </c>
      <c r="E410" t="s">
        <v>10</v>
      </c>
      <c r="F410">
        <v>0</v>
      </c>
      <c r="G410" t="b">
        <v>0</v>
      </c>
      <c r="H410" t="s">
        <v>15</v>
      </c>
      <c r="I410">
        <v>2</v>
      </c>
      <c r="J410">
        <v>0.22</v>
      </c>
      <c r="K410">
        <v>0.2727</v>
      </c>
      <c r="L410">
        <v>0.93</v>
      </c>
      <c r="M410">
        <v>0</v>
      </c>
      <c r="N410">
        <v>0</v>
      </c>
      <c r="O410">
        <v>3</v>
      </c>
      <c r="P410">
        <v>3</v>
      </c>
      <c r="S410" t="str">
        <f>IF(Dataset_A[[#This Row],[Hr]]&gt;=19,"Evening Time",IF(Dataset_A[[#This Row],[Hr]]&gt;=9,"Day Time",IF(Dataset_A[[#This Row],[Hr]]&gt;=0,"Night Time","")))</f>
        <v>Night Time</v>
      </c>
    </row>
    <row r="411" spans="1:19" x14ac:dyDescent="0.2">
      <c r="A411">
        <v>410</v>
      </c>
      <c r="B411" s="3">
        <v>40562</v>
      </c>
      <c r="C411">
        <v>1</v>
      </c>
      <c r="D411">
        <v>2011</v>
      </c>
      <c r="E411" t="s">
        <v>10</v>
      </c>
      <c r="F411">
        <v>1</v>
      </c>
      <c r="G411" t="b">
        <v>0</v>
      </c>
      <c r="H411" t="s">
        <v>15</v>
      </c>
      <c r="I411">
        <v>3</v>
      </c>
      <c r="J411">
        <v>0.22</v>
      </c>
      <c r="K411">
        <v>0.2273</v>
      </c>
      <c r="L411">
        <v>0.93</v>
      </c>
      <c r="M411">
        <v>0.1343</v>
      </c>
      <c r="N411">
        <v>1</v>
      </c>
      <c r="O411">
        <v>6</v>
      </c>
      <c r="P411">
        <v>7</v>
      </c>
      <c r="S411" t="str">
        <f>IF(Dataset_A[[#This Row],[Hr]]&gt;=19,"Evening Time",IF(Dataset_A[[#This Row],[Hr]]&gt;=9,"Day Time",IF(Dataset_A[[#This Row],[Hr]]&gt;=0,"Night Time","")))</f>
        <v>Night Time</v>
      </c>
    </row>
    <row r="412" spans="1:19" x14ac:dyDescent="0.2">
      <c r="A412">
        <v>411</v>
      </c>
      <c r="B412" s="3">
        <v>40562</v>
      </c>
      <c r="C412">
        <v>1</v>
      </c>
      <c r="D412">
        <v>2011</v>
      </c>
      <c r="E412" t="s">
        <v>10</v>
      </c>
      <c r="F412">
        <v>2</v>
      </c>
      <c r="G412" t="b">
        <v>0</v>
      </c>
      <c r="H412" t="s">
        <v>15</v>
      </c>
      <c r="I412">
        <v>3</v>
      </c>
      <c r="J412">
        <v>0.22</v>
      </c>
      <c r="K412">
        <v>0.2273</v>
      </c>
      <c r="L412">
        <v>0.93</v>
      </c>
      <c r="M412">
        <v>0.1343</v>
      </c>
      <c r="N412">
        <v>0</v>
      </c>
      <c r="O412">
        <v>3</v>
      </c>
      <c r="P412">
        <v>3</v>
      </c>
      <c r="S412" t="str">
        <f>IF(Dataset_A[[#This Row],[Hr]]&gt;=19,"Evening Time",IF(Dataset_A[[#This Row],[Hr]]&gt;=9,"Day Time",IF(Dataset_A[[#This Row],[Hr]]&gt;=0,"Night Time","")))</f>
        <v>Night Time</v>
      </c>
    </row>
    <row r="413" spans="1:19" x14ac:dyDescent="0.2">
      <c r="A413">
        <v>412</v>
      </c>
      <c r="B413" s="3">
        <v>40562</v>
      </c>
      <c r="C413">
        <v>1</v>
      </c>
      <c r="D413">
        <v>2011</v>
      </c>
      <c r="E413" t="s">
        <v>10</v>
      </c>
      <c r="F413">
        <v>4</v>
      </c>
      <c r="G413" t="b">
        <v>0</v>
      </c>
      <c r="H413" t="s">
        <v>15</v>
      </c>
      <c r="I413">
        <v>3</v>
      </c>
      <c r="J413">
        <v>0.22</v>
      </c>
      <c r="K413">
        <v>0.2273</v>
      </c>
      <c r="L413">
        <v>0.93</v>
      </c>
      <c r="M413">
        <v>0.1343</v>
      </c>
      <c r="N413">
        <v>1</v>
      </c>
      <c r="O413">
        <v>1</v>
      </c>
      <c r="P413">
        <v>2</v>
      </c>
      <c r="S413" t="str">
        <f>IF(Dataset_A[[#This Row],[Hr]]&gt;=19,"Evening Time",IF(Dataset_A[[#This Row],[Hr]]&gt;=9,"Day Time",IF(Dataset_A[[#This Row],[Hr]]&gt;=0,"Night Time","")))</f>
        <v>Night Time</v>
      </c>
    </row>
    <row r="414" spans="1:19" x14ac:dyDescent="0.2">
      <c r="A414">
        <v>413</v>
      </c>
      <c r="B414" s="3">
        <v>40562</v>
      </c>
      <c r="C414">
        <v>1</v>
      </c>
      <c r="D414">
        <v>2011</v>
      </c>
      <c r="E414" t="s">
        <v>10</v>
      </c>
      <c r="F414">
        <v>5</v>
      </c>
      <c r="G414" t="b">
        <v>0</v>
      </c>
      <c r="H414" t="s">
        <v>15</v>
      </c>
      <c r="I414">
        <v>2</v>
      </c>
      <c r="J414">
        <v>0.22</v>
      </c>
      <c r="K414">
        <v>0.2576</v>
      </c>
      <c r="L414">
        <v>0.93</v>
      </c>
      <c r="M414">
        <v>8.9599999999999999E-2</v>
      </c>
      <c r="N414">
        <v>0</v>
      </c>
      <c r="O414">
        <v>7</v>
      </c>
      <c r="P414">
        <v>7</v>
      </c>
      <c r="S414" t="str">
        <f>IF(Dataset_A[[#This Row],[Hr]]&gt;=19,"Evening Time",IF(Dataset_A[[#This Row],[Hr]]&gt;=9,"Day Time",IF(Dataset_A[[#This Row],[Hr]]&gt;=0,"Night Time","")))</f>
        <v>Night Time</v>
      </c>
    </row>
    <row r="415" spans="1:19" x14ac:dyDescent="0.2">
      <c r="A415">
        <v>414</v>
      </c>
      <c r="B415" s="3">
        <v>40562</v>
      </c>
      <c r="C415">
        <v>1</v>
      </c>
      <c r="D415">
        <v>2011</v>
      </c>
      <c r="E415" t="s">
        <v>10</v>
      </c>
      <c r="F415">
        <v>6</v>
      </c>
      <c r="G415" t="b">
        <v>0</v>
      </c>
      <c r="H415" t="s">
        <v>15</v>
      </c>
      <c r="I415">
        <v>2</v>
      </c>
      <c r="J415">
        <v>0.22</v>
      </c>
      <c r="K415">
        <v>0.2576</v>
      </c>
      <c r="L415">
        <v>0.93</v>
      </c>
      <c r="M415">
        <v>8.9599999999999999E-2</v>
      </c>
      <c r="N415">
        <v>0</v>
      </c>
      <c r="O415">
        <v>32</v>
      </c>
      <c r="P415">
        <v>32</v>
      </c>
      <c r="S415" t="str">
        <f>IF(Dataset_A[[#This Row],[Hr]]&gt;=19,"Evening Time",IF(Dataset_A[[#This Row],[Hr]]&gt;=9,"Day Time",IF(Dataset_A[[#This Row],[Hr]]&gt;=0,"Night Time","")))</f>
        <v>Night Time</v>
      </c>
    </row>
    <row r="416" spans="1:19" x14ac:dyDescent="0.2">
      <c r="A416">
        <v>415</v>
      </c>
      <c r="B416" s="3">
        <v>40562</v>
      </c>
      <c r="C416">
        <v>1</v>
      </c>
      <c r="D416">
        <v>2011</v>
      </c>
      <c r="E416" t="s">
        <v>10</v>
      </c>
      <c r="F416">
        <v>7</v>
      </c>
      <c r="G416" t="b">
        <v>0</v>
      </c>
      <c r="H416" t="s">
        <v>15</v>
      </c>
      <c r="I416">
        <v>2</v>
      </c>
      <c r="J416">
        <v>0.24</v>
      </c>
      <c r="K416">
        <v>0.2576</v>
      </c>
      <c r="L416">
        <v>0.92</v>
      </c>
      <c r="M416">
        <v>0.1045</v>
      </c>
      <c r="N416">
        <v>1</v>
      </c>
      <c r="O416">
        <v>89</v>
      </c>
      <c r="P416">
        <v>90</v>
      </c>
      <c r="S416" t="str">
        <f>IF(Dataset_A[[#This Row],[Hr]]&gt;=19,"Evening Time",IF(Dataset_A[[#This Row],[Hr]]&gt;=9,"Day Time",IF(Dataset_A[[#This Row],[Hr]]&gt;=0,"Night Time","")))</f>
        <v>Night Time</v>
      </c>
    </row>
    <row r="417" spans="1:19" x14ac:dyDescent="0.2">
      <c r="A417">
        <v>416</v>
      </c>
      <c r="B417" s="3">
        <v>40562</v>
      </c>
      <c r="C417">
        <v>1</v>
      </c>
      <c r="D417">
        <v>2011</v>
      </c>
      <c r="E417" t="s">
        <v>10</v>
      </c>
      <c r="F417">
        <v>8</v>
      </c>
      <c r="G417" t="b">
        <v>0</v>
      </c>
      <c r="H417" t="s">
        <v>15</v>
      </c>
      <c r="I417">
        <v>2</v>
      </c>
      <c r="J417">
        <v>0.24</v>
      </c>
      <c r="K417">
        <v>0.2576</v>
      </c>
      <c r="L417">
        <v>0.93</v>
      </c>
      <c r="M417">
        <v>0.1045</v>
      </c>
      <c r="N417">
        <v>1</v>
      </c>
      <c r="O417">
        <v>196</v>
      </c>
      <c r="P417">
        <v>197</v>
      </c>
      <c r="S417" t="str">
        <f>IF(Dataset_A[[#This Row],[Hr]]&gt;=19,"Evening Time",IF(Dataset_A[[#This Row],[Hr]]&gt;=9,"Day Time",IF(Dataset_A[[#This Row],[Hr]]&gt;=0,"Night Time","")))</f>
        <v>Night Time</v>
      </c>
    </row>
    <row r="418" spans="1:19" x14ac:dyDescent="0.2">
      <c r="A418">
        <v>417</v>
      </c>
      <c r="B418" s="3">
        <v>40562</v>
      </c>
      <c r="C418">
        <v>1</v>
      </c>
      <c r="D418">
        <v>2011</v>
      </c>
      <c r="E418" t="s">
        <v>10</v>
      </c>
      <c r="F418">
        <v>9</v>
      </c>
      <c r="G418" t="b">
        <v>0</v>
      </c>
      <c r="H418" t="s">
        <v>15</v>
      </c>
      <c r="I418">
        <v>2</v>
      </c>
      <c r="J418">
        <v>0.24</v>
      </c>
      <c r="K418">
        <v>0.2576</v>
      </c>
      <c r="L418">
        <v>0.93</v>
      </c>
      <c r="M418">
        <v>0.1045</v>
      </c>
      <c r="N418">
        <v>2</v>
      </c>
      <c r="O418">
        <v>107</v>
      </c>
      <c r="P418">
        <v>109</v>
      </c>
      <c r="S418" t="str">
        <f>IF(Dataset_A[[#This Row],[Hr]]&gt;=19,"Evening Time",IF(Dataset_A[[#This Row],[Hr]]&gt;=9,"Day Time",IF(Dataset_A[[#This Row],[Hr]]&gt;=0,"Night Time","")))</f>
        <v>Day Time</v>
      </c>
    </row>
    <row r="419" spans="1:19" x14ac:dyDescent="0.2">
      <c r="A419">
        <v>418</v>
      </c>
      <c r="B419" s="3">
        <v>40562</v>
      </c>
      <c r="C419">
        <v>1</v>
      </c>
      <c r="D419">
        <v>2011</v>
      </c>
      <c r="E419" t="s">
        <v>10</v>
      </c>
      <c r="F419">
        <v>10</v>
      </c>
      <c r="G419" t="b">
        <v>0</v>
      </c>
      <c r="H419" t="s">
        <v>15</v>
      </c>
      <c r="I419">
        <v>2</v>
      </c>
      <c r="J419">
        <v>0.26</v>
      </c>
      <c r="K419">
        <v>0.2727</v>
      </c>
      <c r="L419">
        <v>0.93</v>
      </c>
      <c r="M419">
        <v>0.1343</v>
      </c>
      <c r="N419">
        <v>1</v>
      </c>
      <c r="O419">
        <v>46</v>
      </c>
      <c r="P419">
        <v>47</v>
      </c>
      <c r="S419" t="str">
        <f>IF(Dataset_A[[#This Row],[Hr]]&gt;=19,"Evening Time",IF(Dataset_A[[#This Row],[Hr]]&gt;=9,"Day Time",IF(Dataset_A[[#This Row],[Hr]]&gt;=0,"Night Time","")))</f>
        <v>Day Time</v>
      </c>
    </row>
    <row r="420" spans="1:19" x14ac:dyDescent="0.2">
      <c r="A420">
        <v>419</v>
      </c>
      <c r="B420" s="3">
        <v>40562</v>
      </c>
      <c r="C420">
        <v>1</v>
      </c>
      <c r="D420">
        <v>2011</v>
      </c>
      <c r="E420" t="s">
        <v>10</v>
      </c>
      <c r="F420">
        <v>11</v>
      </c>
      <c r="G420" t="b">
        <v>0</v>
      </c>
      <c r="H420" t="s">
        <v>15</v>
      </c>
      <c r="I420">
        <v>2</v>
      </c>
      <c r="J420">
        <v>0.28000000000000003</v>
      </c>
      <c r="K420">
        <v>0.30299999999999999</v>
      </c>
      <c r="L420">
        <v>0.87</v>
      </c>
      <c r="M420">
        <v>8.9599999999999999E-2</v>
      </c>
      <c r="N420">
        <v>5</v>
      </c>
      <c r="O420">
        <v>47</v>
      </c>
      <c r="P420">
        <v>52</v>
      </c>
      <c r="S420" t="str">
        <f>IF(Dataset_A[[#This Row],[Hr]]&gt;=19,"Evening Time",IF(Dataset_A[[#This Row],[Hr]]&gt;=9,"Day Time",IF(Dataset_A[[#This Row],[Hr]]&gt;=0,"Night Time","")))</f>
        <v>Day Time</v>
      </c>
    </row>
    <row r="421" spans="1:19" x14ac:dyDescent="0.2">
      <c r="A421">
        <v>420</v>
      </c>
      <c r="B421" s="3">
        <v>40562</v>
      </c>
      <c r="C421">
        <v>1</v>
      </c>
      <c r="D421">
        <v>2011</v>
      </c>
      <c r="E421" t="s">
        <v>10</v>
      </c>
      <c r="F421">
        <v>12</v>
      </c>
      <c r="G421" t="b">
        <v>0</v>
      </c>
      <c r="H421" t="s">
        <v>15</v>
      </c>
      <c r="I421">
        <v>2</v>
      </c>
      <c r="J421">
        <v>0.3</v>
      </c>
      <c r="K421">
        <v>0.31819999999999998</v>
      </c>
      <c r="L421">
        <v>0.81</v>
      </c>
      <c r="M421">
        <v>8.9599999999999999E-2</v>
      </c>
      <c r="N421">
        <v>5</v>
      </c>
      <c r="O421">
        <v>65</v>
      </c>
      <c r="P421">
        <v>70</v>
      </c>
      <c r="S421" t="str">
        <f>IF(Dataset_A[[#This Row],[Hr]]&gt;=19,"Evening Time",IF(Dataset_A[[#This Row],[Hr]]&gt;=9,"Day Time",IF(Dataset_A[[#This Row],[Hr]]&gt;=0,"Night Time","")))</f>
        <v>Day Time</v>
      </c>
    </row>
    <row r="422" spans="1:19" x14ac:dyDescent="0.2">
      <c r="A422">
        <v>421</v>
      </c>
      <c r="B422" s="3">
        <v>40562</v>
      </c>
      <c r="C422">
        <v>1</v>
      </c>
      <c r="D422">
        <v>2011</v>
      </c>
      <c r="E422" t="s">
        <v>10</v>
      </c>
      <c r="F422">
        <v>13</v>
      </c>
      <c r="G422" t="b">
        <v>0</v>
      </c>
      <c r="H422" t="s">
        <v>15</v>
      </c>
      <c r="I422">
        <v>1</v>
      </c>
      <c r="J422">
        <v>0.4</v>
      </c>
      <c r="K422">
        <v>0.40910000000000002</v>
      </c>
      <c r="L422">
        <v>0.62</v>
      </c>
      <c r="M422">
        <v>0.28360000000000002</v>
      </c>
      <c r="N422">
        <v>11</v>
      </c>
      <c r="O422">
        <v>67</v>
      </c>
      <c r="P422">
        <v>78</v>
      </c>
      <c r="S422" t="str">
        <f>IF(Dataset_A[[#This Row],[Hr]]&gt;=19,"Evening Time",IF(Dataset_A[[#This Row],[Hr]]&gt;=9,"Day Time",IF(Dataset_A[[#This Row],[Hr]]&gt;=0,"Night Time","")))</f>
        <v>Day Time</v>
      </c>
    </row>
    <row r="423" spans="1:19" x14ac:dyDescent="0.2">
      <c r="A423">
        <v>422</v>
      </c>
      <c r="B423" s="3">
        <v>40562</v>
      </c>
      <c r="C423">
        <v>1</v>
      </c>
      <c r="D423">
        <v>2011</v>
      </c>
      <c r="E423" t="s">
        <v>10</v>
      </c>
      <c r="F423">
        <v>14</v>
      </c>
      <c r="G423" t="b">
        <v>0</v>
      </c>
      <c r="H423" t="s">
        <v>15</v>
      </c>
      <c r="I423">
        <v>1</v>
      </c>
      <c r="J423">
        <v>0.4</v>
      </c>
      <c r="K423">
        <v>0.40910000000000002</v>
      </c>
      <c r="L423">
        <v>0.57999999999999996</v>
      </c>
      <c r="M423">
        <v>0.25369999999999998</v>
      </c>
      <c r="N423">
        <v>7</v>
      </c>
      <c r="O423">
        <v>68</v>
      </c>
      <c r="P423">
        <v>75</v>
      </c>
      <c r="S423" t="str">
        <f>IF(Dataset_A[[#This Row],[Hr]]&gt;=19,"Evening Time",IF(Dataset_A[[#This Row],[Hr]]&gt;=9,"Day Time",IF(Dataset_A[[#This Row],[Hr]]&gt;=0,"Night Time","")))</f>
        <v>Day Time</v>
      </c>
    </row>
    <row r="424" spans="1:19" x14ac:dyDescent="0.2">
      <c r="A424">
        <v>423</v>
      </c>
      <c r="B424" s="3">
        <v>40562</v>
      </c>
      <c r="C424">
        <v>1</v>
      </c>
      <c r="D424">
        <v>2011</v>
      </c>
      <c r="E424" t="s">
        <v>10</v>
      </c>
      <c r="F424">
        <v>15</v>
      </c>
      <c r="G424" t="b">
        <v>0</v>
      </c>
      <c r="H424" t="s">
        <v>15</v>
      </c>
      <c r="I424">
        <v>1</v>
      </c>
      <c r="J424">
        <v>0.4</v>
      </c>
      <c r="K424">
        <v>0.40910000000000002</v>
      </c>
      <c r="L424">
        <v>0.54</v>
      </c>
      <c r="M424">
        <v>0.28360000000000002</v>
      </c>
      <c r="N424">
        <v>4</v>
      </c>
      <c r="O424">
        <v>78</v>
      </c>
      <c r="P424">
        <v>82</v>
      </c>
      <c r="S424" t="str">
        <f>IF(Dataset_A[[#This Row],[Hr]]&gt;=19,"Evening Time",IF(Dataset_A[[#This Row],[Hr]]&gt;=9,"Day Time",IF(Dataset_A[[#This Row],[Hr]]&gt;=0,"Night Time","")))</f>
        <v>Day Time</v>
      </c>
    </row>
    <row r="425" spans="1:19" x14ac:dyDescent="0.2">
      <c r="A425">
        <v>424</v>
      </c>
      <c r="B425" s="3">
        <v>40562</v>
      </c>
      <c r="C425">
        <v>1</v>
      </c>
      <c r="D425">
        <v>2011</v>
      </c>
      <c r="E425" t="s">
        <v>10</v>
      </c>
      <c r="F425">
        <v>16</v>
      </c>
      <c r="G425" t="b">
        <v>0</v>
      </c>
      <c r="H425" t="s">
        <v>15</v>
      </c>
      <c r="I425">
        <v>1</v>
      </c>
      <c r="J425">
        <v>0.38</v>
      </c>
      <c r="K425">
        <v>0.39389999999999997</v>
      </c>
      <c r="L425">
        <v>0.57999999999999996</v>
      </c>
      <c r="M425">
        <v>0.3881</v>
      </c>
      <c r="N425">
        <v>10</v>
      </c>
      <c r="O425">
        <v>94</v>
      </c>
      <c r="P425">
        <v>104</v>
      </c>
      <c r="S425" t="str">
        <f>IF(Dataset_A[[#This Row],[Hr]]&gt;=19,"Evening Time",IF(Dataset_A[[#This Row],[Hr]]&gt;=9,"Day Time",IF(Dataset_A[[#This Row],[Hr]]&gt;=0,"Night Time","")))</f>
        <v>Day Time</v>
      </c>
    </row>
    <row r="426" spans="1:19" x14ac:dyDescent="0.2">
      <c r="A426">
        <v>425</v>
      </c>
      <c r="B426" s="3">
        <v>40562</v>
      </c>
      <c r="C426">
        <v>1</v>
      </c>
      <c r="D426">
        <v>2011</v>
      </c>
      <c r="E426" t="s">
        <v>10</v>
      </c>
      <c r="F426">
        <v>17</v>
      </c>
      <c r="G426" t="b">
        <v>0</v>
      </c>
      <c r="H426" t="s">
        <v>15</v>
      </c>
      <c r="I426">
        <v>1</v>
      </c>
      <c r="J426">
        <v>0.36</v>
      </c>
      <c r="K426">
        <v>0.33329999999999999</v>
      </c>
      <c r="L426">
        <v>0.56999999999999995</v>
      </c>
      <c r="M426">
        <v>0.32840000000000003</v>
      </c>
      <c r="N426">
        <v>7</v>
      </c>
      <c r="O426">
        <v>190</v>
      </c>
      <c r="P426">
        <v>197</v>
      </c>
      <c r="S426" t="str">
        <f>IF(Dataset_A[[#This Row],[Hr]]&gt;=19,"Evening Time",IF(Dataset_A[[#This Row],[Hr]]&gt;=9,"Day Time",IF(Dataset_A[[#This Row],[Hr]]&gt;=0,"Night Time","")))</f>
        <v>Day Time</v>
      </c>
    </row>
    <row r="427" spans="1:19" x14ac:dyDescent="0.2">
      <c r="A427">
        <v>426</v>
      </c>
      <c r="B427" s="3">
        <v>40562</v>
      </c>
      <c r="C427">
        <v>1</v>
      </c>
      <c r="D427">
        <v>2011</v>
      </c>
      <c r="E427" t="s">
        <v>10</v>
      </c>
      <c r="F427">
        <v>18</v>
      </c>
      <c r="G427" t="b">
        <v>0</v>
      </c>
      <c r="H427" t="s">
        <v>15</v>
      </c>
      <c r="I427">
        <v>1</v>
      </c>
      <c r="J427">
        <v>0.34</v>
      </c>
      <c r="K427">
        <v>0.31819999999999998</v>
      </c>
      <c r="L427">
        <v>0.61</v>
      </c>
      <c r="M427">
        <v>0.28360000000000002</v>
      </c>
      <c r="N427">
        <v>5</v>
      </c>
      <c r="O427">
        <v>156</v>
      </c>
      <c r="P427">
        <v>161</v>
      </c>
      <c r="S427" t="str">
        <f>IF(Dataset_A[[#This Row],[Hr]]&gt;=19,"Evening Time",IF(Dataset_A[[#This Row],[Hr]]&gt;=9,"Day Time",IF(Dataset_A[[#This Row],[Hr]]&gt;=0,"Night Time","")))</f>
        <v>Day Time</v>
      </c>
    </row>
    <row r="428" spans="1:19" x14ac:dyDescent="0.2">
      <c r="A428">
        <v>427</v>
      </c>
      <c r="B428" s="3">
        <v>40562</v>
      </c>
      <c r="C428">
        <v>1</v>
      </c>
      <c r="D428">
        <v>2011</v>
      </c>
      <c r="E428" t="s">
        <v>10</v>
      </c>
      <c r="F428">
        <v>19</v>
      </c>
      <c r="G428" t="b">
        <v>0</v>
      </c>
      <c r="H428" t="s">
        <v>15</v>
      </c>
      <c r="I428">
        <v>1</v>
      </c>
      <c r="J428">
        <v>0.32</v>
      </c>
      <c r="K428">
        <v>0.28789999999999999</v>
      </c>
      <c r="L428">
        <v>0.56999999999999995</v>
      </c>
      <c r="M428">
        <v>0.41789999999999999</v>
      </c>
      <c r="N428">
        <v>4</v>
      </c>
      <c r="O428">
        <v>108</v>
      </c>
      <c r="P428">
        <v>112</v>
      </c>
      <c r="S428" t="str">
        <f>IF(Dataset_A[[#This Row],[Hr]]&gt;=19,"Evening Time",IF(Dataset_A[[#This Row],[Hr]]&gt;=9,"Day Time",IF(Dataset_A[[#This Row],[Hr]]&gt;=0,"Night Time","")))</f>
        <v>Evening Time</v>
      </c>
    </row>
    <row r="429" spans="1:19" x14ac:dyDescent="0.2">
      <c r="A429">
        <v>428</v>
      </c>
      <c r="B429" s="3">
        <v>40562</v>
      </c>
      <c r="C429">
        <v>1</v>
      </c>
      <c r="D429">
        <v>2011</v>
      </c>
      <c r="E429" t="s">
        <v>10</v>
      </c>
      <c r="F429">
        <v>20</v>
      </c>
      <c r="G429" t="b">
        <v>0</v>
      </c>
      <c r="H429" t="s">
        <v>15</v>
      </c>
      <c r="I429">
        <v>1</v>
      </c>
      <c r="J429">
        <v>0.32</v>
      </c>
      <c r="K429">
        <v>0.30299999999999999</v>
      </c>
      <c r="L429">
        <v>0.49</v>
      </c>
      <c r="M429">
        <v>0.29849999999999999</v>
      </c>
      <c r="N429">
        <v>2</v>
      </c>
      <c r="O429">
        <v>74</v>
      </c>
      <c r="P429">
        <v>76</v>
      </c>
      <c r="S429" t="str">
        <f>IF(Dataset_A[[#This Row],[Hr]]&gt;=19,"Evening Time",IF(Dataset_A[[#This Row],[Hr]]&gt;=9,"Day Time",IF(Dataset_A[[#This Row],[Hr]]&gt;=0,"Night Time","")))</f>
        <v>Evening Time</v>
      </c>
    </row>
    <row r="430" spans="1:19" x14ac:dyDescent="0.2">
      <c r="A430">
        <v>429</v>
      </c>
      <c r="B430" s="3">
        <v>40562</v>
      </c>
      <c r="C430">
        <v>1</v>
      </c>
      <c r="D430">
        <v>2011</v>
      </c>
      <c r="E430" t="s">
        <v>10</v>
      </c>
      <c r="F430">
        <v>21</v>
      </c>
      <c r="G430" t="b">
        <v>0</v>
      </c>
      <c r="H430" t="s">
        <v>15</v>
      </c>
      <c r="I430">
        <v>1</v>
      </c>
      <c r="J430">
        <v>0.32</v>
      </c>
      <c r="K430">
        <v>0.28789999999999999</v>
      </c>
      <c r="L430">
        <v>0.49</v>
      </c>
      <c r="M430">
        <v>0.41789999999999999</v>
      </c>
      <c r="N430">
        <v>4</v>
      </c>
      <c r="O430">
        <v>55</v>
      </c>
      <c r="P430">
        <v>59</v>
      </c>
      <c r="S430" t="str">
        <f>IF(Dataset_A[[#This Row],[Hr]]&gt;=19,"Evening Time",IF(Dataset_A[[#This Row],[Hr]]&gt;=9,"Day Time",IF(Dataset_A[[#This Row],[Hr]]&gt;=0,"Night Time","")))</f>
        <v>Evening Time</v>
      </c>
    </row>
    <row r="431" spans="1:19" x14ac:dyDescent="0.2">
      <c r="A431">
        <v>430</v>
      </c>
      <c r="B431" s="3">
        <v>40562</v>
      </c>
      <c r="C431">
        <v>1</v>
      </c>
      <c r="D431">
        <v>2011</v>
      </c>
      <c r="E431" t="s">
        <v>10</v>
      </c>
      <c r="F431">
        <v>22</v>
      </c>
      <c r="G431" t="b">
        <v>0</v>
      </c>
      <c r="H431" t="s">
        <v>15</v>
      </c>
      <c r="I431">
        <v>1</v>
      </c>
      <c r="J431">
        <v>0.3</v>
      </c>
      <c r="K431">
        <v>0.30299999999999999</v>
      </c>
      <c r="L431">
        <v>0.52</v>
      </c>
      <c r="M431">
        <v>0.16420000000000001</v>
      </c>
      <c r="N431">
        <v>6</v>
      </c>
      <c r="O431">
        <v>53</v>
      </c>
      <c r="P431">
        <v>59</v>
      </c>
      <c r="S431" t="str">
        <f>IF(Dataset_A[[#This Row],[Hr]]&gt;=19,"Evening Time",IF(Dataset_A[[#This Row],[Hr]]&gt;=9,"Day Time",IF(Dataset_A[[#This Row],[Hr]]&gt;=0,"Night Time","")))</f>
        <v>Evening Time</v>
      </c>
    </row>
    <row r="432" spans="1:19" x14ac:dyDescent="0.2">
      <c r="A432">
        <v>431</v>
      </c>
      <c r="B432" s="3">
        <v>40562</v>
      </c>
      <c r="C432">
        <v>1</v>
      </c>
      <c r="D432">
        <v>2011</v>
      </c>
      <c r="E432" t="s">
        <v>10</v>
      </c>
      <c r="F432">
        <v>23</v>
      </c>
      <c r="G432" t="b">
        <v>0</v>
      </c>
      <c r="H432" t="s">
        <v>15</v>
      </c>
      <c r="I432">
        <v>1</v>
      </c>
      <c r="J432">
        <v>0.3</v>
      </c>
      <c r="K432">
        <v>0.2727</v>
      </c>
      <c r="L432">
        <v>0.52</v>
      </c>
      <c r="M432">
        <v>0.4627</v>
      </c>
      <c r="N432">
        <v>1</v>
      </c>
      <c r="O432">
        <v>27</v>
      </c>
      <c r="P432">
        <v>28</v>
      </c>
      <c r="S432" t="str">
        <f>IF(Dataset_A[[#This Row],[Hr]]&gt;=19,"Evening Time",IF(Dataset_A[[#This Row],[Hr]]&gt;=9,"Day Time",IF(Dataset_A[[#This Row],[Hr]]&gt;=0,"Night Time","")))</f>
        <v>Evening Time</v>
      </c>
    </row>
    <row r="433" spans="1:19" x14ac:dyDescent="0.2">
      <c r="A433">
        <v>432</v>
      </c>
      <c r="B433" s="3">
        <v>40563</v>
      </c>
      <c r="C433">
        <v>1</v>
      </c>
      <c r="D433">
        <v>2011</v>
      </c>
      <c r="E433" t="s">
        <v>10</v>
      </c>
      <c r="F433">
        <v>0</v>
      </c>
      <c r="G433" t="b">
        <v>0</v>
      </c>
      <c r="H433" t="s">
        <v>16</v>
      </c>
      <c r="I433">
        <v>1</v>
      </c>
      <c r="J433">
        <v>0.26</v>
      </c>
      <c r="K433">
        <v>0.2273</v>
      </c>
      <c r="L433">
        <v>0.56000000000000005</v>
      </c>
      <c r="M433">
        <v>0.3881</v>
      </c>
      <c r="N433">
        <v>5</v>
      </c>
      <c r="O433">
        <v>8</v>
      </c>
      <c r="P433">
        <v>13</v>
      </c>
      <c r="S433" t="str">
        <f>IF(Dataset_A[[#This Row],[Hr]]&gt;=19,"Evening Time",IF(Dataset_A[[#This Row],[Hr]]&gt;=9,"Day Time",IF(Dataset_A[[#This Row],[Hr]]&gt;=0,"Night Time","")))</f>
        <v>Night Time</v>
      </c>
    </row>
    <row r="434" spans="1:19" x14ac:dyDescent="0.2">
      <c r="A434">
        <v>433</v>
      </c>
      <c r="B434" s="3">
        <v>40563</v>
      </c>
      <c r="C434">
        <v>1</v>
      </c>
      <c r="D434">
        <v>2011</v>
      </c>
      <c r="E434" t="s">
        <v>10</v>
      </c>
      <c r="F434">
        <v>1</v>
      </c>
      <c r="G434" t="b">
        <v>0</v>
      </c>
      <c r="H434" t="s">
        <v>16</v>
      </c>
      <c r="I434">
        <v>1</v>
      </c>
      <c r="J434">
        <v>0.26</v>
      </c>
      <c r="K434">
        <v>0.2727</v>
      </c>
      <c r="L434">
        <v>0.56000000000000005</v>
      </c>
      <c r="M434">
        <v>0</v>
      </c>
      <c r="N434">
        <v>2</v>
      </c>
      <c r="O434">
        <v>3</v>
      </c>
      <c r="P434">
        <v>5</v>
      </c>
      <c r="S434" t="str">
        <f>IF(Dataset_A[[#This Row],[Hr]]&gt;=19,"Evening Time",IF(Dataset_A[[#This Row],[Hr]]&gt;=9,"Day Time",IF(Dataset_A[[#This Row],[Hr]]&gt;=0,"Night Time","")))</f>
        <v>Night Time</v>
      </c>
    </row>
    <row r="435" spans="1:19" x14ac:dyDescent="0.2">
      <c r="A435">
        <v>434</v>
      </c>
      <c r="B435" s="3">
        <v>40563</v>
      </c>
      <c r="C435">
        <v>1</v>
      </c>
      <c r="D435">
        <v>2011</v>
      </c>
      <c r="E435" t="s">
        <v>10</v>
      </c>
      <c r="F435">
        <v>2</v>
      </c>
      <c r="G435" t="b">
        <v>0</v>
      </c>
      <c r="H435" t="s">
        <v>16</v>
      </c>
      <c r="I435">
        <v>1</v>
      </c>
      <c r="J435">
        <v>0.26</v>
      </c>
      <c r="K435">
        <v>0.2727</v>
      </c>
      <c r="L435">
        <v>0.56000000000000005</v>
      </c>
      <c r="M435">
        <v>0</v>
      </c>
      <c r="N435">
        <v>0</v>
      </c>
      <c r="O435">
        <v>2</v>
      </c>
      <c r="P435">
        <v>2</v>
      </c>
      <c r="S435" t="str">
        <f>IF(Dataset_A[[#This Row],[Hr]]&gt;=19,"Evening Time",IF(Dataset_A[[#This Row],[Hr]]&gt;=9,"Day Time",IF(Dataset_A[[#This Row],[Hr]]&gt;=0,"Night Time","")))</f>
        <v>Night Time</v>
      </c>
    </row>
    <row r="436" spans="1:19" x14ac:dyDescent="0.2">
      <c r="A436">
        <v>435</v>
      </c>
      <c r="B436" s="3">
        <v>40563</v>
      </c>
      <c r="C436">
        <v>1</v>
      </c>
      <c r="D436">
        <v>2011</v>
      </c>
      <c r="E436" t="s">
        <v>10</v>
      </c>
      <c r="F436">
        <v>3</v>
      </c>
      <c r="G436" t="b">
        <v>0</v>
      </c>
      <c r="H436" t="s">
        <v>16</v>
      </c>
      <c r="I436">
        <v>1</v>
      </c>
      <c r="J436">
        <v>0.26</v>
      </c>
      <c r="K436">
        <v>0.2576</v>
      </c>
      <c r="L436">
        <v>0.56000000000000005</v>
      </c>
      <c r="M436">
        <v>0.16420000000000001</v>
      </c>
      <c r="N436">
        <v>0</v>
      </c>
      <c r="O436">
        <v>1</v>
      </c>
      <c r="P436">
        <v>1</v>
      </c>
      <c r="S436" t="str">
        <f>IF(Dataset_A[[#This Row],[Hr]]&gt;=19,"Evening Time",IF(Dataset_A[[#This Row],[Hr]]&gt;=9,"Day Time",IF(Dataset_A[[#This Row],[Hr]]&gt;=0,"Night Time","")))</f>
        <v>Night Time</v>
      </c>
    </row>
    <row r="437" spans="1:19" x14ac:dyDescent="0.2">
      <c r="A437">
        <v>436</v>
      </c>
      <c r="B437" s="3">
        <v>40563</v>
      </c>
      <c r="C437">
        <v>1</v>
      </c>
      <c r="D437">
        <v>2011</v>
      </c>
      <c r="E437" t="s">
        <v>10</v>
      </c>
      <c r="F437">
        <v>4</v>
      </c>
      <c r="G437" t="b">
        <v>0</v>
      </c>
      <c r="H437" t="s">
        <v>16</v>
      </c>
      <c r="I437">
        <v>1</v>
      </c>
      <c r="J437">
        <v>0.26</v>
      </c>
      <c r="K437">
        <v>0.2576</v>
      </c>
      <c r="L437">
        <v>0.56000000000000005</v>
      </c>
      <c r="M437">
        <v>0.16420000000000001</v>
      </c>
      <c r="N437">
        <v>0</v>
      </c>
      <c r="O437">
        <v>1</v>
      </c>
      <c r="P437">
        <v>1</v>
      </c>
      <c r="S437" t="str">
        <f>IF(Dataset_A[[#This Row],[Hr]]&gt;=19,"Evening Time",IF(Dataset_A[[#This Row],[Hr]]&gt;=9,"Day Time",IF(Dataset_A[[#This Row],[Hr]]&gt;=0,"Night Time","")))</f>
        <v>Night Time</v>
      </c>
    </row>
    <row r="438" spans="1:19" x14ac:dyDescent="0.2">
      <c r="A438">
        <v>437</v>
      </c>
      <c r="B438" s="3">
        <v>40563</v>
      </c>
      <c r="C438">
        <v>1</v>
      </c>
      <c r="D438">
        <v>2011</v>
      </c>
      <c r="E438" t="s">
        <v>10</v>
      </c>
      <c r="F438">
        <v>5</v>
      </c>
      <c r="G438" t="b">
        <v>0</v>
      </c>
      <c r="H438" t="s">
        <v>16</v>
      </c>
      <c r="I438">
        <v>1</v>
      </c>
      <c r="J438">
        <v>0.24</v>
      </c>
      <c r="K438">
        <v>0.2273</v>
      </c>
      <c r="L438">
        <v>0.6</v>
      </c>
      <c r="M438">
        <v>0.22389999999999999</v>
      </c>
      <c r="N438">
        <v>0</v>
      </c>
      <c r="O438">
        <v>6</v>
      </c>
      <c r="P438">
        <v>6</v>
      </c>
      <c r="S438" t="str">
        <f>IF(Dataset_A[[#This Row],[Hr]]&gt;=19,"Evening Time",IF(Dataset_A[[#This Row],[Hr]]&gt;=9,"Day Time",IF(Dataset_A[[#This Row],[Hr]]&gt;=0,"Night Time","")))</f>
        <v>Night Time</v>
      </c>
    </row>
    <row r="439" spans="1:19" x14ac:dyDescent="0.2">
      <c r="A439">
        <v>438</v>
      </c>
      <c r="B439" s="3">
        <v>40563</v>
      </c>
      <c r="C439">
        <v>1</v>
      </c>
      <c r="D439">
        <v>2011</v>
      </c>
      <c r="E439" t="s">
        <v>10</v>
      </c>
      <c r="F439">
        <v>6</v>
      </c>
      <c r="G439" t="b">
        <v>0</v>
      </c>
      <c r="H439" t="s">
        <v>16</v>
      </c>
      <c r="I439">
        <v>1</v>
      </c>
      <c r="J439">
        <v>0.22</v>
      </c>
      <c r="K439">
        <v>0.21210000000000001</v>
      </c>
      <c r="L439">
        <v>0.6</v>
      </c>
      <c r="M439">
        <v>0.22389999999999999</v>
      </c>
      <c r="N439">
        <v>0</v>
      </c>
      <c r="O439">
        <v>35</v>
      </c>
      <c r="P439">
        <v>35</v>
      </c>
      <c r="S439" t="str">
        <f>IF(Dataset_A[[#This Row],[Hr]]&gt;=19,"Evening Time",IF(Dataset_A[[#This Row],[Hr]]&gt;=9,"Day Time",IF(Dataset_A[[#This Row],[Hr]]&gt;=0,"Night Time","")))</f>
        <v>Night Time</v>
      </c>
    </row>
    <row r="440" spans="1:19" x14ac:dyDescent="0.2">
      <c r="A440">
        <v>439</v>
      </c>
      <c r="B440" s="3">
        <v>40563</v>
      </c>
      <c r="C440">
        <v>1</v>
      </c>
      <c r="D440">
        <v>2011</v>
      </c>
      <c r="E440" t="s">
        <v>10</v>
      </c>
      <c r="F440">
        <v>7</v>
      </c>
      <c r="G440" t="b">
        <v>0</v>
      </c>
      <c r="H440" t="s">
        <v>16</v>
      </c>
      <c r="I440">
        <v>1</v>
      </c>
      <c r="J440">
        <v>0.22</v>
      </c>
      <c r="K440">
        <v>0.21210000000000001</v>
      </c>
      <c r="L440">
        <v>0.55000000000000004</v>
      </c>
      <c r="M440">
        <v>0.22389999999999999</v>
      </c>
      <c r="N440">
        <v>1</v>
      </c>
      <c r="O440">
        <v>100</v>
      </c>
      <c r="P440">
        <v>101</v>
      </c>
      <c r="S440" t="str">
        <f>IF(Dataset_A[[#This Row],[Hr]]&gt;=19,"Evening Time",IF(Dataset_A[[#This Row],[Hr]]&gt;=9,"Day Time",IF(Dataset_A[[#This Row],[Hr]]&gt;=0,"Night Time","")))</f>
        <v>Night Time</v>
      </c>
    </row>
    <row r="441" spans="1:19" x14ac:dyDescent="0.2">
      <c r="A441">
        <v>440</v>
      </c>
      <c r="B441" s="3">
        <v>40563</v>
      </c>
      <c r="C441">
        <v>1</v>
      </c>
      <c r="D441">
        <v>2011</v>
      </c>
      <c r="E441" t="s">
        <v>10</v>
      </c>
      <c r="F441">
        <v>8</v>
      </c>
      <c r="G441" t="b">
        <v>0</v>
      </c>
      <c r="H441" t="s">
        <v>16</v>
      </c>
      <c r="I441">
        <v>1</v>
      </c>
      <c r="J441">
        <v>0.22</v>
      </c>
      <c r="K441">
        <v>0.21210000000000001</v>
      </c>
      <c r="L441">
        <v>0.55000000000000004</v>
      </c>
      <c r="M441">
        <v>0.28360000000000002</v>
      </c>
      <c r="N441">
        <v>2</v>
      </c>
      <c r="O441">
        <v>247</v>
      </c>
      <c r="P441">
        <v>249</v>
      </c>
      <c r="S441" t="str">
        <f>IF(Dataset_A[[#This Row],[Hr]]&gt;=19,"Evening Time",IF(Dataset_A[[#This Row],[Hr]]&gt;=9,"Day Time",IF(Dataset_A[[#This Row],[Hr]]&gt;=0,"Night Time","")))</f>
        <v>Night Time</v>
      </c>
    </row>
    <row r="442" spans="1:19" x14ac:dyDescent="0.2">
      <c r="A442">
        <v>441</v>
      </c>
      <c r="B442" s="3">
        <v>40563</v>
      </c>
      <c r="C442">
        <v>1</v>
      </c>
      <c r="D442">
        <v>2011</v>
      </c>
      <c r="E442" t="s">
        <v>10</v>
      </c>
      <c r="F442">
        <v>9</v>
      </c>
      <c r="G442" t="b">
        <v>0</v>
      </c>
      <c r="H442" t="s">
        <v>16</v>
      </c>
      <c r="I442">
        <v>2</v>
      </c>
      <c r="J442">
        <v>0.24</v>
      </c>
      <c r="K442">
        <v>0.2273</v>
      </c>
      <c r="L442">
        <v>0.52</v>
      </c>
      <c r="M442">
        <v>0.22389999999999999</v>
      </c>
      <c r="N442">
        <v>3</v>
      </c>
      <c r="O442">
        <v>140</v>
      </c>
      <c r="P442">
        <v>143</v>
      </c>
      <c r="S442" t="str">
        <f>IF(Dataset_A[[#This Row],[Hr]]&gt;=19,"Evening Time",IF(Dataset_A[[#This Row],[Hr]]&gt;=9,"Day Time",IF(Dataset_A[[#This Row],[Hr]]&gt;=0,"Night Time","")))</f>
        <v>Day Time</v>
      </c>
    </row>
    <row r="443" spans="1:19" x14ac:dyDescent="0.2">
      <c r="A443">
        <v>442</v>
      </c>
      <c r="B443" s="3">
        <v>40563</v>
      </c>
      <c r="C443">
        <v>1</v>
      </c>
      <c r="D443">
        <v>2011</v>
      </c>
      <c r="E443" t="s">
        <v>10</v>
      </c>
      <c r="F443">
        <v>10</v>
      </c>
      <c r="G443" t="b">
        <v>0</v>
      </c>
      <c r="H443" t="s">
        <v>16</v>
      </c>
      <c r="I443">
        <v>1</v>
      </c>
      <c r="J443">
        <v>0.26</v>
      </c>
      <c r="K443">
        <v>0.2273</v>
      </c>
      <c r="L443">
        <v>0.48</v>
      </c>
      <c r="M443">
        <v>0.29849999999999999</v>
      </c>
      <c r="N443">
        <v>1</v>
      </c>
      <c r="O443">
        <v>56</v>
      </c>
      <c r="P443">
        <v>57</v>
      </c>
      <c r="S443" t="str">
        <f>IF(Dataset_A[[#This Row],[Hr]]&gt;=19,"Evening Time",IF(Dataset_A[[#This Row],[Hr]]&gt;=9,"Day Time",IF(Dataset_A[[#This Row],[Hr]]&gt;=0,"Night Time","")))</f>
        <v>Day Time</v>
      </c>
    </row>
    <row r="444" spans="1:19" x14ac:dyDescent="0.2">
      <c r="A444">
        <v>443</v>
      </c>
      <c r="B444" s="3">
        <v>40563</v>
      </c>
      <c r="C444">
        <v>1</v>
      </c>
      <c r="D444">
        <v>2011</v>
      </c>
      <c r="E444" t="s">
        <v>10</v>
      </c>
      <c r="F444">
        <v>11</v>
      </c>
      <c r="G444" t="b">
        <v>0</v>
      </c>
      <c r="H444" t="s">
        <v>16</v>
      </c>
      <c r="I444">
        <v>2</v>
      </c>
      <c r="J444">
        <v>0.28000000000000003</v>
      </c>
      <c r="K444">
        <v>0.2727</v>
      </c>
      <c r="L444">
        <v>0.45</v>
      </c>
      <c r="M444">
        <v>0.16420000000000001</v>
      </c>
      <c r="N444">
        <v>5</v>
      </c>
      <c r="O444">
        <v>63</v>
      </c>
      <c r="P444">
        <v>68</v>
      </c>
      <c r="S444" t="str">
        <f>IF(Dataset_A[[#This Row],[Hr]]&gt;=19,"Evening Time",IF(Dataset_A[[#This Row],[Hr]]&gt;=9,"Day Time",IF(Dataset_A[[#This Row],[Hr]]&gt;=0,"Night Time","")))</f>
        <v>Day Time</v>
      </c>
    </row>
    <row r="445" spans="1:19" x14ac:dyDescent="0.2">
      <c r="A445">
        <v>444</v>
      </c>
      <c r="B445" s="3">
        <v>40563</v>
      </c>
      <c r="C445">
        <v>1</v>
      </c>
      <c r="D445">
        <v>2011</v>
      </c>
      <c r="E445" t="s">
        <v>10</v>
      </c>
      <c r="F445">
        <v>12</v>
      </c>
      <c r="G445" t="b">
        <v>0</v>
      </c>
      <c r="H445" t="s">
        <v>16</v>
      </c>
      <c r="I445">
        <v>2</v>
      </c>
      <c r="J445">
        <v>0.3</v>
      </c>
      <c r="K445">
        <v>0.33329999999999999</v>
      </c>
      <c r="L445">
        <v>0.42</v>
      </c>
      <c r="M445">
        <v>0</v>
      </c>
      <c r="N445">
        <v>7</v>
      </c>
      <c r="O445">
        <v>77</v>
      </c>
      <c r="P445">
        <v>84</v>
      </c>
      <c r="S445" t="str">
        <f>IF(Dataset_A[[#This Row],[Hr]]&gt;=19,"Evening Time",IF(Dataset_A[[#This Row],[Hr]]&gt;=9,"Day Time",IF(Dataset_A[[#This Row],[Hr]]&gt;=0,"Night Time","")))</f>
        <v>Day Time</v>
      </c>
    </row>
    <row r="446" spans="1:19" x14ac:dyDescent="0.2">
      <c r="A446">
        <v>445</v>
      </c>
      <c r="B446" s="3">
        <v>40563</v>
      </c>
      <c r="C446">
        <v>1</v>
      </c>
      <c r="D446">
        <v>2011</v>
      </c>
      <c r="E446" t="s">
        <v>10</v>
      </c>
      <c r="F446">
        <v>13</v>
      </c>
      <c r="G446" t="b">
        <v>0</v>
      </c>
      <c r="H446" t="s">
        <v>16</v>
      </c>
      <c r="I446">
        <v>2</v>
      </c>
      <c r="J446">
        <v>0.28000000000000003</v>
      </c>
      <c r="K446">
        <v>0.28789999999999999</v>
      </c>
      <c r="L446">
        <v>0.45</v>
      </c>
      <c r="M446">
        <v>0.1045</v>
      </c>
      <c r="N446">
        <v>12</v>
      </c>
      <c r="O446">
        <v>86</v>
      </c>
      <c r="P446">
        <v>98</v>
      </c>
      <c r="S446" t="str">
        <f>IF(Dataset_A[[#This Row],[Hr]]&gt;=19,"Evening Time",IF(Dataset_A[[#This Row],[Hr]]&gt;=9,"Day Time",IF(Dataset_A[[#This Row],[Hr]]&gt;=0,"Night Time","")))</f>
        <v>Day Time</v>
      </c>
    </row>
    <row r="447" spans="1:19" x14ac:dyDescent="0.2">
      <c r="A447">
        <v>446</v>
      </c>
      <c r="B447" s="3">
        <v>40563</v>
      </c>
      <c r="C447">
        <v>1</v>
      </c>
      <c r="D447">
        <v>2011</v>
      </c>
      <c r="E447" t="s">
        <v>10</v>
      </c>
      <c r="F447">
        <v>14</v>
      </c>
      <c r="G447" t="b">
        <v>0</v>
      </c>
      <c r="H447" t="s">
        <v>16</v>
      </c>
      <c r="I447">
        <v>2</v>
      </c>
      <c r="J447">
        <v>0.3</v>
      </c>
      <c r="K447">
        <v>0.30299999999999999</v>
      </c>
      <c r="L447">
        <v>0.45</v>
      </c>
      <c r="M447">
        <v>0.1343</v>
      </c>
      <c r="N447">
        <v>6</v>
      </c>
      <c r="O447">
        <v>75</v>
      </c>
      <c r="P447">
        <v>81</v>
      </c>
      <c r="S447" t="str">
        <f>IF(Dataset_A[[#This Row],[Hr]]&gt;=19,"Evening Time",IF(Dataset_A[[#This Row],[Hr]]&gt;=9,"Day Time",IF(Dataset_A[[#This Row],[Hr]]&gt;=0,"Night Time","")))</f>
        <v>Day Time</v>
      </c>
    </row>
    <row r="448" spans="1:19" x14ac:dyDescent="0.2">
      <c r="A448">
        <v>447</v>
      </c>
      <c r="B448" s="3">
        <v>40563</v>
      </c>
      <c r="C448">
        <v>1</v>
      </c>
      <c r="D448">
        <v>2011</v>
      </c>
      <c r="E448" t="s">
        <v>10</v>
      </c>
      <c r="F448">
        <v>15</v>
      </c>
      <c r="G448" t="b">
        <v>0</v>
      </c>
      <c r="H448" t="s">
        <v>16</v>
      </c>
      <c r="I448">
        <v>2</v>
      </c>
      <c r="J448">
        <v>0.32</v>
      </c>
      <c r="K448">
        <v>0.31819999999999998</v>
      </c>
      <c r="L448">
        <v>0.45</v>
      </c>
      <c r="M448">
        <v>0.19400000000000001</v>
      </c>
      <c r="N448">
        <v>8</v>
      </c>
      <c r="O448">
        <v>62</v>
      </c>
      <c r="P448">
        <v>70</v>
      </c>
      <c r="S448" t="str">
        <f>IF(Dataset_A[[#This Row],[Hr]]&gt;=19,"Evening Time",IF(Dataset_A[[#This Row],[Hr]]&gt;=9,"Day Time",IF(Dataset_A[[#This Row],[Hr]]&gt;=0,"Night Time","")))</f>
        <v>Day Time</v>
      </c>
    </row>
    <row r="449" spans="1:19" x14ac:dyDescent="0.2">
      <c r="A449">
        <v>448</v>
      </c>
      <c r="B449" s="3">
        <v>40563</v>
      </c>
      <c r="C449">
        <v>1</v>
      </c>
      <c r="D449">
        <v>2011</v>
      </c>
      <c r="E449" t="s">
        <v>10</v>
      </c>
      <c r="F449">
        <v>16</v>
      </c>
      <c r="G449" t="b">
        <v>0</v>
      </c>
      <c r="H449" t="s">
        <v>16</v>
      </c>
      <c r="I449">
        <v>2</v>
      </c>
      <c r="J449">
        <v>0.3</v>
      </c>
      <c r="K449">
        <v>0.30299999999999999</v>
      </c>
      <c r="L449">
        <v>0.49</v>
      </c>
      <c r="M449">
        <v>0.1343</v>
      </c>
      <c r="N449">
        <v>8</v>
      </c>
      <c r="O449">
        <v>83</v>
      </c>
      <c r="P449">
        <v>91</v>
      </c>
      <c r="S449" t="str">
        <f>IF(Dataset_A[[#This Row],[Hr]]&gt;=19,"Evening Time",IF(Dataset_A[[#This Row],[Hr]]&gt;=9,"Day Time",IF(Dataset_A[[#This Row],[Hr]]&gt;=0,"Night Time","")))</f>
        <v>Day Time</v>
      </c>
    </row>
    <row r="450" spans="1:19" x14ac:dyDescent="0.2">
      <c r="A450">
        <v>449</v>
      </c>
      <c r="B450" s="3">
        <v>40563</v>
      </c>
      <c r="C450">
        <v>1</v>
      </c>
      <c r="D450">
        <v>2011</v>
      </c>
      <c r="E450" t="s">
        <v>10</v>
      </c>
      <c r="F450">
        <v>17</v>
      </c>
      <c r="G450" t="b">
        <v>0</v>
      </c>
      <c r="H450" t="s">
        <v>16</v>
      </c>
      <c r="I450">
        <v>2</v>
      </c>
      <c r="J450">
        <v>0.3</v>
      </c>
      <c r="K450">
        <v>0.31819999999999998</v>
      </c>
      <c r="L450">
        <v>0.49</v>
      </c>
      <c r="M450">
        <v>0.1045</v>
      </c>
      <c r="N450">
        <v>8</v>
      </c>
      <c r="O450">
        <v>207</v>
      </c>
      <c r="P450">
        <v>215</v>
      </c>
      <c r="S450" t="str">
        <f>IF(Dataset_A[[#This Row],[Hr]]&gt;=19,"Evening Time",IF(Dataset_A[[#This Row],[Hr]]&gt;=9,"Day Time",IF(Dataset_A[[#This Row],[Hr]]&gt;=0,"Night Time","")))</f>
        <v>Day Time</v>
      </c>
    </row>
    <row r="451" spans="1:19" x14ac:dyDescent="0.2">
      <c r="A451">
        <v>450</v>
      </c>
      <c r="B451" s="3">
        <v>40563</v>
      </c>
      <c r="C451">
        <v>1</v>
      </c>
      <c r="D451">
        <v>2011</v>
      </c>
      <c r="E451" t="s">
        <v>10</v>
      </c>
      <c r="F451">
        <v>18</v>
      </c>
      <c r="G451" t="b">
        <v>0</v>
      </c>
      <c r="H451" t="s">
        <v>16</v>
      </c>
      <c r="I451">
        <v>2</v>
      </c>
      <c r="J451">
        <v>0.26</v>
      </c>
      <c r="K451">
        <v>0.2576</v>
      </c>
      <c r="L451">
        <v>0.56000000000000005</v>
      </c>
      <c r="M451">
        <v>0.19400000000000001</v>
      </c>
      <c r="N451">
        <v>1</v>
      </c>
      <c r="O451">
        <v>184</v>
      </c>
      <c r="P451">
        <v>185</v>
      </c>
      <c r="S451" t="str">
        <f>IF(Dataset_A[[#This Row],[Hr]]&gt;=19,"Evening Time",IF(Dataset_A[[#This Row],[Hr]]&gt;=9,"Day Time",IF(Dataset_A[[#This Row],[Hr]]&gt;=0,"Night Time","")))</f>
        <v>Day Time</v>
      </c>
    </row>
    <row r="452" spans="1:19" x14ac:dyDescent="0.2">
      <c r="A452">
        <v>451</v>
      </c>
      <c r="B452" s="3">
        <v>40563</v>
      </c>
      <c r="C452">
        <v>1</v>
      </c>
      <c r="D452">
        <v>2011</v>
      </c>
      <c r="E452" t="s">
        <v>10</v>
      </c>
      <c r="F452">
        <v>19</v>
      </c>
      <c r="G452" t="b">
        <v>0</v>
      </c>
      <c r="H452" t="s">
        <v>16</v>
      </c>
      <c r="I452">
        <v>1</v>
      </c>
      <c r="J452">
        <v>0.26</v>
      </c>
      <c r="K452">
        <v>0.2273</v>
      </c>
      <c r="L452">
        <v>0.56000000000000005</v>
      </c>
      <c r="M452">
        <v>0.32840000000000003</v>
      </c>
      <c r="N452">
        <v>6</v>
      </c>
      <c r="O452">
        <v>146</v>
      </c>
      <c r="P452">
        <v>152</v>
      </c>
      <c r="S452" t="str">
        <f>IF(Dataset_A[[#This Row],[Hr]]&gt;=19,"Evening Time",IF(Dataset_A[[#This Row],[Hr]]&gt;=9,"Day Time",IF(Dataset_A[[#This Row],[Hr]]&gt;=0,"Night Time","")))</f>
        <v>Evening Time</v>
      </c>
    </row>
    <row r="453" spans="1:19" x14ac:dyDescent="0.2">
      <c r="A453">
        <v>452</v>
      </c>
      <c r="B453" s="3">
        <v>40563</v>
      </c>
      <c r="C453">
        <v>1</v>
      </c>
      <c r="D453">
        <v>2011</v>
      </c>
      <c r="E453" t="s">
        <v>10</v>
      </c>
      <c r="F453">
        <v>20</v>
      </c>
      <c r="G453" t="b">
        <v>0</v>
      </c>
      <c r="H453" t="s">
        <v>16</v>
      </c>
      <c r="I453">
        <v>2</v>
      </c>
      <c r="J453">
        <v>0.26</v>
      </c>
      <c r="K453">
        <v>0.2424</v>
      </c>
      <c r="L453">
        <v>0.6</v>
      </c>
      <c r="M453">
        <v>0.28360000000000002</v>
      </c>
      <c r="N453">
        <v>2</v>
      </c>
      <c r="O453">
        <v>124</v>
      </c>
      <c r="P453">
        <v>126</v>
      </c>
      <c r="S453" t="str">
        <f>IF(Dataset_A[[#This Row],[Hr]]&gt;=19,"Evening Time",IF(Dataset_A[[#This Row],[Hr]]&gt;=9,"Day Time",IF(Dataset_A[[#This Row],[Hr]]&gt;=0,"Night Time","")))</f>
        <v>Evening Time</v>
      </c>
    </row>
    <row r="454" spans="1:19" x14ac:dyDescent="0.2">
      <c r="A454">
        <v>453</v>
      </c>
      <c r="B454" s="3">
        <v>40563</v>
      </c>
      <c r="C454">
        <v>1</v>
      </c>
      <c r="D454">
        <v>2011</v>
      </c>
      <c r="E454" t="s">
        <v>10</v>
      </c>
      <c r="F454">
        <v>21</v>
      </c>
      <c r="G454" t="b">
        <v>0</v>
      </c>
      <c r="H454" t="s">
        <v>16</v>
      </c>
      <c r="I454">
        <v>2</v>
      </c>
      <c r="J454">
        <v>0.24</v>
      </c>
      <c r="K454">
        <v>0.2273</v>
      </c>
      <c r="L454">
        <v>0.6</v>
      </c>
      <c r="M454">
        <v>0.25369999999999998</v>
      </c>
      <c r="N454">
        <v>3</v>
      </c>
      <c r="O454">
        <v>54</v>
      </c>
      <c r="P454">
        <v>57</v>
      </c>
      <c r="S454" t="str">
        <f>IF(Dataset_A[[#This Row],[Hr]]&gt;=19,"Evening Time",IF(Dataset_A[[#This Row],[Hr]]&gt;=9,"Day Time",IF(Dataset_A[[#This Row],[Hr]]&gt;=0,"Night Time","")))</f>
        <v>Evening Time</v>
      </c>
    </row>
    <row r="455" spans="1:19" x14ac:dyDescent="0.2">
      <c r="A455">
        <v>454</v>
      </c>
      <c r="B455" s="3">
        <v>40563</v>
      </c>
      <c r="C455">
        <v>1</v>
      </c>
      <c r="D455">
        <v>2011</v>
      </c>
      <c r="E455" t="s">
        <v>10</v>
      </c>
      <c r="F455">
        <v>22</v>
      </c>
      <c r="G455" t="b">
        <v>0</v>
      </c>
      <c r="H455" t="s">
        <v>16</v>
      </c>
      <c r="I455">
        <v>2</v>
      </c>
      <c r="J455">
        <v>0.24</v>
      </c>
      <c r="K455">
        <v>0.21210000000000001</v>
      </c>
      <c r="L455">
        <v>0.65</v>
      </c>
      <c r="M455">
        <v>0.28360000000000002</v>
      </c>
      <c r="N455">
        <v>0</v>
      </c>
      <c r="O455">
        <v>56</v>
      </c>
      <c r="P455">
        <v>56</v>
      </c>
      <c r="S455" t="str">
        <f>IF(Dataset_A[[#This Row],[Hr]]&gt;=19,"Evening Time",IF(Dataset_A[[#This Row],[Hr]]&gt;=9,"Day Time",IF(Dataset_A[[#This Row],[Hr]]&gt;=0,"Night Time","")))</f>
        <v>Evening Time</v>
      </c>
    </row>
    <row r="456" spans="1:19" x14ac:dyDescent="0.2">
      <c r="A456">
        <v>455</v>
      </c>
      <c r="B456" s="3">
        <v>40563</v>
      </c>
      <c r="C456">
        <v>1</v>
      </c>
      <c r="D456">
        <v>2011</v>
      </c>
      <c r="E456" t="s">
        <v>10</v>
      </c>
      <c r="F456">
        <v>23</v>
      </c>
      <c r="G456" t="b">
        <v>0</v>
      </c>
      <c r="H456" t="s">
        <v>16</v>
      </c>
      <c r="I456">
        <v>2</v>
      </c>
      <c r="J456">
        <v>0.24</v>
      </c>
      <c r="K456">
        <v>0.21210000000000001</v>
      </c>
      <c r="L456">
        <v>0.65</v>
      </c>
      <c r="M456">
        <v>0.32840000000000003</v>
      </c>
      <c r="N456">
        <v>3</v>
      </c>
      <c r="O456">
        <v>28</v>
      </c>
      <c r="P456">
        <v>31</v>
      </c>
      <c r="S456" t="str">
        <f>IF(Dataset_A[[#This Row],[Hr]]&gt;=19,"Evening Time",IF(Dataset_A[[#This Row],[Hr]]&gt;=9,"Day Time",IF(Dataset_A[[#This Row],[Hr]]&gt;=0,"Night Time","")))</f>
        <v>Evening Time</v>
      </c>
    </row>
    <row r="457" spans="1:19" x14ac:dyDescent="0.2">
      <c r="A457">
        <v>456</v>
      </c>
      <c r="B457" s="3">
        <v>40564</v>
      </c>
      <c r="C457">
        <v>1</v>
      </c>
      <c r="D457">
        <v>2011</v>
      </c>
      <c r="E457" t="s">
        <v>10</v>
      </c>
      <c r="F457">
        <v>0</v>
      </c>
      <c r="G457" t="b">
        <v>0</v>
      </c>
      <c r="H457" t="s">
        <v>17</v>
      </c>
      <c r="I457">
        <v>2</v>
      </c>
      <c r="J457">
        <v>0.24</v>
      </c>
      <c r="K457">
        <v>0.2273</v>
      </c>
      <c r="L457">
        <v>0.7</v>
      </c>
      <c r="M457">
        <v>0.25369999999999998</v>
      </c>
      <c r="N457">
        <v>1</v>
      </c>
      <c r="O457">
        <v>20</v>
      </c>
      <c r="P457">
        <v>21</v>
      </c>
      <c r="S457" t="str">
        <f>IF(Dataset_A[[#This Row],[Hr]]&gt;=19,"Evening Time",IF(Dataset_A[[#This Row],[Hr]]&gt;=9,"Day Time",IF(Dataset_A[[#This Row],[Hr]]&gt;=0,"Night Time","")))</f>
        <v>Night Time</v>
      </c>
    </row>
    <row r="458" spans="1:19" x14ac:dyDescent="0.2">
      <c r="A458">
        <v>457</v>
      </c>
      <c r="B458" s="3">
        <v>40564</v>
      </c>
      <c r="C458">
        <v>1</v>
      </c>
      <c r="D458">
        <v>2011</v>
      </c>
      <c r="E458" t="s">
        <v>10</v>
      </c>
      <c r="F458">
        <v>1</v>
      </c>
      <c r="G458" t="b">
        <v>0</v>
      </c>
      <c r="H458" t="s">
        <v>17</v>
      </c>
      <c r="I458">
        <v>2</v>
      </c>
      <c r="J458">
        <v>0.24</v>
      </c>
      <c r="K458">
        <v>0.2273</v>
      </c>
      <c r="L458">
        <v>0.7</v>
      </c>
      <c r="M458">
        <v>0.25369999999999998</v>
      </c>
      <c r="N458">
        <v>0</v>
      </c>
      <c r="O458">
        <v>6</v>
      </c>
      <c r="P458">
        <v>6</v>
      </c>
      <c r="S458" t="str">
        <f>IF(Dataset_A[[#This Row],[Hr]]&gt;=19,"Evening Time",IF(Dataset_A[[#This Row],[Hr]]&gt;=9,"Day Time",IF(Dataset_A[[#This Row],[Hr]]&gt;=0,"Night Time","")))</f>
        <v>Night Time</v>
      </c>
    </row>
    <row r="459" spans="1:19" x14ac:dyDescent="0.2">
      <c r="A459">
        <v>458</v>
      </c>
      <c r="B459" s="3">
        <v>40564</v>
      </c>
      <c r="C459">
        <v>1</v>
      </c>
      <c r="D459">
        <v>2011</v>
      </c>
      <c r="E459" t="s">
        <v>10</v>
      </c>
      <c r="F459">
        <v>2</v>
      </c>
      <c r="G459" t="b">
        <v>0</v>
      </c>
      <c r="H459" t="s">
        <v>17</v>
      </c>
      <c r="I459">
        <v>3</v>
      </c>
      <c r="J459">
        <v>0.24</v>
      </c>
      <c r="K459">
        <v>0.2424</v>
      </c>
      <c r="L459">
        <v>0.75</v>
      </c>
      <c r="M459">
        <v>0.16420000000000001</v>
      </c>
      <c r="N459">
        <v>0</v>
      </c>
      <c r="O459">
        <v>2</v>
      </c>
      <c r="P459">
        <v>2</v>
      </c>
      <c r="S459" t="str">
        <f>IF(Dataset_A[[#This Row],[Hr]]&gt;=19,"Evening Time",IF(Dataset_A[[#This Row],[Hr]]&gt;=9,"Day Time",IF(Dataset_A[[#This Row],[Hr]]&gt;=0,"Night Time","")))</f>
        <v>Night Time</v>
      </c>
    </row>
    <row r="460" spans="1:19" x14ac:dyDescent="0.2">
      <c r="A460">
        <v>459</v>
      </c>
      <c r="B460" s="3">
        <v>40564</v>
      </c>
      <c r="C460">
        <v>1</v>
      </c>
      <c r="D460">
        <v>2011</v>
      </c>
      <c r="E460" t="s">
        <v>10</v>
      </c>
      <c r="F460">
        <v>3</v>
      </c>
      <c r="G460" t="b">
        <v>0</v>
      </c>
      <c r="H460" t="s">
        <v>17</v>
      </c>
      <c r="I460">
        <v>3</v>
      </c>
      <c r="J460">
        <v>0.22</v>
      </c>
      <c r="K460">
        <v>0.21210000000000001</v>
      </c>
      <c r="L460">
        <v>0.8</v>
      </c>
      <c r="M460">
        <v>0.29849999999999999</v>
      </c>
      <c r="N460">
        <v>0</v>
      </c>
      <c r="O460">
        <v>1</v>
      </c>
      <c r="P460">
        <v>1</v>
      </c>
      <c r="S460" t="str">
        <f>IF(Dataset_A[[#This Row],[Hr]]&gt;=19,"Evening Time",IF(Dataset_A[[#This Row],[Hr]]&gt;=9,"Day Time",IF(Dataset_A[[#This Row],[Hr]]&gt;=0,"Night Time","")))</f>
        <v>Night Time</v>
      </c>
    </row>
    <row r="461" spans="1:19" x14ac:dyDescent="0.2">
      <c r="A461">
        <v>460</v>
      </c>
      <c r="B461" s="3">
        <v>40564</v>
      </c>
      <c r="C461">
        <v>1</v>
      </c>
      <c r="D461">
        <v>2011</v>
      </c>
      <c r="E461" t="s">
        <v>10</v>
      </c>
      <c r="F461">
        <v>4</v>
      </c>
      <c r="G461" t="b">
        <v>0</v>
      </c>
      <c r="H461" t="s">
        <v>17</v>
      </c>
      <c r="I461">
        <v>2</v>
      </c>
      <c r="J461">
        <v>0.22</v>
      </c>
      <c r="K461">
        <v>0.2576</v>
      </c>
      <c r="L461">
        <v>0.87</v>
      </c>
      <c r="M461">
        <v>8.9599999999999999E-2</v>
      </c>
      <c r="N461">
        <v>0</v>
      </c>
      <c r="O461">
        <v>1</v>
      </c>
      <c r="P461">
        <v>1</v>
      </c>
      <c r="S461" t="str">
        <f>IF(Dataset_A[[#This Row],[Hr]]&gt;=19,"Evening Time",IF(Dataset_A[[#This Row],[Hr]]&gt;=9,"Day Time",IF(Dataset_A[[#This Row],[Hr]]&gt;=0,"Night Time","")))</f>
        <v>Night Time</v>
      </c>
    </row>
    <row r="462" spans="1:19" x14ac:dyDescent="0.2">
      <c r="A462">
        <v>461</v>
      </c>
      <c r="B462" s="3">
        <v>40564</v>
      </c>
      <c r="C462">
        <v>1</v>
      </c>
      <c r="D462">
        <v>2011</v>
      </c>
      <c r="E462" t="s">
        <v>10</v>
      </c>
      <c r="F462">
        <v>5</v>
      </c>
      <c r="G462" t="b">
        <v>0</v>
      </c>
      <c r="H462" t="s">
        <v>17</v>
      </c>
      <c r="I462">
        <v>1</v>
      </c>
      <c r="J462">
        <v>0.24</v>
      </c>
      <c r="K462">
        <v>0.19700000000000001</v>
      </c>
      <c r="L462">
        <v>0.6</v>
      </c>
      <c r="M462">
        <v>0.41789999999999999</v>
      </c>
      <c r="N462">
        <v>1</v>
      </c>
      <c r="O462">
        <v>4</v>
      </c>
      <c r="P462">
        <v>5</v>
      </c>
      <c r="S462" t="str">
        <f>IF(Dataset_A[[#This Row],[Hr]]&gt;=19,"Evening Time",IF(Dataset_A[[#This Row],[Hr]]&gt;=9,"Day Time",IF(Dataset_A[[#This Row],[Hr]]&gt;=0,"Night Time","")))</f>
        <v>Night Time</v>
      </c>
    </row>
    <row r="463" spans="1:19" x14ac:dyDescent="0.2">
      <c r="A463">
        <v>462</v>
      </c>
      <c r="B463" s="3">
        <v>40564</v>
      </c>
      <c r="C463">
        <v>1</v>
      </c>
      <c r="D463">
        <v>2011</v>
      </c>
      <c r="E463" t="s">
        <v>10</v>
      </c>
      <c r="F463">
        <v>6</v>
      </c>
      <c r="G463" t="b">
        <v>0</v>
      </c>
      <c r="H463" t="s">
        <v>17</v>
      </c>
      <c r="I463">
        <v>1</v>
      </c>
      <c r="J463">
        <v>0.22</v>
      </c>
      <c r="K463">
        <v>0.21210000000000001</v>
      </c>
      <c r="L463">
        <v>0.55000000000000004</v>
      </c>
      <c r="M463">
        <v>0.25369999999999998</v>
      </c>
      <c r="N463">
        <v>0</v>
      </c>
      <c r="O463">
        <v>27</v>
      </c>
      <c r="P463">
        <v>27</v>
      </c>
      <c r="S463" t="str">
        <f>IF(Dataset_A[[#This Row],[Hr]]&gt;=19,"Evening Time",IF(Dataset_A[[#This Row],[Hr]]&gt;=9,"Day Time",IF(Dataset_A[[#This Row],[Hr]]&gt;=0,"Night Time","")))</f>
        <v>Night Time</v>
      </c>
    </row>
    <row r="464" spans="1:19" x14ac:dyDescent="0.2">
      <c r="A464">
        <v>463</v>
      </c>
      <c r="B464" s="3">
        <v>40564</v>
      </c>
      <c r="C464">
        <v>1</v>
      </c>
      <c r="D464">
        <v>2011</v>
      </c>
      <c r="E464" t="s">
        <v>10</v>
      </c>
      <c r="F464">
        <v>7</v>
      </c>
      <c r="G464" t="b">
        <v>0</v>
      </c>
      <c r="H464" t="s">
        <v>17</v>
      </c>
      <c r="I464">
        <v>1</v>
      </c>
      <c r="J464">
        <v>0.2</v>
      </c>
      <c r="K464">
        <v>0.18179999999999999</v>
      </c>
      <c r="L464">
        <v>0.51</v>
      </c>
      <c r="M464">
        <v>0.28360000000000002</v>
      </c>
      <c r="N464">
        <v>2</v>
      </c>
      <c r="O464">
        <v>66</v>
      </c>
      <c r="P464">
        <v>68</v>
      </c>
      <c r="S464" t="str">
        <f>IF(Dataset_A[[#This Row],[Hr]]&gt;=19,"Evening Time",IF(Dataset_A[[#This Row],[Hr]]&gt;=9,"Day Time",IF(Dataset_A[[#This Row],[Hr]]&gt;=0,"Night Time","")))</f>
        <v>Night Time</v>
      </c>
    </row>
    <row r="465" spans="1:19" x14ac:dyDescent="0.2">
      <c r="A465">
        <v>464</v>
      </c>
      <c r="B465" s="3">
        <v>40564</v>
      </c>
      <c r="C465">
        <v>1</v>
      </c>
      <c r="D465">
        <v>2011</v>
      </c>
      <c r="E465" t="s">
        <v>10</v>
      </c>
      <c r="F465">
        <v>8</v>
      </c>
      <c r="G465" t="b">
        <v>0</v>
      </c>
      <c r="H465" t="s">
        <v>17</v>
      </c>
      <c r="I465">
        <v>1</v>
      </c>
      <c r="J465">
        <v>0.2</v>
      </c>
      <c r="K465">
        <v>0.18179999999999999</v>
      </c>
      <c r="L465">
        <v>0.47</v>
      </c>
      <c r="M465">
        <v>0.32840000000000003</v>
      </c>
      <c r="N465">
        <v>7</v>
      </c>
      <c r="O465">
        <v>210</v>
      </c>
      <c r="P465">
        <v>217</v>
      </c>
      <c r="S465" t="str">
        <f>IF(Dataset_A[[#This Row],[Hr]]&gt;=19,"Evening Time",IF(Dataset_A[[#This Row],[Hr]]&gt;=9,"Day Time",IF(Dataset_A[[#This Row],[Hr]]&gt;=0,"Night Time","")))</f>
        <v>Night Time</v>
      </c>
    </row>
    <row r="466" spans="1:19" x14ac:dyDescent="0.2">
      <c r="A466">
        <v>465</v>
      </c>
      <c r="B466" s="3">
        <v>40564</v>
      </c>
      <c r="C466">
        <v>1</v>
      </c>
      <c r="D466">
        <v>2011</v>
      </c>
      <c r="E466" t="s">
        <v>10</v>
      </c>
      <c r="F466">
        <v>9</v>
      </c>
      <c r="G466" t="b">
        <v>0</v>
      </c>
      <c r="H466" t="s">
        <v>17</v>
      </c>
      <c r="I466">
        <v>1</v>
      </c>
      <c r="J466">
        <v>0.2</v>
      </c>
      <c r="K466">
        <v>0.18179999999999999</v>
      </c>
      <c r="L466">
        <v>0.51</v>
      </c>
      <c r="M466">
        <v>0.35820000000000002</v>
      </c>
      <c r="N466">
        <v>7</v>
      </c>
      <c r="O466">
        <v>159</v>
      </c>
      <c r="P466">
        <v>166</v>
      </c>
      <c r="S466" t="str">
        <f>IF(Dataset_A[[#This Row],[Hr]]&gt;=19,"Evening Time",IF(Dataset_A[[#This Row],[Hr]]&gt;=9,"Day Time",IF(Dataset_A[[#This Row],[Hr]]&gt;=0,"Night Time","")))</f>
        <v>Day Time</v>
      </c>
    </row>
    <row r="467" spans="1:19" x14ac:dyDescent="0.2">
      <c r="A467">
        <v>466</v>
      </c>
      <c r="B467" s="3">
        <v>40564</v>
      </c>
      <c r="C467">
        <v>1</v>
      </c>
      <c r="D467">
        <v>2011</v>
      </c>
      <c r="E467" t="s">
        <v>10</v>
      </c>
      <c r="F467">
        <v>10</v>
      </c>
      <c r="G467" t="b">
        <v>0</v>
      </c>
      <c r="H467" t="s">
        <v>17</v>
      </c>
      <c r="I467">
        <v>1</v>
      </c>
      <c r="J467">
        <v>0.2</v>
      </c>
      <c r="K467">
        <v>0.16669999999999999</v>
      </c>
      <c r="L467">
        <v>0.47</v>
      </c>
      <c r="M467">
        <v>0.4627</v>
      </c>
      <c r="N467">
        <v>6</v>
      </c>
      <c r="O467">
        <v>57</v>
      </c>
      <c r="P467">
        <v>63</v>
      </c>
      <c r="S467" t="str">
        <f>IF(Dataset_A[[#This Row],[Hr]]&gt;=19,"Evening Time",IF(Dataset_A[[#This Row],[Hr]]&gt;=9,"Day Time",IF(Dataset_A[[#This Row],[Hr]]&gt;=0,"Night Time","")))</f>
        <v>Day Time</v>
      </c>
    </row>
    <row r="468" spans="1:19" x14ac:dyDescent="0.2">
      <c r="A468">
        <v>467</v>
      </c>
      <c r="B468" s="3">
        <v>40564</v>
      </c>
      <c r="C468">
        <v>1</v>
      </c>
      <c r="D468">
        <v>2011</v>
      </c>
      <c r="E468" t="s">
        <v>10</v>
      </c>
      <c r="F468">
        <v>11</v>
      </c>
      <c r="G468" t="b">
        <v>0</v>
      </c>
      <c r="H468" t="s">
        <v>17</v>
      </c>
      <c r="I468">
        <v>1</v>
      </c>
      <c r="J468">
        <v>0.22</v>
      </c>
      <c r="K468">
        <v>0.18179999999999999</v>
      </c>
      <c r="L468">
        <v>0.41</v>
      </c>
      <c r="M468">
        <v>0.4627</v>
      </c>
      <c r="N468">
        <v>6</v>
      </c>
      <c r="O468">
        <v>53</v>
      </c>
      <c r="P468">
        <v>59</v>
      </c>
      <c r="S468" t="str">
        <f>IF(Dataset_A[[#This Row],[Hr]]&gt;=19,"Evening Time",IF(Dataset_A[[#This Row],[Hr]]&gt;=9,"Day Time",IF(Dataset_A[[#This Row],[Hr]]&gt;=0,"Night Time","")))</f>
        <v>Day Time</v>
      </c>
    </row>
    <row r="469" spans="1:19" x14ac:dyDescent="0.2">
      <c r="A469">
        <v>468</v>
      </c>
      <c r="B469" s="3">
        <v>40564</v>
      </c>
      <c r="C469">
        <v>1</v>
      </c>
      <c r="D469">
        <v>2011</v>
      </c>
      <c r="E469" t="s">
        <v>10</v>
      </c>
      <c r="F469">
        <v>12</v>
      </c>
      <c r="G469" t="b">
        <v>0</v>
      </c>
      <c r="H469" t="s">
        <v>17</v>
      </c>
      <c r="I469">
        <v>1</v>
      </c>
      <c r="J469">
        <v>0.22</v>
      </c>
      <c r="K469">
        <v>0.18179999999999999</v>
      </c>
      <c r="L469">
        <v>0.27</v>
      </c>
      <c r="M469">
        <v>0.58209999999999995</v>
      </c>
      <c r="N469">
        <v>11</v>
      </c>
      <c r="O469">
        <v>67</v>
      </c>
      <c r="P469">
        <v>78</v>
      </c>
      <c r="S469" t="str">
        <f>IF(Dataset_A[[#This Row],[Hr]]&gt;=19,"Evening Time",IF(Dataset_A[[#This Row],[Hr]]&gt;=9,"Day Time",IF(Dataset_A[[#This Row],[Hr]]&gt;=0,"Night Time","")))</f>
        <v>Day Time</v>
      </c>
    </row>
    <row r="470" spans="1:19" x14ac:dyDescent="0.2">
      <c r="A470">
        <v>469</v>
      </c>
      <c r="B470" s="3">
        <v>40564</v>
      </c>
      <c r="C470">
        <v>1</v>
      </c>
      <c r="D470">
        <v>2011</v>
      </c>
      <c r="E470" t="s">
        <v>10</v>
      </c>
      <c r="F470">
        <v>13</v>
      </c>
      <c r="G470" t="b">
        <v>0</v>
      </c>
      <c r="H470" t="s">
        <v>17</v>
      </c>
      <c r="I470">
        <v>1</v>
      </c>
      <c r="J470">
        <v>0.2</v>
      </c>
      <c r="K470">
        <v>0.1515</v>
      </c>
      <c r="L470">
        <v>0.21</v>
      </c>
      <c r="M470">
        <v>0.58209999999999995</v>
      </c>
      <c r="N470">
        <v>8</v>
      </c>
      <c r="O470">
        <v>65</v>
      </c>
      <c r="P470">
        <v>73</v>
      </c>
      <c r="S470" t="str">
        <f>IF(Dataset_A[[#This Row],[Hr]]&gt;=19,"Evening Time",IF(Dataset_A[[#This Row],[Hr]]&gt;=9,"Day Time",IF(Dataset_A[[#This Row],[Hr]]&gt;=0,"Night Time","")))</f>
        <v>Day Time</v>
      </c>
    </row>
    <row r="471" spans="1:19" x14ac:dyDescent="0.2">
      <c r="A471">
        <v>470</v>
      </c>
      <c r="B471" s="3">
        <v>40564</v>
      </c>
      <c r="C471">
        <v>1</v>
      </c>
      <c r="D471">
        <v>2011</v>
      </c>
      <c r="E471" t="s">
        <v>10</v>
      </c>
      <c r="F471">
        <v>14</v>
      </c>
      <c r="G471" t="b">
        <v>0</v>
      </c>
      <c r="H471" t="s">
        <v>17</v>
      </c>
      <c r="I471">
        <v>1</v>
      </c>
      <c r="J471">
        <v>0.2</v>
      </c>
      <c r="K471">
        <v>0.1515</v>
      </c>
      <c r="L471">
        <v>0.25</v>
      </c>
      <c r="M471">
        <v>0.52239999999999998</v>
      </c>
      <c r="N471">
        <v>6</v>
      </c>
      <c r="O471">
        <v>56</v>
      </c>
      <c r="P471">
        <v>62</v>
      </c>
      <c r="S471" t="str">
        <f>IF(Dataset_A[[#This Row],[Hr]]&gt;=19,"Evening Time",IF(Dataset_A[[#This Row],[Hr]]&gt;=9,"Day Time",IF(Dataset_A[[#This Row],[Hr]]&gt;=0,"Night Time","")))</f>
        <v>Day Time</v>
      </c>
    </row>
    <row r="472" spans="1:19" x14ac:dyDescent="0.2">
      <c r="A472">
        <v>471</v>
      </c>
      <c r="B472" s="3">
        <v>40564</v>
      </c>
      <c r="C472">
        <v>1</v>
      </c>
      <c r="D472">
        <v>2011</v>
      </c>
      <c r="E472" t="s">
        <v>10</v>
      </c>
      <c r="F472">
        <v>15</v>
      </c>
      <c r="G472" t="b">
        <v>0</v>
      </c>
      <c r="H472" t="s">
        <v>17</v>
      </c>
      <c r="I472">
        <v>1</v>
      </c>
      <c r="J472">
        <v>0.16</v>
      </c>
      <c r="K472">
        <v>0.1212</v>
      </c>
      <c r="L472">
        <v>0.26</v>
      </c>
      <c r="M472">
        <v>0.44779999999999998</v>
      </c>
      <c r="N472">
        <v>4</v>
      </c>
      <c r="O472">
        <v>61</v>
      </c>
      <c r="P472">
        <v>65</v>
      </c>
      <c r="S472" t="str">
        <f>IF(Dataset_A[[#This Row],[Hr]]&gt;=19,"Evening Time",IF(Dataset_A[[#This Row],[Hr]]&gt;=9,"Day Time",IF(Dataset_A[[#This Row],[Hr]]&gt;=0,"Night Time","")))</f>
        <v>Day Time</v>
      </c>
    </row>
    <row r="473" spans="1:19" x14ac:dyDescent="0.2">
      <c r="A473">
        <v>472</v>
      </c>
      <c r="B473" s="3">
        <v>40564</v>
      </c>
      <c r="C473">
        <v>1</v>
      </c>
      <c r="D473">
        <v>2011</v>
      </c>
      <c r="E473" t="s">
        <v>10</v>
      </c>
      <c r="F473">
        <v>16</v>
      </c>
      <c r="G473" t="b">
        <v>0</v>
      </c>
      <c r="H473" t="s">
        <v>17</v>
      </c>
      <c r="I473">
        <v>1</v>
      </c>
      <c r="J473">
        <v>0.16</v>
      </c>
      <c r="K473">
        <v>0.13639999999999999</v>
      </c>
      <c r="L473">
        <v>0.26</v>
      </c>
      <c r="M473">
        <v>0.35820000000000002</v>
      </c>
      <c r="N473">
        <v>0</v>
      </c>
      <c r="O473">
        <v>97</v>
      </c>
      <c r="P473">
        <v>97</v>
      </c>
      <c r="S473" t="str">
        <f>IF(Dataset_A[[#This Row],[Hr]]&gt;=19,"Evening Time",IF(Dataset_A[[#This Row],[Hr]]&gt;=9,"Day Time",IF(Dataset_A[[#This Row],[Hr]]&gt;=0,"Night Time","")))</f>
        <v>Day Time</v>
      </c>
    </row>
    <row r="474" spans="1:19" x14ac:dyDescent="0.2">
      <c r="A474">
        <v>473</v>
      </c>
      <c r="B474" s="3">
        <v>40564</v>
      </c>
      <c r="C474">
        <v>1</v>
      </c>
      <c r="D474">
        <v>2011</v>
      </c>
      <c r="E474" t="s">
        <v>10</v>
      </c>
      <c r="F474">
        <v>17</v>
      </c>
      <c r="G474" t="b">
        <v>0</v>
      </c>
      <c r="H474" t="s">
        <v>17</v>
      </c>
      <c r="I474">
        <v>1</v>
      </c>
      <c r="J474">
        <v>0.14000000000000001</v>
      </c>
      <c r="K474">
        <v>0.1212</v>
      </c>
      <c r="L474">
        <v>0.28000000000000003</v>
      </c>
      <c r="M474">
        <v>0.35820000000000002</v>
      </c>
      <c r="N474">
        <v>10</v>
      </c>
      <c r="O474">
        <v>151</v>
      </c>
      <c r="P474">
        <v>161</v>
      </c>
      <c r="S474" t="str">
        <f>IF(Dataset_A[[#This Row],[Hr]]&gt;=19,"Evening Time",IF(Dataset_A[[#This Row],[Hr]]&gt;=9,"Day Time",IF(Dataset_A[[#This Row],[Hr]]&gt;=0,"Night Time","")))</f>
        <v>Day Time</v>
      </c>
    </row>
    <row r="475" spans="1:19" x14ac:dyDescent="0.2">
      <c r="A475">
        <v>474</v>
      </c>
      <c r="B475" s="3">
        <v>40564</v>
      </c>
      <c r="C475">
        <v>1</v>
      </c>
      <c r="D475">
        <v>2011</v>
      </c>
      <c r="E475" t="s">
        <v>10</v>
      </c>
      <c r="F475">
        <v>18</v>
      </c>
      <c r="G475" t="b">
        <v>0</v>
      </c>
      <c r="H475" t="s">
        <v>17</v>
      </c>
      <c r="I475">
        <v>1</v>
      </c>
      <c r="J475">
        <v>0.12</v>
      </c>
      <c r="K475">
        <v>0.1212</v>
      </c>
      <c r="L475">
        <v>0.3</v>
      </c>
      <c r="M475">
        <v>0.25369999999999998</v>
      </c>
      <c r="N475">
        <v>1</v>
      </c>
      <c r="O475">
        <v>119</v>
      </c>
      <c r="P475">
        <v>120</v>
      </c>
      <c r="S475" t="str">
        <f>IF(Dataset_A[[#This Row],[Hr]]&gt;=19,"Evening Time",IF(Dataset_A[[#This Row],[Hr]]&gt;=9,"Day Time",IF(Dataset_A[[#This Row],[Hr]]&gt;=0,"Night Time","")))</f>
        <v>Day Time</v>
      </c>
    </row>
    <row r="476" spans="1:19" x14ac:dyDescent="0.2">
      <c r="A476">
        <v>475</v>
      </c>
      <c r="B476" s="3">
        <v>40564</v>
      </c>
      <c r="C476">
        <v>1</v>
      </c>
      <c r="D476">
        <v>2011</v>
      </c>
      <c r="E476" t="s">
        <v>10</v>
      </c>
      <c r="F476">
        <v>19</v>
      </c>
      <c r="G476" t="b">
        <v>0</v>
      </c>
      <c r="H476" t="s">
        <v>17</v>
      </c>
      <c r="I476">
        <v>1</v>
      </c>
      <c r="J476">
        <v>0.12</v>
      </c>
      <c r="K476">
        <v>0.1061</v>
      </c>
      <c r="L476">
        <v>0.3</v>
      </c>
      <c r="M476">
        <v>0.32840000000000003</v>
      </c>
      <c r="N476">
        <v>3</v>
      </c>
      <c r="O476">
        <v>93</v>
      </c>
      <c r="P476">
        <v>96</v>
      </c>
      <c r="S476" t="str">
        <f>IF(Dataset_A[[#This Row],[Hr]]&gt;=19,"Evening Time",IF(Dataset_A[[#This Row],[Hr]]&gt;=9,"Day Time",IF(Dataset_A[[#This Row],[Hr]]&gt;=0,"Night Time","")))</f>
        <v>Evening Time</v>
      </c>
    </row>
    <row r="477" spans="1:19" x14ac:dyDescent="0.2">
      <c r="A477">
        <v>476</v>
      </c>
      <c r="B477" s="3">
        <v>40564</v>
      </c>
      <c r="C477">
        <v>1</v>
      </c>
      <c r="D477">
        <v>2011</v>
      </c>
      <c r="E477" t="s">
        <v>10</v>
      </c>
      <c r="F477">
        <v>20</v>
      </c>
      <c r="G477" t="b">
        <v>0</v>
      </c>
      <c r="H477" t="s">
        <v>17</v>
      </c>
      <c r="I477">
        <v>1</v>
      </c>
      <c r="J477">
        <v>0.1</v>
      </c>
      <c r="K477">
        <v>7.5800000000000006E-2</v>
      </c>
      <c r="L477">
        <v>0.33</v>
      </c>
      <c r="M477">
        <v>0.41789999999999999</v>
      </c>
      <c r="N477">
        <v>1</v>
      </c>
      <c r="O477">
        <v>52</v>
      </c>
      <c r="P477">
        <v>53</v>
      </c>
      <c r="S477" t="str">
        <f>IF(Dataset_A[[#This Row],[Hr]]&gt;=19,"Evening Time",IF(Dataset_A[[#This Row],[Hr]]&gt;=9,"Day Time",IF(Dataset_A[[#This Row],[Hr]]&gt;=0,"Night Time","")))</f>
        <v>Evening Time</v>
      </c>
    </row>
    <row r="478" spans="1:19" x14ac:dyDescent="0.2">
      <c r="A478">
        <v>477</v>
      </c>
      <c r="B478" s="3">
        <v>40564</v>
      </c>
      <c r="C478">
        <v>1</v>
      </c>
      <c r="D478">
        <v>2011</v>
      </c>
      <c r="E478" t="s">
        <v>10</v>
      </c>
      <c r="F478">
        <v>21</v>
      </c>
      <c r="G478" t="b">
        <v>0</v>
      </c>
      <c r="H478" t="s">
        <v>17</v>
      </c>
      <c r="I478">
        <v>1</v>
      </c>
      <c r="J478">
        <v>0.08</v>
      </c>
      <c r="K478">
        <v>7.5800000000000006E-2</v>
      </c>
      <c r="L478">
        <v>0.38</v>
      </c>
      <c r="M478">
        <v>0.28360000000000002</v>
      </c>
      <c r="N478">
        <v>0</v>
      </c>
      <c r="O478">
        <v>41</v>
      </c>
      <c r="P478">
        <v>41</v>
      </c>
      <c r="S478" t="str">
        <f>IF(Dataset_A[[#This Row],[Hr]]&gt;=19,"Evening Time",IF(Dataset_A[[#This Row],[Hr]]&gt;=9,"Day Time",IF(Dataset_A[[#This Row],[Hr]]&gt;=0,"Night Time","")))</f>
        <v>Evening Time</v>
      </c>
    </row>
    <row r="479" spans="1:19" x14ac:dyDescent="0.2">
      <c r="A479">
        <v>478</v>
      </c>
      <c r="B479" s="3">
        <v>40564</v>
      </c>
      <c r="C479">
        <v>1</v>
      </c>
      <c r="D479">
        <v>2011</v>
      </c>
      <c r="E479" t="s">
        <v>10</v>
      </c>
      <c r="F479">
        <v>22</v>
      </c>
      <c r="G479" t="b">
        <v>0</v>
      </c>
      <c r="H479" t="s">
        <v>17</v>
      </c>
      <c r="I479">
        <v>1</v>
      </c>
      <c r="J479">
        <v>0.06</v>
      </c>
      <c r="K479">
        <v>3.0300000000000001E-2</v>
      </c>
      <c r="L479">
        <v>0.41</v>
      </c>
      <c r="M479">
        <v>0.3881</v>
      </c>
      <c r="N479">
        <v>1</v>
      </c>
      <c r="O479">
        <v>33</v>
      </c>
      <c r="P479">
        <v>34</v>
      </c>
      <c r="S479" t="str">
        <f>IF(Dataset_A[[#This Row],[Hr]]&gt;=19,"Evening Time",IF(Dataset_A[[#This Row],[Hr]]&gt;=9,"Day Time",IF(Dataset_A[[#This Row],[Hr]]&gt;=0,"Night Time","")))</f>
        <v>Evening Time</v>
      </c>
    </row>
    <row r="480" spans="1:19" x14ac:dyDescent="0.2">
      <c r="A480">
        <v>479</v>
      </c>
      <c r="B480" s="3">
        <v>40564</v>
      </c>
      <c r="C480">
        <v>1</v>
      </c>
      <c r="D480">
        <v>2011</v>
      </c>
      <c r="E480" t="s">
        <v>10</v>
      </c>
      <c r="F480">
        <v>23</v>
      </c>
      <c r="G480" t="b">
        <v>0</v>
      </c>
      <c r="H480" t="s">
        <v>17</v>
      </c>
      <c r="I480">
        <v>1</v>
      </c>
      <c r="J480">
        <v>0.06</v>
      </c>
      <c r="K480">
        <v>4.5499999999999999E-2</v>
      </c>
      <c r="L480">
        <v>0.38</v>
      </c>
      <c r="M480">
        <v>0.32840000000000003</v>
      </c>
      <c r="N480">
        <v>0</v>
      </c>
      <c r="O480">
        <v>27</v>
      </c>
      <c r="P480">
        <v>27</v>
      </c>
      <c r="S480" t="str">
        <f>IF(Dataset_A[[#This Row],[Hr]]&gt;=19,"Evening Time",IF(Dataset_A[[#This Row],[Hr]]&gt;=9,"Day Time",IF(Dataset_A[[#This Row],[Hr]]&gt;=0,"Night Time","")))</f>
        <v>Evening Time</v>
      </c>
    </row>
    <row r="481" spans="1:19" x14ac:dyDescent="0.2">
      <c r="A481">
        <v>480</v>
      </c>
      <c r="B481" s="3">
        <v>40565</v>
      </c>
      <c r="C481">
        <v>1</v>
      </c>
      <c r="D481">
        <v>2011</v>
      </c>
      <c r="E481" t="s">
        <v>10</v>
      </c>
      <c r="F481">
        <v>0</v>
      </c>
      <c r="G481" t="b">
        <v>0</v>
      </c>
      <c r="H481" t="s">
        <v>11</v>
      </c>
      <c r="I481">
        <v>1</v>
      </c>
      <c r="J481">
        <v>0.04</v>
      </c>
      <c r="K481">
        <v>3.0300000000000001E-2</v>
      </c>
      <c r="L481">
        <v>0.45</v>
      </c>
      <c r="M481">
        <v>0.25369999999999998</v>
      </c>
      <c r="N481">
        <v>0</v>
      </c>
      <c r="O481">
        <v>13</v>
      </c>
      <c r="P481">
        <v>13</v>
      </c>
      <c r="S481" t="str">
        <f>IF(Dataset_A[[#This Row],[Hr]]&gt;=19,"Evening Time",IF(Dataset_A[[#This Row],[Hr]]&gt;=9,"Day Time",IF(Dataset_A[[#This Row],[Hr]]&gt;=0,"Night Time","")))</f>
        <v>Night Time</v>
      </c>
    </row>
    <row r="482" spans="1:19" x14ac:dyDescent="0.2">
      <c r="A482">
        <v>481</v>
      </c>
      <c r="B482" s="3">
        <v>40565</v>
      </c>
      <c r="C482">
        <v>1</v>
      </c>
      <c r="D482">
        <v>2011</v>
      </c>
      <c r="E482" t="s">
        <v>10</v>
      </c>
      <c r="F482">
        <v>1</v>
      </c>
      <c r="G482" t="b">
        <v>0</v>
      </c>
      <c r="H482" t="s">
        <v>11</v>
      </c>
      <c r="I482">
        <v>2</v>
      </c>
      <c r="J482">
        <v>0.04</v>
      </c>
      <c r="K482">
        <v>0</v>
      </c>
      <c r="L482">
        <v>0.41</v>
      </c>
      <c r="M482">
        <v>0.3881</v>
      </c>
      <c r="N482">
        <v>3</v>
      </c>
      <c r="O482">
        <v>9</v>
      </c>
      <c r="P482">
        <v>12</v>
      </c>
      <c r="S482" t="str">
        <f>IF(Dataset_A[[#This Row],[Hr]]&gt;=19,"Evening Time",IF(Dataset_A[[#This Row],[Hr]]&gt;=9,"Day Time",IF(Dataset_A[[#This Row],[Hr]]&gt;=0,"Night Time","")))</f>
        <v>Night Time</v>
      </c>
    </row>
    <row r="483" spans="1:19" x14ac:dyDescent="0.2">
      <c r="A483">
        <v>482</v>
      </c>
      <c r="B483" s="3">
        <v>40565</v>
      </c>
      <c r="C483">
        <v>1</v>
      </c>
      <c r="D483">
        <v>2011</v>
      </c>
      <c r="E483" t="s">
        <v>10</v>
      </c>
      <c r="F483">
        <v>2</v>
      </c>
      <c r="G483" t="b">
        <v>0</v>
      </c>
      <c r="H483" t="s">
        <v>11</v>
      </c>
      <c r="I483">
        <v>2</v>
      </c>
      <c r="J483">
        <v>0.04</v>
      </c>
      <c r="K483">
        <v>3.0300000000000001E-2</v>
      </c>
      <c r="L483">
        <v>0.41</v>
      </c>
      <c r="M483">
        <v>0.25369999999999998</v>
      </c>
      <c r="N483">
        <v>0</v>
      </c>
      <c r="O483">
        <v>11</v>
      </c>
      <c r="P483">
        <v>11</v>
      </c>
      <c r="S483" t="str">
        <f>IF(Dataset_A[[#This Row],[Hr]]&gt;=19,"Evening Time",IF(Dataset_A[[#This Row],[Hr]]&gt;=9,"Day Time",IF(Dataset_A[[#This Row],[Hr]]&gt;=0,"Night Time","")))</f>
        <v>Night Time</v>
      </c>
    </row>
    <row r="484" spans="1:19" x14ac:dyDescent="0.2">
      <c r="A484">
        <v>483</v>
      </c>
      <c r="B484" s="3">
        <v>40565</v>
      </c>
      <c r="C484">
        <v>1</v>
      </c>
      <c r="D484">
        <v>2011</v>
      </c>
      <c r="E484" t="s">
        <v>10</v>
      </c>
      <c r="F484">
        <v>3</v>
      </c>
      <c r="G484" t="b">
        <v>0</v>
      </c>
      <c r="H484" t="s">
        <v>11</v>
      </c>
      <c r="I484">
        <v>2</v>
      </c>
      <c r="J484">
        <v>0.04</v>
      </c>
      <c r="K484">
        <v>3.0300000000000001E-2</v>
      </c>
      <c r="L484">
        <v>0.41</v>
      </c>
      <c r="M484">
        <v>0.28360000000000002</v>
      </c>
      <c r="N484">
        <v>1</v>
      </c>
      <c r="O484">
        <v>6</v>
      </c>
      <c r="P484">
        <v>7</v>
      </c>
      <c r="S484" t="str">
        <f>IF(Dataset_A[[#This Row],[Hr]]&gt;=19,"Evening Time",IF(Dataset_A[[#This Row],[Hr]]&gt;=9,"Day Time",IF(Dataset_A[[#This Row],[Hr]]&gt;=0,"Night Time","")))</f>
        <v>Night Time</v>
      </c>
    </row>
    <row r="485" spans="1:19" x14ac:dyDescent="0.2">
      <c r="A485">
        <v>484</v>
      </c>
      <c r="B485" s="3">
        <v>40565</v>
      </c>
      <c r="C485">
        <v>1</v>
      </c>
      <c r="D485">
        <v>2011</v>
      </c>
      <c r="E485" t="s">
        <v>10</v>
      </c>
      <c r="F485">
        <v>4</v>
      </c>
      <c r="G485" t="b">
        <v>0</v>
      </c>
      <c r="H485" t="s">
        <v>11</v>
      </c>
      <c r="I485">
        <v>2</v>
      </c>
      <c r="J485">
        <v>0.02</v>
      </c>
      <c r="K485">
        <v>1.52E-2</v>
      </c>
      <c r="L485">
        <v>0.48</v>
      </c>
      <c r="M485">
        <v>0.29849999999999999</v>
      </c>
      <c r="N485">
        <v>0</v>
      </c>
      <c r="O485">
        <v>3</v>
      </c>
      <c r="P485">
        <v>3</v>
      </c>
      <c r="S485" t="str">
        <f>IF(Dataset_A[[#This Row],[Hr]]&gt;=19,"Evening Time",IF(Dataset_A[[#This Row],[Hr]]&gt;=9,"Day Time",IF(Dataset_A[[#This Row],[Hr]]&gt;=0,"Night Time","")))</f>
        <v>Night Time</v>
      </c>
    </row>
    <row r="486" spans="1:19" x14ac:dyDescent="0.2">
      <c r="A486">
        <v>485</v>
      </c>
      <c r="B486" s="3">
        <v>40565</v>
      </c>
      <c r="C486">
        <v>1</v>
      </c>
      <c r="D486">
        <v>2011</v>
      </c>
      <c r="E486" t="s">
        <v>10</v>
      </c>
      <c r="F486">
        <v>6</v>
      </c>
      <c r="G486" t="b">
        <v>0</v>
      </c>
      <c r="H486" t="s">
        <v>11</v>
      </c>
      <c r="I486">
        <v>2</v>
      </c>
      <c r="J486">
        <v>0.02</v>
      </c>
      <c r="K486">
        <v>3.0300000000000001E-2</v>
      </c>
      <c r="L486">
        <v>0.44</v>
      </c>
      <c r="M486">
        <v>0.22389999999999999</v>
      </c>
      <c r="N486">
        <v>0</v>
      </c>
      <c r="O486">
        <v>2</v>
      </c>
      <c r="P486">
        <v>2</v>
      </c>
      <c r="S486" t="str">
        <f>IF(Dataset_A[[#This Row],[Hr]]&gt;=19,"Evening Time",IF(Dataset_A[[#This Row],[Hr]]&gt;=9,"Day Time",IF(Dataset_A[[#This Row],[Hr]]&gt;=0,"Night Time","")))</f>
        <v>Night Time</v>
      </c>
    </row>
    <row r="487" spans="1:19" x14ac:dyDescent="0.2">
      <c r="A487">
        <v>486</v>
      </c>
      <c r="B487" s="3">
        <v>40565</v>
      </c>
      <c r="C487">
        <v>1</v>
      </c>
      <c r="D487">
        <v>2011</v>
      </c>
      <c r="E487" t="s">
        <v>10</v>
      </c>
      <c r="F487">
        <v>7</v>
      </c>
      <c r="G487" t="b">
        <v>0</v>
      </c>
      <c r="H487" t="s">
        <v>11</v>
      </c>
      <c r="I487">
        <v>1</v>
      </c>
      <c r="J487">
        <v>0.02</v>
      </c>
      <c r="K487">
        <v>1.52E-2</v>
      </c>
      <c r="L487">
        <v>0.44</v>
      </c>
      <c r="M487">
        <v>0.28360000000000002</v>
      </c>
      <c r="N487">
        <v>0</v>
      </c>
      <c r="O487">
        <v>8</v>
      </c>
      <c r="P487">
        <v>8</v>
      </c>
      <c r="S487" t="str">
        <f>IF(Dataset_A[[#This Row],[Hr]]&gt;=19,"Evening Time",IF(Dataset_A[[#This Row],[Hr]]&gt;=9,"Day Time",IF(Dataset_A[[#This Row],[Hr]]&gt;=0,"Night Time","")))</f>
        <v>Night Time</v>
      </c>
    </row>
    <row r="488" spans="1:19" x14ac:dyDescent="0.2">
      <c r="A488">
        <v>487</v>
      </c>
      <c r="B488" s="3">
        <v>40565</v>
      </c>
      <c r="C488">
        <v>1</v>
      </c>
      <c r="D488">
        <v>2011</v>
      </c>
      <c r="E488" t="s">
        <v>10</v>
      </c>
      <c r="F488">
        <v>8</v>
      </c>
      <c r="G488" t="b">
        <v>0</v>
      </c>
      <c r="H488" t="s">
        <v>11</v>
      </c>
      <c r="I488">
        <v>1</v>
      </c>
      <c r="J488">
        <v>0.02</v>
      </c>
      <c r="K488">
        <v>0</v>
      </c>
      <c r="L488">
        <v>0.44</v>
      </c>
      <c r="M488">
        <v>0.32840000000000003</v>
      </c>
      <c r="N488">
        <v>1</v>
      </c>
      <c r="O488">
        <v>26</v>
      </c>
      <c r="P488">
        <v>27</v>
      </c>
      <c r="S488" t="str">
        <f>IF(Dataset_A[[#This Row],[Hr]]&gt;=19,"Evening Time",IF(Dataset_A[[#This Row],[Hr]]&gt;=9,"Day Time",IF(Dataset_A[[#This Row],[Hr]]&gt;=0,"Night Time","")))</f>
        <v>Night Time</v>
      </c>
    </row>
    <row r="489" spans="1:19" x14ac:dyDescent="0.2">
      <c r="A489">
        <v>488</v>
      </c>
      <c r="B489" s="3">
        <v>40565</v>
      </c>
      <c r="C489">
        <v>1</v>
      </c>
      <c r="D489">
        <v>2011</v>
      </c>
      <c r="E489" t="s">
        <v>10</v>
      </c>
      <c r="F489">
        <v>9</v>
      </c>
      <c r="G489" t="b">
        <v>0</v>
      </c>
      <c r="H489" t="s">
        <v>11</v>
      </c>
      <c r="I489">
        <v>1</v>
      </c>
      <c r="J489">
        <v>0.04</v>
      </c>
      <c r="K489">
        <v>3.0300000000000001E-2</v>
      </c>
      <c r="L489">
        <v>0.41</v>
      </c>
      <c r="M489">
        <v>0.25369999999999998</v>
      </c>
      <c r="N489">
        <v>3</v>
      </c>
      <c r="O489">
        <v>37</v>
      </c>
      <c r="P489">
        <v>40</v>
      </c>
      <c r="S489" t="str">
        <f>IF(Dataset_A[[#This Row],[Hr]]&gt;=19,"Evening Time",IF(Dataset_A[[#This Row],[Hr]]&gt;=9,"Day Time",IF(Dataset_A[[#This Row],[Hr]]&gt;=0,"Night Time","")))</f>
        <v>Day Time</v>
      </c>
    </row>
    <row r="490" spans="1:19" x14ac:dyDescent="0.2">
      <c r="A490">
        <v>489</v>
      </c>
      <c r="B490" s="3">
        <v>40565</v>
      </c>
      <c r="C490">
        <v>1</v>
      </c>
      <c r="D490">
        <v>2011</v>
      </c>
      <c r="E490" t="s">
        <v>10</v>
      </c>
      <c r="F490">
        <v>10</v>
      </c>
      <c r="G490" t="b">
        <v>0</v>
      </c>
      <c r="H490" t="s">
        <v>11</v>
      </c>
      <c r="I490">
        <v>2</v>
      </c>
      <c r="J490">
        <v>0.04</v>
      </c>
      <c r="K490">
        <v>6.0600000000000001E-2</v>
      </c>
      <c r="L490">
        <v>0.41</v>
      </c>
      <c r="M490">
        <v>0.16420000000000001</v>
      </c>
      <c r="N490">
        <v>3</v>
      </c>
      <c r="O490">
        <v>50</v>
      </c>
      <c r="P490">
        <v>53</v>
      </c>
      <c r="S490" t="str">
        <f>IF(Dataset_A[[#This Row],[Hr]]&gt;=19,"Evening Time",IF(Dataset_A[[#This Row],[Hr]]&gt;=9,"Day Time",IF(Dataset_A[[#This Row],[Hr]]&gt;=0,"Night Time","")))</f>
        <v>Day Time</v>
      </c>
    </row>
    <row r="491" spans="1:19" x14ac:dyDescent="0.2">
      <c r="A491">
        <v>490</v>
      </c>
      <c r="B491" s="3">
        <v>40565</v>
      </c>
      <c r="C491">
        <v>1</v>
      </c>
      <c r="D491">
        <v>2011</v>
      </c>
      <c r="E491" t="s">
        <v>10</v>
      </c>
      <c r="F491">
        <v>11</v>
      </c>
      <c r="G491" t="b">
        <v>0</v>
      </c>
      <c r="H491" t="s">
        <v>11</v>
      </c>
      <c r="I491">
        <v>2</v>
      </c>
      <c r="J491">
        <v>0.06</v>
      </c>
      <c r="K491">
        <v>7.5800000000000006E-2</v>
      </c>
      <c r="L491">
        <v>0.38</v>
      </c>
      <c r="M491">
        <v>0.1343</v>
      </c>
      <c r="N491">
        <v>4</v>
      </c>
      <c r="O491">
        <v>59</v>
      </c>
      <c r="P491">
        <v>63</v>
      </c>
      <c r="S491" t="str">
        <f>IF(Dataset_A[[#This Row],[Hr]]&gt;=19,"Evening Time",IF(Dataset_A[[#This Row],[Hr]]&gt;=9,"Day Time",IF(Dataset_A[[#This Row],[Hr]]&gt;=0,"Night Time","")))</f>
        <v>Day Time</v>
      </c>
    </row>
    <row r="492" spans="1:19" x14ac:dyDescent="0.2">
      <c r="A492">
        <v>491</v>
      </c>
      <c r="B492" s="3">
        <v>40565</v>
      </c>
      <c r="C492">
        <v>1</v>
      </c>
      <c r="D492">
        <v>2011</v>
      </c>
      <c r="E492" t="s">
        <v>10</v>
      </c>
      <c r="F492">
        <v>12</v>
      </c>
      <c r="G492" t="b">
        <v>0</v>
      </c>
      <c r="H492" t="s">
        <v>11</v>
      </c>
      <c r="I492">
        <v>2</v>
      </c>
      <c r="J492">
        <v>0.06</v>
      </c>
      <c r="K492">
        <v>0.1061</v>
      </c>
      <c r="L492">
        <v>0.38</v>
      </c>
      <c r="M492">
        <v>0.1045</v>
      </c>
      <c r="N492">
        <v>10</v>
      </c>
      <c r="O492">
        <v>60</v>
      </c>
      <c r="P492">
        <v>70</v>
      </c>
      <c r="S492" t="str">
        <f>IF(Dataset_A[[#This Row],[Hr]]&gt;=19,"Evening Time",IF(Dataset_A[[#This Row],[Hr]]&gt;=9,"Day Time",IF(Dataset_A[[#This Row],[Hr]]&gt;=0,"Night Time","")))</f>
        <v>Day Time</v>
      </c>
    </row>
    <row r="493" spans="1:19" x14ac:dyDescent="0.2">
      <c r="A493">
        <v>492</v>
      </c>
      <c r="B493" s="3">
        <v>40565</v>
      </c>
      <c r="C493">
        <v>1</v>
      </c>
      <c r="D493">
        <v>2011</v>
      </c>
      <c r="E493" t="s">
        <v>10</v>
      </c>
      <c r="F493">
        <v>13</v>
      </c>
      <c r="G493" t="b">
        <v>0</v>
      </c>
      <c r="H493" t="s">
        <v>11</v>
      </c>
      <c r="I493">
        <v>1</v>
      </c>
      <c r="J493">
        <v>0.08</v>
      </c>
      <c r="K493">
        <v>0.16669999999999999</v>
      </c>
      <c r="L493">
        <v>0.35</v>
      </c>
      <c r="M493">
        <v>0</v>
      </c>
      <c r="N493">
        <v>12</v>
      </c>
      <c r="O493">
        <v>72</v>
      </c>
      <c r="P493">
        <v>84</v>
      </c>
      <c r="S493" t="str">
        <f>IF(Dataset_A[[#This Row],[Hr]]&gt;=19,"Evening Time",IF(Dataset_A[[#This Row],[Hr]]&gt;=9,"Day Time",IF(Dataset_A[[#This Row],[Hr]]&gt;=0,"Night Time","")))</f>
        <v>Day Time</v>
      </c>
    </row>
    <row r="494" spans="1:19" x14ac:dyDescent="0.2">
      <c r="A494">
        <v>493</v>
      </c>
      <c r="B494" s="3">
        <v>40565</v>
      </c>
      <c r="C494">
        <v>1</v>
      </c>
      <c r="D494">
        <v>2011</v>
      </c>
      <c r="E494" t="s">
        <v>10</v>
      </c>
      <c r="F494">
        <v>14</v>
      </c>
      <c r="G494" t="b">
        <v>0</v>
      </c>
      <c r="H494" t="s">
        <v>11</v>
      </c>
      <c r="I494">
        <v>1</v>
      </c>
      <c r="J494">
        <v>0.1</v>
      </c>
      <c r="K494">
        <v>0.13639999999999999</v>
      </c>
      <c r="L494">
        <v>0.33</v>
      </c>
      <c r="M494">
        <v>0.1045</v>
      </c>
      <c r="N494">
        <v>11</v>
      </c>
      <c r="O494">
        <v>64</v>
      </c>
      <c r="P494">
        <v>75</v>
      </c>
      <c r="S494" t="str">
        <f>IF(Dataset_A[[#This Row],[Hr]]&gt;=19,"Evening Time",IF(Dataset_A[[#This Row],[Hr]]&gt;=9,"Day Time",IF(Dataset_A[[#This Row],[Hr]]&gt;=0,"Night Time","")))</f>
        <v>Day Time</v>
      </c>
    </row>
    <row r="495" spans="1:19" x14ac:dyDescent="0.2">
      <c r="A495">
        <v>494</v>
      </c>
      <c r="B495" s="3">
        <v>40565</v>
      </c>
      <c r="C495">
        <v>1</v>
      </c>
      <c r="D495">
        <v>2011</v>
      </c>
      <c r="E495" t="s">
        <v>10</v>
      </c>
      <c r="F495">
        <v>15</v>
      </c>
      <c r="G495" t="b">
        <v>0</v>
      </c>
      <c r="H495" t="s">
        <v>11</v>
      </c>
      <c r="I495">
        <v>1</v>
      </c>
      <c r="J495">
        <v>0.12</v>
      </c>
      <c r="K495">
        <v>0.1515</v>
      </c>
      <c r="L495">
        <v>0.28000000000000003</v>
      </c>
      <c r="M495">
        <v>0</v>
      </c>
      <c r="N495">
        <v>10</v>
      </c>
      <c r="O495">
        <v>93</v>
      </c>
      <c r="P495">
        <v>103</v>
      </c>
      <c r="S495" t="str">
        <f>IF(Dataset_A[[#This Row],[Hr]]&gt;=19,"Evening Time",IF(Dataset_A[[#This Row],[Hr]]&gt;=9,"Day Time",IF(Dataset_A[[#This Row],[Hr]]&gt;=0,"Night Time","")))</f>
        <v>Day Time</v>
      </c>
    </row>
    <row r="496" spans="1:19" x14ac:dyDescent="0.2">
      <c r="A496">
        <v>495</v>
      </c>
      <c r="B496" s="3">
        <v>40565</v>
      </c>
      <c r="C496">
        <v>1</v>
      </c>
      <c r="D496">
        <v>2011</v>
      </c>
      <c r="E496" t="s">
        <v>10</v>
      </c>
      <c r="F496">
        <v>16</v>
      </c>
      <c r="G496" t="b">
        <v>0</v>
      </c>
      <c r="H496" t="s">
        <v>11</v>
      </c>
      <c r="I496">
        <v>1</v>
      </c>
      <c r="J496">
        <v>0.12</v>
      </c>
      <c r="K496">
        <v>0.13639999999999999</v>
      </c>
      <c r="L496">
        <v>0.28000000000000003</v>
      </c>
      <c r="M496">
        <v>0.19400000000000001</v>
      </c>
      <c r="N496">
        <v>11</v>
      </c>
      <c r="O496">
        <v>72</v>
      </c>
      <c r="P496">
        <v>83</v>
      </c>
      <c r="S496" t="str">
        <f>IF(Dataset_A[[#This Row],[Hr]]&gt;=19,"Evening Time",IF(Dataset_A[[#This Row],[Hr]]&gt;=9,"Day Time",IF(Dataset_A[[#This Row],[Hr]]&gt;=0,"Night Time","")))</f>
        <v>Day Time</v>
      </c>
    </row>
    <row r="497" spans="1:19" x14ac:dyDescent="0.2">
      <c r="A497">
        <v>496</v>
      </c>
      <c r="B497" s="3">
        <v>40565</v>
      </c>
      <c r="C497">
        <v>1</v>
      </c>
      <c r="D497">
        <v>2011</v>
      </c>
      <c r="E497" t="s">
        <v>10</v>
      </c>
      <c r="F497">
        <v>17</v>
      </c>
      <c r="G497" t="b">
        <v>0</v>
      </c>
      <c r="H497" t="s">
        <v>11</v>
      </c>
      <c r="I497">
        <v>1</v>
      </c>
      <c r="J497">
        <v>0.12</v>
      </c>
      <c r="K497">
        <v>0.19700000000000001</v>
      </c>
      <c r="L497">
        <v>0.28000000000000003</v>
      </c>
      <c r="M497">
        <v>0</v>
      </c>
      <c r="N497">
        <v>8</v>
      </c>
      <c r="O497">
        <v>59</v>
      </c>
      <c r="P497">
        <v>67</v>
      </c>
      <c r="S497" t="str">
        <f>IF(Dataset_A[[#This Row],[Hr]]&gt;=19,"Evening Time",IF(Dataset_A[[#This Row],[Hr]]&gt;=9,"Day Time",IF(Dataset_A[[#This Row],[Hr]]&gt;=0,"Night Time","")))</f>
        <v>Day Time</v>
      </c>
    </row>
    <row r="498" spans="1:19" x14ac:dyDescent="0.2">
      <c r="A498">
        <v>497</v>
      </c>
      <c r="B498" s="3">
        <v>40565</v>
      </c>
      <c r="C498">
        <v>1</v>
      </c>
      <c r="D498">
        <v>2011</v>
      </c>
      <c r="E498" t="s">
        <v>10</v>
      </c>
      <c r="F498">
        <v>18</v>
      </c>
      <c r="G498" t="b">
        <v>0</v>
      </c>
      <c r="H498" t="s">
        <v>11</v>
      </c>
      <c r="I498">
        <v>1</v>
      </c>
      <c r="J498">
        <v>0.08</v>
      </c>
      <c r="K498">
        <v>9.0899999999999995E-2</v>
      </c>
      <c r="L498">
        <v>0.35</v>
      </c>
      <c r="M498">
        <v>0.19400000000000001</v>
      </c>
      <c r="N498">
        <v>0</v>
      </c>
      <c r="O498">
        <v>54</v>
      </c>
      <c r="P498">
        <v>54</v>
      </c>
      <c r="S498" t="str">
        <f>IF(Dataset_A[[#This Row],[Hr]]&gt;=19,"Evening Time",IF(Dataset_A[[#This Row],[Hr]]&gt;=9,"Day Time",IF(Dataset_A[[#This Row],[Hr]]&gt;=0,"Night Time","")))</f>
        <v>Day Time</v>
      </c>
    </row>
    <row r="499" spans="1:19" x14ac:dyDescent="0.2">
      <c r="A499">
        <v>498</v>
      </c>
      <c r="B499" s="3">
        <v>40565</v>
      </c>
      <c r="C499">
        <v>1</v>
      </c>
      <c r="D499">
        <v>2011</v>
      </c>
      <c r="E499" t="s">
        <v>10</v>
      </c>
      <c r="F499">
        <v>19</v>
      </c>
      <c r="G499" t="b">
        <v>0</v>
      </c>
      <c r="H499" t="s">
        <v>11</v>
      </c>
      <c r="I499">
        <v>1</v>
      </c>
      <c r="J499">
        <v>0.08</v>
      </c>
      <c r="K499">
        <v>0.1061</v>
      </c>
      <c r="L499">
        <v>0.35</v>
      </c>
      <c r="M499">
        <v>0.1343</v>
      </c>
      <c r="N499">
        <v>6</v>
      </c>
      <c r="O499">
        <v>53</v>
      </c>
      <c r="P499">
        <v>59</v>
      </c>
      <c r="S499" t="str">
        <f>IF(Dataset_A[[#This Row],[Hr]]&gt;=19,"Evening Time",IF(Dataset_A[[#This Row],[Hr]]&gt;=9,"Day Time",IF(Dataset_A[[#This Row],[Hr]]&gt;=0,"Night Time","")))</f>
        <v>Evening Time</v>
      </c>
    </row>
    <row r="500" spans="1:19" x14ac:dyDescent="0.2">
      <c r="A500">
        <v>499</v>
      </c>
      <c r="B500" s="3">
        <v>40565</v>
      </c>
      <c r="C500">
        <v>1</v>
      </c>
      <c r="D500">
        <v>2011</v>
      </c>
      <c r="E500" t="s">
        <v>10</v>
      </c>
      <c r="F500">
        <v>20</v>
      </c>
      <c r="G500" t="b">
        <v>0</v>
      </c>
      <c r="H500" t="s">
        <v>11</v>
      </c>
      <c r="I500">
        <v>1</v>
      </c>
      <c r="J500">
        <v>0.06</v>
      </c>
      <c r="K500">
        <v>7.5800000000000006E-2</v>
      </c>
      <c r="L500">
        <v>0.45</v>
      </c>
      <c r="M500">
        <v>0.16420000000000001</v>
      </c>
      <c r="N500">
        <v>1</v>
      </c>
      <c r="O500">
        <v>44</v>
      </c>
      <c r="P500">
        <v>45</v>
      </c>
      <c r="S500" t="str">
        <f>IF(Dataset_A[[#This Row],[Hr]]&gt;=19,"Evening Time",IF(Dataset_A[[#This Row],[Hr]]&gt;=9,"Day Time",IF(Dataset_A[[#This Row],[Hr]]&gt;=0,"Night Time","")))</f>
        <v>Evening Time</v>
      </c>
    </row>
    <row r="501" spans="1:19" x14ac:dyDescent="0.2">
      <c r="A501">
        <v>500</v>
      </c>
      <c r="B501" s="3">
        <v>40565</v>
      </c>
      <c r="C501">
        <v>1</v>
      </c>
      <c r="D501">
        <v>2011</v>
      </c>
      <c r="E501" t="s">
        <v>10</v>
      </c>
      <c r="F501">
        <v>21</v>
      </c>
      <c r="G501" t="b">
        <v>0</v>
      </c>
      <c r="H501" t="s">
        <v>11</v>
      </c>
      <c r="I501">
        <v>1</v>
      </c>
      <c r="J501">
        <v>0.06</v>
      </c>
      <c r="K501">
        <v>0.1061</v>
      </c>
      <c r="L501">
        <v>0.41</v>
      </c>
      <c r="M501">
        <v>8.9599999999999999E-2</v>
      </c>
      <c r="N501">
        <v>0</v>
      </c>
      <c r="O501">
        <v>39</v>
      </c>
      <c r="P501">
        <v>39</v>
      </c>
      <c r="S501" t="str">
        <f>IF(Dataset_A[[#This Row],[Hr]]&gt;=19,"Evening Time",IF(Dataset_A[[#This Row],[Hr]]&gt;=9,"Day Time",IF(Dataset_A[[#This Row],[Hr]]&gt;=0,"Night Time","")))</f>
        <v>Evening Time</v>
      </c>
    </row>
    <row r="502" spans="1:19" x14ac:dyDescent="0.2">
      <c r="A502">
        <v>501</v>
      </c>
      <c r="B502" s="3">
        <v>40565</v>
      </c>
      <c r="C502">
        <v>1</v>
      </c>
      <c r="D502">
        <v>2011</v>
      </c>
      <c r="E502" t="s">
        <v>10</v>
      </c>
      <c r="F502">
        <v>22</v>
      </c>
      <c r="G502" t="b">
        <v>0</v>
      </c>
      <c r="H502" t="s">
        <v>11</v>
      </c>
      <c r="I502">
        <v>1</v>
      </c>
      <c r="J502">
        <v>0.06</v>
      </c>
      <c r="K502">
        <v>0.1515</v>
      </c>
      <c r="L502">
        <v>0.49</v>
      </c>
      <c r="M502">
        <v>0</v>
      </c>
      <c r="N502">
        <v>7</v>
      </c>
      <c r="O502">
        <v>23</v>
      </c>
      <c r="P502">
        <v>30</v>
      </c>
      <c r="S502" t="str">
        <f>IF(Dataset_A[[#This Row],[Hr]]&gt;=19,"Evening Time",IF(Dataset_A[[#This Row],[Hr]]&gt;=9,"Day Time",IF(Dataset_A[[#This Row],[Hr]]&gt;=0,"Night Time","")))</f>
        <v>Evening Time</v>
      </c>
    </row>
    <row r="503" spans="1:19" x14ac:dyDescent="0.2">
      <c r="A503">
        <v>502</v>
      </c>
      <c r="B503" s="3">
        <v>40565</v>
      </c>
      <c r="C503">
        <v>1</v>
      </c>
      <c r="D503">
        <v>2011</v>
      </c>
      <c r="E503" t="s">
        <v>10</v>
      </c>
      <c r="F503">
        <v>23</v>
      </c>
      <c r="G503" t="b">
        <v>0</v>
      </c>
      <c r="H503" t="s">
        <v>11</v>
      </c>
      <c r="I503">
        <v>1</v>
      </c>
      <c r="J503">
        <v>0.04</v>
      </c>
      <c r="K503">
        <v>7.5800000000000006E-2</v>
      </c>
      <c r="L503">
        <v>0.56999999999999995</v>
      </c>
      <c r="M503">
        <v>0.1045</v>
      </c>
      <c r="N503">
        <v>2</v>
      </c>
      <c r="O503">
        <v>31</v>
      </c>
      <c r="P503">
        <v>33</v>
      </c>
      <c r="S503" t="str">
        <f>IF(Dataset_A[[#This Row],[Hr]]&gt;=19,"Evening Time",IF(Dataset_A[[#This Row],[Hr]]&gt;=9,"Day Time",IF(Dataset_A[[#This Row],[Hr]]&gt;=0,"Night Time","")))</f>
        <v>Evening Time</v>
      </c>
    </row>
    <row r="504" spans="1:19" x14ac:dyDescent="0.2">
      <c r="A504">
        <v>503</v>
      </c>
      <c r="B504" s="3">
        <v>40566</v>
      </c>
      <c r="C504">
        <v>1</v>
      </c>
      <c r="D504">
        <v>2011</v>
      </c>
      <c r="E504" t="s">
        <v>10</v>
      </c>
      <c r="F504">
        <v>0</v>
      </c>
      <c r="G504" t="b">
        <v>1</v>
      </c>
      <c r="H504" t="s">
        <v>12</v>
      </c>
      <c r="I504">
        <v>1</v>
      </c>
      <c r="J504">
        <v>0.04</v>
      </c>
      <c r="K504">
        <v>7.5800000000000006E-2</v>
      </c>
      <c r="L504">
        <v>0.56999999999999995</v>
      </c>
      <c r="M504">
        <v>0.1045</v>
      </c>
      <c r="N504">
        <v>2</v>
      </c>
      <c r="O504">
        <v>20</v>
      </c>
      <c r="P504">
        <v>22</v>
      </c>
      <c r="S504" t="str">
        <f>IF(Dataset_A[[#This Row],[Hr]]&gt;=19,"Evening Time",IF(Dataset_A[[#This Row],[Hr]]&gt;=9,"Day Time",IF(Dataset_A[[#This Row],[Hr]]&gt;=0,"Night Time","")))</f>
        <v>Night Time</v>
      </c>
    </row>
    <row r="505" spans="1:19" x14ac:dyDescent="0.2">
      <c r="A505">
        <v>504</v>
      </c>
      <c r="B505" s="3">
        <v>40566</v>
      </c>
      <c r="C505">
        <v>1</v>
      </c>
      <c r="D505">
        <v>2011</v>
      </c>
      <c r="E505" t="s">
        <v>10</v>
      </c>
      <c r="F505">
        <v>1</v>
      </c>
      <c r="G505" t="b">
        <v>1</v>
      </c>
      <c r="H505" t="s">
        <v>12</v>
      </c>
      <c r="I505">
        <v>1</v>
      </c>
      <c r="J505">
        <v>0.04</v>
      </c>
      <c r="K505">
        <v>7.5800000000000006E-2</v>
      </c>
      <c r="L505">
        <v>0.56999999999999995</v>
      </c>
      <c r="M505">
        <v>0.1045</v>
      </c>
      <c r="N505">
        <v>1</v>
      </c>
      <c r="O505">
        <v>12</v>
      </c>
      <c r="P505">
        <v>13</v>
      </c>
      <c r="S505" t="str">
        <f>IF(Dataset_A[[#This Row],[Hr]]&gt;=19,"Evening Time",IF(Dataset_A[[#This Row],[Hr]]&gt;=9,"Day Time",IF(Dataset_A[[#This Row],[Hr]]&gt;=0,"Night Time","")))</f>
        <v>Night Time</v>
      </c>
    </row>
    <row r="506" spans="1:19" x14ac:dyDescent="0.2">
      <c r="A506">
        <v>505</v>
      </c>
      <c r="B506" s="3">
        <v>40566</v>
      </c>
      <c r="C506">
        <v>1</v>
      </c>
      <c r="D506">
        <v>2011</v>
      </c>
      <c r="E506" t="s">
        <v>10</v>
      </c>
      <c r="F506">
        <v>2</v>
      </c>
      <c r="G506" t="b">
        <v>1</v>
      </c>
      <c r="H506" t="s">
        <v>12</v>
      </c>
      <c r="I506">
        <v>1</v>
      </c>
      <c r="J506">
        <v>0.02</v>
      </c>
      <c r="K506">
        <v>6.0600000000000001E-2</v>
      </c>
      <c r="L506">
        <v>0.62</v>
      </c>
      <c r="M506">
        <v>0.1343</v>
      </c>
      <c r="N506">
        <v>3</v>
      </c>
      <c r="O506">
        <v>15</v>
      </c>
      <c r="P506">
        <v>18</v>
      </c>
      <c r="S506" t="str">
        <f>IF(Dataset_A[[#This Row],[Hr]]&gt;=19,"Evening Time",IF(Dataset_A[[#This Row],[Hr]]&gt;=9,"Day Time",IF(Dataset_A[[#This Row],[Hr]]&gt;=0,"Night Time","")))</f>
        <v>Night Time</v>
      </c>
    </row>
    <row r="507" spans="1:19" x14ac:dyDescent="0.2">
      <c r="A507">
        <v>506</v>
      </c>
      <c r="B507" s="3">
        <v>40566</v>
      </c>
      <c r="C507">
        <v>1</v>
      </c>
      <c r="D507">
        <v>2011</v>
      </c>
      <c r="E507" t="s">
        <v>10</v>
      </c>
      <c r="F507">
        <v>3</v>
      </c>
      <c r="G507" t="b">
        <v>1</v>
      </c>
      <c r="H507" t="s">
        <v>12</v>
      </c>
      <c r="I507">
        <v>1</v>
      </c>
      <c r="J507">
        <v>0.02</v>
      </c>
      <c r="K507">
        <v>6.0600000000000001E-2</v>
      </c>
      <c r="L507">
        <v>0.62</v>
      </c>
      <c r="M507">
        <v>0.1343</v>
      </c>
      <c r="N507">
        <v>1</v>
      </c>
      <c r="O507">
        <v>4</v>
      </c>
      <c r="P507">
        <v>5</v>
      </c>
      <c r="S507" t="str">
        <f>IF(Dataset_A[[#This Row],[Hr]]&gt;=19,"Evening Time",IF(Dataset_A[[#This Row],[Hr]]&gt;=9,"Day Time",IF(Dataset_A[[#This Row],[Hr]]&gt;=0,"Night Time","")))</f>
        <v>Night Time</v>
      </c>
    </row>
    <row r="508" spans="1:19" x14ac:dyDescent="0.2">
      <c r="A508">
        <v>507</v>
      </c>
      <c r="B508" s="3">
        <v>40566</v>
      </c>
      <c r="C508">
        <v>1</v>
      </c>
      <c r="D508">
        <v>2011</v>
      </c>
      <c r="E508" t="s">
        <v>10</v>
      </c>
      <c r="F508">
        <v>5</v>
      </c>
      <c r="G508" t="b">
        <v>1</v>
      </c>
      <c r="H508" t="s">
        <v>12</v>
      </c>
      <c r="I508">
        <v>2</v>
      </c>
      <c r="J508">
        <v>0.04</v>
      </c>
      <c r="K508">
        <v>7.5800000000000006E-2</v>
      </c>
      <c r="L508">
        <v>0.56999999999999995</v>
      </c>
      <c r="M508">
        <v>0.1045</v>
      </c>
      <c r="N508">
        <v>0</v>
      </c>
      <c r="O508">
        <v>3</v>
      </c>
      <c r="P508">
        <v>3</v>
      </c>
      <c r="S508" t="str">
        <f>IF(Dataset_A[[#This Row],[Hr]]&gt;=19,"Evening Time",IF(Dataset_A[[#This Row],[Hr]]&gt;=9,"Day Time",IF(Dataset_A[[#This Row],[Hr]]&gt;=0,"Night Time","")))</f>
        <v>Night Time</v>
      </c>
    </row>
    <row r="509" spans="1:19" x14ac:dyDescent="0.2">
      <c r="A509">
        <v>508</v>
      </c>
      <c r="B509" s="3">
        <v>40566</v>
      </c>
      <c r="C509">
        <v>1</v>
      </c>
      <c r="D509">
        <v>2011</v>
      </c>
      <c r="E509" t="s">
        <v>10</v>
      </c>
      <c r="F509">
        <v>6</v>
      </c>
      <c r="G509" t="b">
        <v>1</v>
      </c>
      <c r="H509" t="s">
        <v>12</v>
      </c>
      <c r="I509">
        <v>2</v>
      </c>
      <c r="J509">
        <v>0.04</v>
      </c>
      <c r="K509">
        <v>7.5800000000000006E-2</v>
      </c>
      <c r="L509">
        <v>0.56999999999999995</v>
      </c>
      <c r="M509">
        <v>0.1045</v>
      </c>
      <c r="N509">
        <v>0</v>
      </c>
      <c r="O509">
        <v>1</v>
      </c>
      <c r="P509">
        <v>1</v>
      </c>
      <c r="S509" t="str">
        <f>IF(Dataset_A[[#This Row],[Hr]]&gt;=19,"Evening Time",IF(Dataset_A[[#This Row],[Hr]]&gt;=9,"Day Time",IF(Dataset_A[[#This Row],[Hr]]&gt;=0,"Night Time","")))</f>
        <v>Night Time</v>
      </c>
    </row>
    <row r="510" spans="1:19" x14ac:dyDescent="0.2">
      <c r="A510">
        <v>509</v>
      </c>
      <c r="B510" s="3">
        <v>40566</v>
      </c>
      <c r="C510">
        <v>1</v>
      </c>
      <c r="D510">
        <v>2011</v>
      </c>
      <c r="E510" t="s">
        <v>10</v>
      </c>
      <c r="F510">
        <v>7</v>
      </c>
      <c r="G510" t="b">
        <v>1</v>
      </c>
      <c r="H510" t="s">
        <v>12</v>
      </c>
      <c r="I510">
        <v>1</v>
      </c>
      <c r="J510">
        <v>0.08</v>
      </c>
      <c r="K510">
        <v>0.1061</v>
      </c>
      <c r="L510">
        <v>0.57999999999999996</v>
      </c>
      <c r="M510">
        <v>0.16420000000000001</v>
      </c>
      <c r="N510">
        <v>1</v>
      </c>
      <c r="O510">
        <v>1</v>
      </c>
      <c r="P510">
        <v>2</v>
      </c>
      <c r="S510" t="str">
        <f>IF(Dataset_A[[#This Row],[Hr]]&gt;=19,"Evening Time",IF(Dataset_A[[#This Row],[Hr]]&gt;=9,"Day Time",IF(Dataset_A[[#This Row],[Hr]]&gt;=0,"Night Time","")))</f>
        <v>Night Time</v>
      </c>
    </row>
    <row r="511" spans="1:19" x14ac:dyDescent="0.2">
      <c r="A511">
        <v>510</v>
      </c>
      <c r="B511" s="3">
        <v>40566</v>
      </c>
      <c r="C511">
        <v>1</v>
      </c>
      <c r="D511">
        <v>2011</v>
      </c>
      <c r="E511" t="s">
        <v>10</v>
      </c>
      <c r="F511">
        <v>8</v>
      </c>
      <c r="G511" t="b">
        <v>1</v>
      </c>
      <c r="H511" t="s">
        <v>12</v>
      </c>
      <c r="I511">
        <v>1</v>
      </c>
      <c r="J511">
        <v>0.06</v>
      </c>
      <c r="K511">
        <v>7.5800000000000006E-2</v>
      </c>
      <c r="L511">
        <v>0.62</v>
      </c>
      <c r="M511">
        <v>0.16420000000000001</v>
      </c>
      <c r="N511">
        <v>2</v>
      </c>
      <c r="O511">
        <v>17</v>
      </c>
      <c r="P511">
        <v>19</v>
      </c>
      <c r="S511" t="str">
        <f>IF(Dataset_A[[#This Row],[Hr]]&gt;=19,"Evening Time",IF(Dataset_A[[#This Row],[Hr]]&gt;=9,"Day Time",IF(Dataset_A[[#This Row],[Hr]]&gt;=0,"Night Time","")))</f>
        <v>Night Time</v>
      </c>
    </row>
    <row r="512" spans="1:19" x14ac:dyDescent="0.2">
      <c r="A512">
        <v>511</v>
      </c>
      <c r="B512" s="3">
        <v>40566</v>
      </c>
      <c r="C512">
        <v>1</v>
      </c>
      <c r="D512">
        <v>2011</v>
      </c>
      <c r="E512" t="s">
        <v>10</v>
      </c>
      <c r="F512">
        <v>9</v>
      </c>
      <c r="G512" t="b">
        <v>1</v>
      </c>
      <c r="H512" t="s">
        <v>12</v>
      </c>
      <c r="I512">
        <v>1</v>
      </c>
      <c r="J512">
        <v>0.1</v>
      </c>
      <c r="K512">
        <v>7.5800000000000006E-2</v>
      </c>
      <c r="L512">
        <v>0.54</v>
      </c>
      <c r="M512">
        <v>0.35820000000000002</v>
      </c>
      <c r="N512">
        <v>3</v>
      </c>
      <c r="O512">
        <v>25</v>
      </c>
      <c r="P512">
        <v>28</v>
      </c>
      <c r="S512" t="str">
        <f>IF(Dataset_A[[#This Row],[Hr]]&gt;=19,"Evening Time",IF(Dataset_A[[#This Row],[Hr]]&gt;=9,"Day Time",IF(Dataset_A[[#This Row],[Hr]]&gt;=0,"Night Time","")))</f>
        <v>Day Time</v>
      </c>
    </row>
    <row r="513" spans="1:19" x14ac:dyDescent="0.2">
      <c r="A513">
        <v>512</v>
      </c>
      <c r="B513" s="3">
        <v>40566</v>
      </c>
      <c r="C513">
        <v>1</v>
      </c>
      <c r="D513">
        <v>2011</v>
      </c>
      <c r="E513" t="s">
        <v>10</v>
      </c>
      <c r="F513">
        <v>10</v>
      </c>
      <c r="G513" t="b">
        <v>1</v>
      </c>
      <c r="H513" t="s">
        <v>12</v>
      </c>
      <c r="I513">
        <v>1</v>
      </c>
      <c r="J513">
        <v>0.14000000000000001</v>
      </c>
      <c r="K513">
        <v>0.1061</v>
      </c>
      <c r="L513">
        <v>0.46</v>
      </c>
      <c r="M513">
        <v>0.3881</v>
      </c>
      <c r="N513">
        <v>7</v>
      </c>
      <c r="O513">
        <v>51</v>
      </c>
      <c r="P513">
        <v>58</v>
      </c>
      <c r="S513" t="str">
        <f>IF(Dataset_A[[#This Row],[Hr]]&gt;=19,"Evening Time",IF(Dataset_A[[#This Row],[Hr]]&gt;=9,"Day Time",IF(Dataset_A[[#This Row],[Hr]]&gt;=0,"Night Time","")))</f>
        <v>Day Time</v>
      </c>
    </row>
    <row r="514" spans="1:19" x14ac:dyDescent="0.2">
      <c r="A514">
        <v>513</v>
      </c>
      <c r="B514" s="3">
        <v>40566</v>
      </c>
      <c r="C514">
        <v>1</v>
      </c>
      <c r="D514">
        <v>2011</v>
      </c>
      <c r="E514" t="s">
        <v>10</v>
      </c>
      <c r="F514">
        <v>11</v>
      </c>
      <c r="G514" t="b">
        <v>1</v>
      </c>
      <c r="H514" t="s">
        <v>12</v>
      </c>
      <c r="I514">
        <v>1</v>
      </c>
      <c r="J514">
        <v>0.14000000000000001</v>
      </c>
      <c r="K514">
        <v>0.13639999999999999</v>
      </c>
      <c r="L514">
        <v>0.43</v>
      </c>
      <c r="M514">
        <v>0.22389999999999999</v>
      </c>
      <c r="N514">
        <v>22</v>
      </c>
      <c r="O514">
        <v>77</v>
      </c>
      <c r="P514">
        <v>99</v>
      </c>
      <c r="S514" t="str">
        <f>IF(Dataset_A[[#This Row],[Hr]]&gt;=19,"Evening Time",IF(Dataset_A[[#This Row],[Hr]]&gt;=9,"Day Time",IF(Dataset_A[[#This Row],[Hr]]&gt;=0,"Night Time","")))</f>
        <v>Day Time</v>
      </c>
    </row>
    <row r="515" spans="1:19" x14ac:dyDescent="0.2">
      <c r="A515">
        <v>514</v>
      </c>
      <c r="B515" s="3">
        <v>40566</v>
      </c>
      <c r="C515">
        <v>1</v>
      </c>
      <c r="D515">
        <v>2011</v>
      </c>
      <c r="E515" t="s">
        <v>10</v>
      </c>
      <c r="F515">
        <v>12</v>
      </c>
      <c r="G515" t="b">
        <v>1</v>
      </c>
      <c r="H515" t="s">
        <v>12</v>
      </c>
      <c r="I515">
        <v>1</v>
      </c>
      <c r="J515">
        <v>0.16</v>
      </c>
      <c r="K515">
        <v>0.1212</v>
      </c>
      <c r="L515">
        <v>0.37</v>
      </c>
      <c r="M515">
        <v>0.4627</v>
      </c>
      <c r="N515">
        <v>24</v>
      </c>
      <c r="O515">
        <v>92</v>
      </c>
      <c r="P515">
        <v>116</v>
      </c>
      <c r="S515" t="str">
        <f>IF(Dataset_A[[#This Row],[Hr]]&gt;=19,"Evening Time",IF(Dataset_A[[#This Row],[Hr]]&gt;=9,"Day Time",IF(Dataset_A[[#This Row],[Hr]]&gt;=0,"Night Time","")))</f>
        <v>Day Time</v>
      </c>
    </row>
    <row r="516" spans="1:19" x14ac:dyDescent="0.2">
      <c r="A516">
        <v>515</v>
      </c>
      <c r="B516" s="3">
        <v>40566</v>
      </c>
      <c r="C516">
        <v>1</v>
      </c>
      <c r="D516">
        <v>2011</v>
      </c>
      <c r="E516" t="s">
        <v>10</v>
      </c>
      <c r="F516">
        <v>13</v>
      </c>
      <c r="G516" t="b">
        <v>1</v>
      </c>
      <c r="H516" t="s">
        <v>12</v>
      </c>
      <c r="I516">
        <v>1</v>
      </c>
      <c r="J516">
        <v>0.14000000000000001</v>
      </c>
      <c r="K516">
        <v>0.1061</v>
      </c>
      <c r="L516">
        <v>0.33</v>
      </c>
      <c r="M516">
        <v>0.3881</v>
      </c>
      <c r="N516">
        <v>12</v>
      </c>
      <c r="O516">
        <v>75</v>
      </c>
      <c r="P516">
        <v>87</v>
      </c>
      <c r="S516" t="str">
        <f>IF(Dataset_A[[#This Row],[Hr]]&gt;=19,"Evening Time",IF(Dataset_A[[#This Row],[Hr]]&gt;=9,"Day Time",IF(Dataset_A[[#This Row],[Hr]]&gt;=0,"Night Time","")))</f>
        <v>Day Time</v>
      </c>
    </row>
    <row r="517" spans="1:19" x14ac:dyDescent="0.2">
      <c r="A517">
        <v>516</v>
      </c>
      <c r="B517" s="3">
        <v>40566</v>
      </c>
      <c r="C517">
        <v>1</v>
      </c>
      <c r="D517">
        <v>2011</v>
      </c>
      <c r="E517" t="s">
        <v>10</v>
      </c>
      <c r="F517">
        <v>14</v>
      </c>
      <c r="G517" t="b">
        <v>1</v>
      </c>
      <c r="H517" t="s">
        <v>12</v>
      </c>
      <c r="I517">
        <v>1</v>
      </c>
      <c r="J517">
        <v>0.16</v>
      </c>
      <c r="K517">
        <v>0.13639999999999999</v>
      </c>
      <c r="L517">
        <v>0.28000000000000003</v>
      </c>
      <c r="M517">
        <v>0.35820000000000002</v>
      </c>
      <c r="N517">
        <v>17</v>
      </c>
      <c r="O517">
        <v>93</v>
      </c>
      <c r="P517">
        <v>110</v>
      </c>
      <c r="S517" t="str">
        <f>IF(Dataset_A[[#This Row],[Hr]]&gt;=19,"Evening Time",IF(Dataset_A[[#This Row],[Hr]]&gt;=9,"Day Time",IF(Dataset_A[[#This Row],[Hr]]&gt;=0,"Night Time","")))</f>
        <v>Day Time</v>
      </c>
    </row>
    <row r="518" spans="1:19" x14ac:dyDescent="0.2">
      <c r="A518">
        <v>517</v>
      </c>
      <c r="B518" s="3">
        <v>40566</v>
      </c>
      <c r="C518">
        <v>1</v>
      </c>
      <c r="D518">
        <v>2011</v>
      </c>
      <c r="E518" t="s">
        <v>10</v>
      </c>
      <c r="F518">
        <v>15</v>
      </c>
      <c r="G518" t="b">
        <v>1</v>
      </c>
      <c r="H518" t="s">
        <v>12</v>
      </c>
      <c r="I518">
        <v>1</v>
      </c>
      <c r="J518">
        <v>0.16</v>
      </c>
      <c r="K518">
        <v>0.13639999999999999</v>
      </c>
      <c r="L518">
        <v>0.28000000000000003</v>
      </c>
      <c r="M518">
        <v>0.35820000000000002</v>
      </c>
      <c r="N518">
        <v>13</v>
      </c>
      <c r="O518">
        <v>64</v>
      </c>
      <c r="P518">
        <v>77</v>
      </c>
      <c r="S518" t="str">
        <f>IF(Dataset_A[[#This Row],[Hr]]&gt;=19,"Evening Time",IF(Dataset_A[[#This Row],[Hr]]&gt;=9,"Day Time",IF(Dataset_A[[#This Row],[Hr]]&gt;=0,"Night Time","")))</f>
        <v>Day Time</v>
      </c>
    </row>
    <row r="519" spans="1:19" x14ac:dyDescent="0.2">
      <c r="A519">
        <v>518</v>
      </c>
      <c r="B519" s="3">
        <v>40566</v>
      </c>
      <c r="C519">
        <v>1</v>
      </c>
      <c r="D519">
        <v>2011</v>
      </c>
      <c r="E519" t="s">
        <v>10</v>
      </c>
      <c r="F519">
        <v>16</v>
      </c>
      <c r="G519" t="b">
        <v>1</v>
      </c>
      <c r="H519" t="s">
        <v>12</v>
      </c>
      <c r="I519">
        <v>1</v>
      </c>
      <c r="J519">
        <v>0.16</v>
      </c>
      <c r="K519">
        <v>0.13639999999999999</v>
      </c>
      <c r="L519">
        <v>0.26</v>
      </c>
      <c r="M519">
        <v>0.32840000000000003</v>
      </c>
      <c r="N519">
        <v>9</v>
      </c>
      <c r="O519">
        <v>56</v>
      </c>
      <c r="P519">
        <v>65</v>
      </c>
      <c r="S519" t="str">
        <f>IF(Dataset_A[[#This Row],[Hr]]&gt;=19,"Evening Time",IF(Dataset_A[[#This Row],[Hr]]&gt;=9,"Day Time",IF(Dataset_A[[#This Row],[Hr]]&gt;=0,"Night Time","")))</f>
        <v>Day Time</v>
      </c>
    </row>
    <row r="520" spans="1:19" x14ac:dyDescent="0.2">
      <c r="A520">
        <v>519</v>
      </c>
      <c r="B520" s="3">
        <v>40566</v>
      </c>
      <c r="C520">
        <v>1</v>
      </c>
      <c r="D520">
        <v>2011</v>
      </c>
      <c r="E520" t="s">
        <v>10</v>
      </c>
      <c r="F520">
        <v>17</v>
      </c>
      <c r="G520" t="b">
        <v>1</v>
      </c>
      <c r="H520" t="s">
        <v>12</v>
      </c>
      <c r="I520">
        <v>1</v>
      </c>
      <c r="J520">
        <v>0.14000000000000001</v>
      </c>
      <c r="K520">
        <v>0.1061</v>
      </c>
      <c r="L520">
        <v>0.26</v>
      </c>
      <c r="M520">
        <v>0.3881</v>
      </c>
      <c r="N520">
        <v>5</v>
      </c>
      <c r="O520">
        <v>50</v>
      </c>
      <c r="P520">
        <v>55</v>
      </c>
      <c r="S520" t="str">
        <f>IF(Dataset_A[[#This Row],[Hr]]&gt;=19,"Evening Time",IF(Dataset_A[[#This Row],[Hr]]&gt;=9,"Day Time",IF(Dataset_A[[#This Row],[Hr]]&gt;=0,"Night Time","")))</f>
        <v>Day Time</v>
      </c>
    </row>
    <row r="521" spans="1:19" x14ac:dyDescent="0.2">
      <c r="A521">
        <v>520</v>
      </c>
      <c r="B521" s="3">
        <v>40566</v>
      </c>
      <c r="C521">
        <v>1</v>
      </c>
      <c r="D521">
        <v>2011</v>
      </c>
      <c r="E521" t="s">
        <v>10</v>
      </c>
      <c r="F521">
        <v>18</v>
      </c>
      <c r="G521" t="b">
        <v>1</v>
      </c>
      <c r="H521" t="s">
        <v>12</v>
      </c>
      <c r="I521">
        <v>1</v>
      </c>
      <c r="J521">
        <v>0.12</v>
      </c>
      <c r="K521">
        <v>0.1212</v>
      </c>
      <c r="L521">
        <v>0.3</v>
      </c>
      <c r="M521">
        <v>0.25369999999999998</v>
      </c>
      <c r="N521">
        <v>5</v>
      </c>
      <c r="O521">
        <v>44</v>
      </c>
      <c r="P521">
        <v>49</v>
      </c>
      <c r="S521" t="str">
        <f>IF(Dataset_A[[#This Row],[Hr]]&gt;=19,"Evening Time",IF(Dataset_A[[#This Row],[Hr]]&gt;=9,"Day Time",IF(Dataset_A[[#This Row],[Hr]]&gt;=0,"Night Time","")))</f>
        <v>Day Time</v>
      </c>
    </row>
    <row r="522" spans="1:19" x14ac:dyDescent="0.2">
      <c r="A522">
        <v>521</v>
      </c>
      <c r="B522" s="3">
        <v>40566</v>
      </c>
      <c r="C522">
        <v>1</v>
      </c>
      <c r="D522">
        <v>2011</v>
      </c>
      <c r="E522" t="s">
        <v>10</v>
      </c>
      <c r="F522">
        <v>19</v>
      </c>
      <c r="G522" t="b">
        <v>1</v>
      </c>
      <c r="H522" t="s">
        <v>12</v>
      </c>
      <c r="I522">
        <v>1</v>
      </c>
      <c r="J522">
        <v>0.12</v>
      </c>
      <c r="K522">
        <v>0.1212</v>
      </c>
      <c r="L522">
        <v>0.3</v>
      </c>
      <c r="M522">
        <v>0.28360000000000002</v>
      </c>
      <c r="N522">
        <v>5</v>
      </c>
      <c r="O522">
        <v>45</v>
      </c>
      <c r="P522">
        <v>50</v>
      </c>
      <c r="S522" t="str">
        <f>IF(Dataset_A[[#This Row],[Hr]]&gt;=19,"Evening Time",IF(Dataset_A[[#This Row],[Hr]]&gt;=9,"Day Time",IF(Dataset_A[[#This Row],[Hr]]&gt;=0,"Night Time","")))</f>
        <v>Evening Time</v>
      </c>
    </row>
    <row r="523" spans="1:19" x14ac:dyDescent="0.2">
      <c r="A523">
        <v>522</v>
      </c>
      <c r="B523" s="3">
        <v>40566</v>
      </c>
      <c r="C523">
        <v>1</v>
      </c>
      <c r="D523">
        <v>2011</v>
      </c>
      <c r="E523" t="s">
        <v>10</v>
      </c>
      <c r="F523">
        <v>20</v>
      </c>
      <c r="G523" t="b">
        <v>1</v>
      </c>
      <c r="H523" t="s">
        <v>12</v>
      </c>
      <c r="I523">
        <v>1</v>
      </c>
      <c r="J523">
        <v>0.1</v>
      </c>
      <c r="K523">
        <v>0.1061</v>
      </c>
      <c r="L523">
        <v>0.36</v>
      </c>
      <c r="M523">
        <v>0.25369999999999998</v>
      </c>
      <c r="N523">
        <v>4</v>
      </c>
      <c r="O523">
        <v>31</v>
      </c>
      <c r="P523">
        <v>35</v>
      </c>
      <c r="S523" t="str">
        <f>IF(Dataset_A[[#This Row],[Hr]]&gt;=19,"Evening Time",IF(Dataset_A[[#This Row],[Hr]]&gt;=9,"Day Time",IF(Dataset_A[[#This Row],[Hr]]&gt;=0,"Night Time","")))</f>
        <v>Evening Time</v>
      </c>
    </row>
    <row r="524" spans="1:19" x14ac:dyDescent="0.2">
      <c r="A524">
        <v>523</v>
      </c>
      <c r="B524" s="3">
        <v>40566</v>
      </c>
      <c r="C524">
        <v>1</v>
      </c>
      <c r="D524">
        <v>2011</v>
      </c>
      <c r="E524" t="s">
        <v>10</v>
      </c>
      <c r="F524">
        <v>21</v>
      </c>
      <c r="G524" t="b">
        <v>1</v>
      </c>
      <c r="H524" t="s">
        <v>12</v>
      </c>
      <c r="I524">
        <v>1</v>
      </c>
      <c r="J524">
        <v>0.1</v>
      </c>
      <c r="K524">
        <v>0.1061</v>
      </c>
      <c r="L524">
        <v>0.36</v>
      </c>
      <c r="M524">
        <v>0.19400000000000001</v>
      </c>
      <c r="N524">
        <v>5</v>
      </c>
      <c r="O524">
        <v>20</v>
      </c>
      <c r="P524">
        <v>25</v>
      </c>
      <c r="S524" t="str">
        <f>IF(Dataset_A[[#This Row],[Hr]]&gt;=19,"Evening Time",IF(Dataset_A[[#This Row],[Hr]]&gt;=9,"Day Time",IF(Dataset_A[[#This Row],[Hr]]&gt;=0,"Night Time","")))</f>
        <v>Evening Time</v>
      </c>
    </row>
    <row r="525" spans="1:19" x14ac:dyDescent="0.2">
      <c r="A525">
        <v>524</v>
      </c>
      <c r="B525" s="3">
        <v>40566</v>
      </c>
      <c r="C525">
        <v>1</v>
      </c>
      <c r="D525">
        <v>2011</v>
      </c>
      <c r="E525" t="s">
        <v>10</v>
      </c>
      <c r="F525">
        <v>22</v>
      </c>
      <c r="G525" t="b">
        <v>1</v>
      </c>
      <c r="H525" t="s">
        <v>12</v>
      </c>
      <c r="I525">
        <v>1</v>
      </c>
      <c r="J525">
        <v>0.08</v>
      </c>
      <c r="K525">
        <v>9.0899999999999995E-2</v>
      </c>
      <c r="L525">
        <v>0.38</v>
      </c>
      <c r="M525">
        <v>0.19400000000000001</v>
      </c>
      <c r="N525">
        <v>5</v>
      </c>
      <c r="O525">
        <v>23</v>
      </c>
      <c r="P525">
        <v>28</v>
      </c>
      <c r="S525" t="str">
        <f>IF(Dataset_A[[#This Row],[Hr]]&gt;=19,"Evening Time",IF(Dataset_A[[#This Row],[Hr]]&gt;=9,"Day Time",IF(Dataset_A[[#This Row],[Hr]]&gt;=0,"Night Time","")))</f>
        <v>Evening Time</v>
      </c>
    </row>
    <row r="526" spans="1:19" x14ac:dyDescent="0.2">
      <c r="A526">
        <v>525</v>
      </c>
      <c r="B526" s="3">
        <v>40566</v>
      </c>
      <c r="C526">
        <v>1</v>
      </c>
      <c r="D526">
        <v>2011</v>
      </c>
      <c r="E526" t="s">
        <v>10</v>
      </c>
      <c r="F526">
        <v>23</v>
      </c>
      <c r="G526" t="b">
        <v>1</v>
      </c>
      <c r="H526" t="s">
        <v>12</v>
      </c>
      <c r="I526">
        <v>1</v>
      </c>
      <c r="J526">
        <v>0.06</v>
      </c>
      <c r="K526">
        <v>6.0600000000000001E-2</v>
      </c>
      <c r="L526">
        <v>0.41</v>
      </c>
      <c r="M526">
        <v>0.22389999999999999</v>
      </c>
      <c r="N526">
        <v>4</v>
      </c>
      <c r="O526">
        <v>17</v>
      </c>
      <c r="P526">
        <v>21</v>
      </c>
      <c r="S526" t="str">
        <f>IF(Dataset_A[[#This Row],[Hr]]&gt;=19,"Evening Time",IF(Dataset_A[[#This Row],[Hr]]&gt;=9,"Day Time",IF(Dataset_A[[#This Row],[Hr]]&gt;=0,"Night Time","")))</f>
        <v>Evening Time</v>
      </c>
    </row>
    <row r="527" spans="1:19" x14ac:dyDescent="0.2">
      <c r="A527">
        <v>526</v>
      </c>
      <c r="B527" s="3">
        <v>40567</v>
      </c>
      <c r="C527">
        <v>1</v>
      </c>
      <c r="D527">
        <v>2011</v>
      </c>
      <c r="E527" t="s">
        <v>10</v>
      </c>
      <c r="F527">
        <v>0</v>
      </c>
      <c r="G527" t="b">
        <v>0</v>
      </c>
      <c r="H527" t="s">
        <v>13</v>
      </c>
      <c r="I527">
        <v>1</v>
      </c>
      <c r="J527">
        <v>0.06</v>
      </c>
      <c r="K527">
        <v>6.0600000000000001E-2</v>
      </c>
      <c r="L527">
        <v>0.41</v>
      </c>
      <c r="M527">
        <v>0.19400000000000001</v>
      </c>
      <c r="N527">
        <v>0</v>
      </c>
      <c r="O527">
        <v>7</v>
      </c>
      <c r="P527">
        <v>7</v>
      </c>
      <c r="S527" t="str">
        <f>IF(Dataset_A[[#This Row],[Hr]]&gt;=19,"Evening Time",IF(Dataset_A[[#This Row],[Hr]]&gt;=9,"Day Time",IF(Dataset_A[[#This Row],[Hr]]&gt;=0,"Night Time","")))</f>
        <v>Night Time</v>
      </c>
    </row>
    <row r="528" spans="1:19" x14ac:dyDescent="0.2">
      <c r="A528">
        <v>527</v>
      </c>
      <c r="B528" s="3">
        <v>40567</v>
      </c>
      <c r="C528">
        <v>1</v>
      </c>
      <c r="D528">
        <v>2011</v>
      </c>
      <c r="E528" t="s">
        <v>10</v>
      </c>
      <c r="F528">
        <v>1</v>
      </c>
      <c r="G528" t="b">
        <v>0</v>
      </c>
      <c r="H528" t="s">
        <v>13</v>
      </c>
      <c r="I528">
        <v>1</v>
      </c>
      <c r="J528">
        <v>0.04</v>
      </c>
      <c r="K528">
        <v>4.5499999999999999E-2</v>
      </c>
      <c r="L528">
        <v>0.45</v>
      </c>
      <c r="M528">
        <v>0.19400000000000001</v>
      </c>
      <c r="N528">
        <v>0</v>
      </c>
      <c r="O528">
        <v>1</v>
      </c>
      <c r="P528">
        <v>1</v>
      </c>
      <c r="S528" t="str">
        <f>IF(Dataset_A[[#This Row],[Hr]]&gt;=19,"Evening Time",IF(Dataset_A[[#This Row],[Hr]]&gt;=9,"Day Time",IF(Dataset_A[[#This Row],[Hr]]&gt;=0,"Night Time","")))</f>
        <v>Night Time</v>
      </c>
    </row>
    <row r="529" spans="1:19" x14ac:dyDescent="0.2">
      <c r="A529">
        <v>528</v>
      </c>
      <c r="B529" s="3">
        <v>40567</v>
      </c>
      <c r="C529">
        <v>1</v>
      </c>
      <c r="D529">
        <v>2011</v>
      </c>
      <c r="E529" t="s">
        <v>10</v>
      </c>
      <c r="F529">
        <v>3</v>
      </c>
      <c r="G529" t="b">
        <v>0</v>
      </c>
      <c r="H529" t="s">
        <v>13</v>
      </c>
      <c r="I529">
        <v>1</v>
      </c>
      <c r="J529">
        <v>0.04</v>
      </c>
      <c r="K529">
        <v>3.0300000000000001E-2</v>
      </c>
      <c r="L529">
        <v>0.45</v>
      </c>
      <c r="M529">
        <v>0.25369999999999998</v>
      </c>
      <c r="N529">
        <v>0</v>
      </c>
      <c r="O529">
        <v>1</v>
      </c>
      <c r="P529">
        <v>1</v>
      </c>
      <c r="S529" t="str">
        <f>IF(Dataset_A[[#This Row],[Hr]]&gt;=19,"Evening Time",IF(Dataset_A[[#This Row],[Hr]]&gt;=9,"Day Time",IF(Dataset_A[[#This Row],[Hr]]&gt;=0,"Night Time","")))</f>
        <v>Night Time</v>
      </c>
    </row>
    <row r="530" spans="1:19" x14ac:dyDescent="0.2">
      <c r="A530">
        <v>529</v>
      </c>
      <c r="B530" s="3">
        <v>40567</v>
      </c>
      <c r="C530">
        <v>1</v>
      </c>
      <c r="D530">
        <v>2011</v>
      </c>
      <c r="E530" t="s">
        <v>10</v>
      </c>
      <c r="F530">
        <v>4</v>
      </c>
      <c r="G530" t="b">
        <v>0</v>
      </c>
      <c r="H530" t="s">
        <v>13</v>
      </c>
      <c r="I530">
        <v>1</v>
      </c>
      <c r="J530">
        <v>0.02</v>
      </c>
      <c r="K530">
        <v>6.0600000000000001E-2</v>
      </c>
      <c r="L530">
        <v>0.48</v>
      </c>
      <c r="M530">
        <v>0.1343</v>
      </c>
      <c r="N530">
        <v>0</v>
      </c>
      <c r="O530">
        <v>1</v>
      </c>
      <c r="P530">
        <v>1</v>
      </c>
      <c r="S530" t="str">
        <f>IF(Dataset_A[[#This Row],[Hr]]&gt;=19,"Evening Time",IF(Dataset_A[[#This Row],[Hr]]&gt;=9,"Day Time",IF(Dataset_A[[#This Row],[Hr]]&gt;=0,"Night Time","")))</f>
        <v>Night Time</v>
      </c>
    </row>
    <row r="531" spans="1:19" x14ac:dyDescent="0.2">
      <c r="A531">
        <v>530</v>
      </c>
      <c r="B531" s="3">
        <v>40567</v>
      </c>
      <c r="C531">
        <v>1</v>
      </c>
      <c r="D531">
        <v>2011</v>
      </c>
      <c r="E531" t="s">
        <v>10</v>
      </c>
      <c r="F531">
        <v>5</v>
      </c>
      <c r="G531" t="b">
        <v>0</v>
      </c>
      <c r="H531" t="s">
        <v>13</v>
      </c>
      <c r="I531">
        <v>1</v>
      </c>
      <c r="J531">
        <v>0.02</v>
      </c>
      <c r="K531">
        <v>6.0600000000000001E-2</v>
      </c>
      <c r="L531">
        <v>0.48</v>
      </c>
      <c r="M531">
        <v>0.1343</v>
      </c>
      <c r="N531">
        <v>0</v>
      </c>
      <c r="O531">
        <v>5</v>
      </c>
      <c r="P531">
        <v>5</v>
      </c>
      <c r="S531" t="str">
        <f>IF(Dataset_A[[#This Row],[Hr]]&gt;=19,"Evening Time",IF(Dataset_A[[#This Row],[Hr]]&gt;=9,"Day Time",IF(Dataset_A[[#This Row],[Hr]]&gt;=0,"Night Time","")))</f>
        <v>Night Time</v>
      </c>
    </row>
    <row r="532" spans="1:19" x14ac:dyDescent="0.2">
      <c r="A532">
        <v>531</v>
      </c>
      <c r="B532" s="3">
        <v>40567</v>
      </c>
      <c r="C532">
        <v>1</v>
      </c>
      <c r="D532">
        <v>2011</v>
      </c>
      <c r="E532" t="s">
        <v>10</v>
      </c>
      <c r="F532">
        <v>6</v>
      </c>
      <c r="G532" t="b">
        <v>0</v>
      </c>
      <c r="H532" t="s">
        <v>13</v>
      </c>
      <c r="I532">
        <v>1</v>
      </c>
      <c r="J532">
        <v>0.02</v>
      </c>
      <c r="K532">
        <v>7.5800000000000006E-2</v>
      </c>
      <c r="L532">
        <v>0.48</v>
      </c>
      <c r="M532">
        <v>8.9599999999999999E-2</v>
      </c>
      <c r="N532">
        <v>0</v>
      </c>
      <c r="O532">
        <v>15</v>
      </c>
      <c r="P532">
        <v>15</v>
      </c>
      <c r="S532" t="str">
        <f>IF(Dataset_A[[#This Row],[Hr]]&gt;=19,"Evening Time",IF(Dataset_A[[#This Row],[Hr]]&gt;=9,"Day Time",IF(Dataset_A[[#This Row],[Hr]]&gt;=0,"Night Time","")))</f>
        <v>Night Time</v>
      </c>
    </row>
    <row r="533" spans="1:19" x14ac:dyDescent="0.2">
      <c r="A533">
        <v>532</v>
      </c>
      <c r="B533" s="3">
        <v>40567</v>
      </c>
      <c r="C533">
        <v>1</v>
      </c>
      <c r="D533">
        <v>2011</v>
      </c>
      <c r="E533" t="s">
        <v>10</v>
      </c>
      <c r="F533">
        <v>7</v>
      </c>
      <c r="G533" t="b">
        <v>0</v>
      </c>
      <c r="H533" t="s">
        <v>13</v>
      </c>
      <c r="I533">
        <v>1</v>
      </c>
      <c r="J533">
        <v>0.02</v>
      </c>
      <c r="K533">
        <v>0.1212</v>
      </c>
      <c r="L533">
        <v>0.48</v>
      </c>
      <c r="M533">
        <v>0</v>
      </c>
      <c r="N533">
        <v>5</v>
      </c>
      <c r="O533">
        <v>79</v>
      </c>
      <c r="P533">
        <v>84</v>
      </c>
      <c r="S533" t="str">
        <f>IF(Dataset_A[[#This Row],[Hr]]&gt;=19,"Evening Time",IF(Dataset_A[[#This Row],[Hr]]&gt;=9,"Day Time",IF(Dataset_A[[#This Row],[Hr]]&gt;=0,"Night Time","")))</f>
        <v>Night Time</v>
      </c>
    </row>
    <row r="534" spans="1:19" x14ac:dyDescent="0.2">
      <c r="A534">
        <v>533</v>
      </c>
      <c r="B534" s="3">
        <v>40567</v>
      </c>
      <c r="C534">
        <v>1</v>
      </c>
      <c r="D534">
        <v>2011</v>
      </c>
      <c r="E534" t="s">
        <v>10</v>
      </c>
      <c r="F534">
        <v>8</v>
      </c>
      <c r="G534" t="b">
        <v>0</v>
      </c>
      <c r="H534" t="s">
        <v>13</v>
      </c>
      <c r="I534">
        <v>1</v>
      </c>
      <c r="J534">
        <v>0.04</v>
      </c>
      <c r="K534">
        <v>0.13639999999999999</v>
      </c>
      <c r="L534">
        <v>0.49</v>
      </c>
      <c r="M534">
        <v>0</v>
      </c>
      <c r="N534">
        <v>6</v>
      </c>
      <c r="O534">
        <v>171</v>
      </c>
      <c r="P534">
        <v>177</v>
      </c>
      <c r="S534" t="str">
        <f>IF(Dataset_A[[#This Row],[Hr]]&gt;=19,"Evening Time",IF(Dataset_A[[#This Row],[Hr]]&gt;=9,"Day Time",IF(Dataset_A[[#This Row],[Hr]]&gt;=0,"Night Time","")))</f>
        <v>Night Time</v>
      </c>
    </row>
    <row r="535" spans="1:19" x14ac:dyDescent="0.2">
      <c r="A535">
        <v>534</v>
      </c>
      <c r="B535" s="3">
        <v>40567</v>
      </c>
      <c r="C535">
        <v>1</v>
      </c>
      <c r="D535">
        <v>2011</v>
      </c>
      <c r="E535" t="s">
        <v>10</v>
      </c>
      <c r="F535">
        <v>9</v>
      </c>
      <c r="G535" t="b">
        <v>0</v>
      </c>
      <c r="H535" t="s">
        <v>13</v>
      </c>
      <c r="I535">
        <v>1</v>
      </c>
      <c r="J535">
        <v>0.06</v>
      </c>
      <c r="K535">
        <v>0.1515</v>
      </c>
      <c r="L535">
        <v>0.41</v>
      </c>
      <c r="M535">
        <v>0</v>
      </c>
      <c r="N535">
        <v>4</v>
      </c>
      <c r="O535">
        <v>98</v>
      </c>
      <c r="P535">
        <v>102</v>
      </c>
      <c r="S535" t="str">
        <f>IF(Dataset_A[[#This Row],[Hr]]&gt;=19,"Evening Time",IF(Dataset_A[[#This Row],[Hr]]&gt;=9,"Day Time",IF(Dataset_A[[#This Row],[Hr]]&gt;=0,"Night Time","")))</f>
        <v>Day Time</v>
      </c>
    </row>
    <row r="536" spans="1:19" x14ac:dyDescent="0.2">
      <c r="A536">
        <v>535</v>
      </c>
      <c r="B536" s="3">
        <v>40567</v>
      </c>
      <c r="C536">
        <v>1</v>
      </c>
      <c r="D536">
        <v>2011</v>
      </c>
      <c r="E536" t="s">
        <v>10</v>
      </c>
      <c r="F536">
        <v>10</v>
      </c>
      <c r="G536" t="b">
        <v>0</v>
      </c>
      <c r="H536" t="s">
        <v>13</v>
      </c>
      <c r="I536">
        <v>1</v>
      </c>
      <c r="J536">
        <v>0.1</v>
      </c>
      <c r="K536">
        <v>0.13639999999999999</v>
      </c>
      <c r="L536">
        <v>0.42</v>
      </c>
      <c r="M536">
        <v>0</v>
      </c>
      <c r="N536">
        <v>6</v>
      </c>
      <c r="O536">
        <v>34</v>
      </c>
      <c r="P536">
        <v>40</v>
      </c>
      <c r="S536" t="str">
        <f>IF(Dataset_A[[#This Row],[Hr]]&gt;=19,"Evening Time",IF(Dataset_A[[#This Row],[Hr]]&gt;=9,"Day Time",IF(Dataset_A[[#This Row],[Hr]]&gt;=0,"Night Time","")))</f>
        <v>Day Time</v>
      </c>
    </row>
    <row r="537" spans="1:19" x14ac:dyDescent="0.2">
      <c r="A537">
        <v>536</v>
      </c>
      <c r="B537" s="3">
        <v>40567</v>
      </c>
      <c r="C537">
        <v>1</v>
      </c>
      <c r="D537">
        <v>2011</v>
      </c>
      <c r="E537" t="s">
        <v>10</v>
      </c>
      <c r="F537">
        <v>11</v>
      </c>
      <c r="G537" t="b">
        <v>0</v>
      </c>
      <c r="H537" t="s">
        <v>13</v>
      </c>
      <c r="I537">
        <v>1</v>
      </c>
      <c r="J537">
        <v>0.1</v>
      </c>
      <c r="K537">
        <v>0.1212</v>
      </c>
      <c r="L537">
        <v>0.46</v>
      </c>
      <c r="M537">
        <v>0.1343</v>
      </c>
      <c r="N537">
        <v>3</v>
      </c>
      <c r="O537">
        <v>43</v>
      </c>
      <c r="P537">
        <v>46</v>
      </c>
      <c r="S537" t="str">
        <f>IF(Dataset_A[[#This Row],[Hr]]&gt;=19,"Evening Time",IF(Dataset_A[[#This Row],[Hr]]&gt;=9,"Day Time",IF(Dataset_A[[#This Row],[Hr]]&gt;=0,"Night Time","")))</f>
        <v>Day Time</v>
      </c>
    </row>
    <row r="538" spans="1:19" x14ac:dyDescent="0.2">
      <c r="A538">
        <v>537</v>
      </c>
      <c r="B538" s="3">
        <v>40567</v>
      </c>
      <c r="C538">
        <v>1</v>
      </c>
      <c r="D538">
        <v>2011</v>
      </c>
      <c r="E538" t="s">
        <v>10</v>
      </c>
      <c r="F538">
        <v>12</v>
      </c>
      <c r="G538" t="b">
        <v>0</v>
      </c>
      <c r="H538" t="s">
        <v>13</v>
      </c>
      <c r="I538">
        <v>2</v>
      </c>
      <c r="J538">
        <v>0.12</v>
      </c>
      <c r="K538">
        <v>0.13639999999999999</v>
      </c>
      <c r="L538">
        <v>0.42</v>
      </c>
      <c r="M538">
        <v>0.19400000000000001</v>
      </c>
      <c r="N538">
        <v>11</v>
      </c>
      <c r="O538">
        <v>52</v>
      </c>
      <c r="P538">
        <v>63</v>
      </c>
      <c r="S538" t="str">
        <f>IF(Dataset_A[[#This Row],[Hr]]&gt;=19,"Evening Time",IF(Dataset_A[[#This Row],[Hr]]&gt;=9,"Day Time",IF(Dataset_A[[#This Row],[Hr]]&gt;=0,"Night Time","")))</f>
        <v>Day Time</v>
      </c>
    </row>
    <row r="539" spans="1:19" x14ac:dyDescent="0.2">
      <c r="A539">
        <v>538</v>
      </c>
      <c r="B539" s="3">
        <v>40567</v>
      </c>
      <c r="C539">
        <v>1</v>
      </c>
      <c r="D539">
        <v>2011</v>
      </c>
      <c r="E539" t="s">
        <v>10</v>
      </c>
      <c r="F539">
        <v>13</v>
      </c>
      <c r="G539" t="b">
        <v>0</v>
      </c>
      <c r="H539" t="s">
        <v>13</v>
      </c>
      <c r="I539">
        <v>2</v>
      </c>
      <c r="J539">
        <v>0.14000000000000001</v>
      </c>
      <c r="K539">
        <v>0.13639999999999999</v>
      </c>
      <c r="L539">
        <v>0.43</v>
      </c>
      <c r="M539">
        <v>0.22389999999999999</v>
      </c>
      <c r="N539">
        <v>6</v>
      </c>
      <c r="O539">
        <v>54</v>
      </c>
      <c r="P539">
        <v>60</v>
      </c>
      <c r="S539" t="str">
        <f>IF(Dataset_A[[#This Row],[Hr]]&gt;=19,"Evening Time",IF(Dataset_A[[#This Row],[Hr]]&gt;=9,"Day Time",IF(Dataset_A[[#This Row],[Hr]]&gt;=0,"Night Time","")))</f>
        <v>Day Time</v>
      </c>
    </row>
    <row r="540" spans="1:19" x14ac:dyDescent="0.2">
      <c r="A540">
        <v>539</v>
      </c>
      <c r="B540" s="3">
        <v>40567</v>
      </c>
      <c r="C540">
        <v>1</v>
      </c>
      <c r="D540">
        <v>2011</v>
      </c>
      <c r="E540" t="s">
        <v>10</v>
      </c>
      <c r="F540">
        <v>14</v>
      </c>
      <c r="G540" t="b">
        <v>0</v>
      </c>
      <c r="H540" t="s">
        <v>13</v>
      </c>
      <c r="I540">
        <v>2</v>
      </c>
      <c r="J540">
        <v>0.14000000000000001</v>
      </c>
      <c r="K540">
        <v>0.13639999999999999</v>
      </c>
      <c r="L540">
        <v>0.46</v>
      </c>
      <c r="M540">
        <v>0.22389999999999999</v>
      </c>
      <c r="N540">
        <v>2</v>
      </c>
      <c r="O540">
        <v>43</v>
      </c>
      <c r="P540">
        <v>45</v>
      </c>
      <c r="S540" t="str">
        <f>IF(Dataset_A[[#This Row],[Hr]]&gt;=19,"Evening Time",IF(Dataset_A[[#This Row],[Hr]]&gt;=9,"Day Time",IF(Dataset_A[[#This Row],[Hr]]&gt;=0,"Night Time","")))</f>
        <v>Day Time</v>
      </c>
    </row>
    <row r="541" spans="1:19" x14ac:dyDescent="0.2">
      <c r="A541">
        <v>540</v>
      </c>
      <c r="B541" s="3">
        <v>40567</v>
      </c>
      <c r="C541">
        <v>1</v>
      </c>
      <c r="D541">
        <v>2011</v>
      </c>
      <c r="E541" t="s">
        <v>10</v>
      </c>
      <c r="F541">
        <v>15</v>
      </c>
      <c r="G541" t="b">
        <v>0</v>
      </c>
      <c r="H541" t="s">
        <v>13</v>
      </c>
      <c r="I541">
        <v>1</v>
      </c>
      <c r="J541">
        <v>0.16</v>
      </c>
      <c r="K541">
        <v>0.16669999999999999</v>
      </c>
      <c r="L541">
        <v>0.4</v>
      </c>
      <c r="M541">
        <v>0.16420000000000001</v>
      </c>
      <c r="N541">
        <v>7</v>
      </c>
      <c r="O541">
        <v>50</v>
      </c>
      <c r="P541">
        <v>57</v>
      </c>
      <c r="S541" t="str">
        <f>IF(Dataset_A[[#This Row],[Hr]]&gt;=19,"Evening Time",IF(Dataset_A[[#This Row],[Hr]]&gt;=9,"Day Time",IF(Dataset_A[[#This Row],[Hr]]&gt;=0,"Night Time","")))</f>
        <v>Day Time</v>
      </c>
    </row>
    <row r="542" spans="1:19" x14ac:dyDescent="0.2">
      <c r="A542">
        <v>541</v>
      </c>
      <c r="B542" s="3">
        <v>40567</v>
      </c>
      <c r="C542">
        <v>1</v>
      </c>
      <c r="D542">
        <v>2011</v>
      </c>
      <c r="E542" t="s">
        <v>10</v>
      </c>
      <c r="F542">
        <v>16</v>
      </c>
      <c r="G542" t="b">
        <v>0</v>
      </c>
      <c r="H542" t="s">
        <v>13</v>
      </c>
      <c r="I542">
        <v>1</v>
      </c>
      <c r="J542">
        <v>0.16</v>
      </c>
      <c r="K542">
        <v>0.1515</v>
      </c>
      <c r="L542">
        <v>0.47</v>
      </c>
      <c r="M542">
        <v>0.25369999999999998</v>
      </c>
      <c r="N542">
        <v>4</v>
      </c>
      <c r="O542">
        <v>66</v>
      </c>
      <c r="P542">
        <v>70</v>
      </c>
      <c r="S542" t="str">
        <f>IF(Dataset_A[[#This Row],[Hr]]&gt;=19,"Evening Time",IF(Dataset_A[[#This Row],[Hr]]&gt;=9,"Day Time",IF(Dataset_A[[#This Row],[Hr]]&gt;=0,"Night Time","")))</f>
        <v>Day Time</v>
      </c>
    </row>
    <row r="543" spans="1:19" x14ac:dyDescent="0.2">
      <c r="A543">
        <v>542</v>
      </c>
      <c r="B543" s="3">
        <v>40567</v>
      </c>
      <c r="C543">
        <v>1</v>
      </c>
      <c r="D543">
        <v>2011</v>
      </c>
      <c r="E543" t="s">
        <v>10</v>
      </c>
      <c r="F543">
        <v>17</v>
      </c>
      <c r="G543" t="b">
        <v>0</v>
      </c>
      <c r="H543" t="s">
        <v>13</v>
      </c>
      <c r="I543">
        <v>1</v>
      </c>
      <c r="J543">
        <v>0.14000000000000001</v>
      </c>
      <c r="K543">
        <v>0.1212</v>
      </c>
      <c r="L543">
        <v>0.5</v>
      </c>
      <c r="M543">
        <v>0.25369999999999998</v>
      </c>
      <c r="N543">
        <v>6</v>
      </c>
      <c r="O543">
        <v>178</v>
      </c>
      <c r="P543">
        <v>184</v>
      </c>
      <c r="S543" t="str">
        <f>IF(Dataset_A[[#This Row],[Hr]]&gt;=19,"Evening Time",IF(Dataset_A[[#This Row],[Hr]]&gt;=9,"Day Time",IF(Dataset_A[[#This Row],[Hr]]&gt;=0,"Night Time","")))</f>
        <v>Day Time</v>
      </c>
    </row>
    <row r="544" spans="1:19" x14ac:dyDescent="0.2">
      <c r="A544">
        <v>543</v>
      </c>
      <c r="B544" s="3">
        <v>40567</v>
      </c>
      <c r="C544">
        <v>1</v>
      </c>
      <c r="D544">
        <v>2011</v>
      </c>
      <c r="E544" t="s">
        <v>10</v>
      </c>
      <c r="F544">
        <v>18</v>
      </c>
      <c r="G544" t="b">
        <v>0</v>
      </c>
      <c r="H544" t="s">
        <v>13</v>
      </c>
      <c r="I544">
        <v>1</v>
      </c>
      <c r="J544">
        <v>0.14000000000000001</v>
      </c>
      <c r="K544">
        <v>0.13639999999999999</v>
      </c>
      <c r="L544">
        <v>0.59</v>
      </c>
      <c r="M544">
        <v>0.19400000000000001</v>
      </c>
      <c r="N544">
        <v>8</v>
      </c>
      <c r="O544">
        <v>145</v>
      </c>
      <c r="P544">
        <v>153</v>
      </c>
      <c r="S544" t="str">
        <f>IF(Dataset_A[[#This Row],[Hr]]&gt;=19,"Evening Time",IF(Dataset_A[[#This Row],[Hr]]&gt;=9,"Day Time",IF(Dataset_A[[#This Row],[Hr]]&gt;=0,"Night Time","")))</f>
        <v>Day Time</v>
      </c>
    </row>
    <row r="545" spans="1:19" x14ac:dyDescent="0.2">
      <c r="A545">
        <v>544</v>
      </c>
      <c r="B545" s="3">
        <v>40567</v>
      </c>
      <c r="C545">
        <v>1</v>
      </c>
      <c r="D545">
        <v>2011</v>
      </c>
      <c r="E545" t="s">
        <v>10</v>
      </c>
      <c r="F545">
        <v>19</v>
      </c>
      <c r="G545" t="b">
        <v>0</v>
      </c>
      <c r="H545" t="s">
        <v>13</v>
      </c>
      <c r="I545">
        <v>1</v>
      </c>
      <c r="J545">
        <v>0.14000000000000001</v>
      </c>
      <c r="K545">
        <v>0.1515</v>
      </c>
      <c r="L545">
        <v>0.54</v>
      </c>
      <c r="M545">
        <v>0.16420000000000001</v>
      </c>
      <c r="N545">
        <v>5</v>
      </c>
      <c r="O545">
        <v>101</v>
      </c>
      <c r="P545">
        <v>106</v>
      </c>
      <c r="S545" t="str">
        <f>IF(Dataset_A[[#This Row],[Hr]]&gt;=19,"Evening Time",IF(Dataset_A[[#This Row],[Hr]]&gt;=9,"Day Time",IF(Dataset_A[[#This Row],[Hr]]&gt;=0,"Night Time","")))</f>
        <v>Evening Time</v>
      </c>
    </row>
    <row r="546" spans="1:19" x14ac:dyDescent="0.2">
      <c r="A546">
        <v>545</v>
      </c>
      <c r="B546" s="3">
        <v>40567</v>
      </c>
      <c r="C546">
        <v>1</v>
      </c>
      <c r="D546">
        <v>2011</v>
      </c>
      <c r="E546" t="s">
        <v>10</v>
      </c>
      <c r="F546">
        <v>20</v>
      </c>
      <c r="G546" t="b">
        <v>0</v>
      </c>
      <c r="H546" t="s">
        <v>13</v>
      </c>
      <c r="I546">
        <v>1</v>
      </c>
      <c r="J546">
        <v>0.14000000000000001</v>
      </c>
      <c r="K546">
        <v>0.13639999999999999</v>
      </c>
      <c r="L546">
        <v>0.59</v>
      </c>
      <c r="M546">
        <v>0.19400000000000001</v>
      </c>
      <c r="N546">
        <v>1</v>
      </c>
      <c r="O546">
        <v>80</v>
      </c>
      <c r="P546">
        <v>81</v>
      </c>
      <c r="S546" t="str">
        <f>IF(Dataset_A[[#This Row],[Hr]]&gt;=19,"Evening Time",IF(Dataset_A[[#This Row],[Hr]]&gt;=9,"Day Time",IF(Dataset_A[[#This Row],[Hr]]&gt;=0,"Night Time","")))</f>
        <v>Evening Time</v>
      </c>
    </row>
    <row r="547" spans="1:19" x14ac:dyDescent="0.2">
      <c r="A547">
        <v>546</v>
      </c>
      <c r="B547" s="3">
        <v>40567</v>
      </c>
      <c r="C547">
        <v>1</v>
      </c>
      <c r="D547">
        <v>2011</v>
      </c>
      <c r="E547" t="s">
        <v>10</v>
      </c>
      <c r="F547">
        <v>21</v>
      </c>
      <c r="G547" t="b">
        <v>0</v>
      </c>
      <c r="H547" t="s">
        <v>13</v>
      </c>
      <c r="I547">
        <v>1</v>
      </c>
      <c r="J547">
        <v>0.14000000000000001</v>
      </c>
      <c r="K547">
        <v>0.1515</v>
      </c>
      <c r="L547">
        <v>0.63</v>
      </c>
      <c r="M547">
        <v>0.16420000000000001</v>
      </c>
      <c r="N547">
        <v>6</v>
      </c>
      <c r="O547">
        <v>53</v>
      </c>
      <c r="P547">
        <v>59</v>
      </c>
      <c r="S547" t="str">
        <f>IF(Dataset_A[[#This Row],[Hr]]&gt;=19,"Evening Time",IF(Dataset_A[[#This Row],[Hr]]&gt;=9,"Day Time",IF(Dataset_A[[#This Row],[Hr]]&gt;=0,"Night Time","")))</f>
        <v>Evening Time</v>
      </c>
    </row>
    <row r="548" spans="1:19" x14ac:dyDescent="0.2">
      <c r="A548">
        <v>547</v>
      </c>
      <c r="B548" s="3">
        <v>40567</v>
      </c>
      <c r="C548">
        <v>1</v>
      </c>
      <c r="D548">
        <v>2011</v>
      </c>
      <c r="E548" t="s">
        <v>10</v>
      </c>
      <c r="F548">
        <v>22</v>
      </c>
      <c r="G548" t="b">
        <v>0</v>
      </c>
      <c r="H548" t="s">
        <v>13</v>
      </c>
      <c r="I548">
        <v>2</v>
      </c>
      <c r="J548">
        <v>0.14000000000000001</v>
      </c>
      <c r="K548">
        <v>0.13639999999999999</v>
      </c>
      <c r="L548">
        <v>0.63</v>
      </c>
      <c r="M548">
        <v>0.22389999999999999</v>
      </c>
      <c r="N548">
        <v>3</v>
      </c>
      <c r="O548">
        <v>32</v>
      </c>
      <c r="P548">
        <v>35</v>
      </c>
      <c r="S548" t="str">
        <f>IF(Dataset_A[[#This Row],[Hr]]&gt;=19,"Evening Time",IF(Dataset_A[[#This Row],[Hr]]&gt;=9,"Day Time",IF(Dataset_A[[#This Row],[Hr]]&gt;=0,"Night Time","")))</f>
        <v>Evening Time</v>
      </c>
    </row>
    <row r="549" spans="1:19" x14ac:dyDescent="0.2">
      <c r="A549">
        <v>548</v>
      </c>
      <c r="B549" s="3">
        <v>40567</v>
      </c>
      <c r="C549">
        <v>1</v>
      </c>
      <c r="D549">
        <v>2011</v>
      </c>
      <c r="E549" t="s">
        <v>10</v>
      </c>
      <c r="F549">
        <v>23</v>
      </c>
      <c r="G549" t="b">
        <v>0</v>
      </c>
      <c r="H549" t="s">
        <v>13</v>
      </c>
      <c r="I549">
        <v>2</v>
      </c>
      <c r="J549">
        <v>0.16</v>
      </c>
      <c r="K549">
        <v>0.1515</v>
      </c>
      <c r="L549">
        <v>0.64</v>
      </c>
      <c r="M549">
        <v>0.25369999999999998</v>
      </c>
      <c r="N549">
        <v>3</v>
      </c>
      <c r="O549">
        <v>21</v>
      </c>
      <c r="P549">
        <v>24</v>
      </c>
      <c r="S549" t="str">
        <f>IF(Dataset_A[[#This Row],[Hr]]&gt;=19,"Evening Time",IF(Dataset_A[[#This Row],[Hr]]&gt;=9,"Day Time",IF(Dataset_A[[#This Row],[Hr]]&gt;=0,"Night Time","")))</f>
        <v>Evening Time</v>
      </c>
    </row>
    <row r="550" spans="1:19" x14ac:dyDescent="0.2">
      <c r="A550">
        <v>549</v>
      </c>
      <c r="B550" s="3">
        <v>40568</v>
      </c>
      <c r="C550">
        <v>1</v>
      </c>
      <c r="D550">
        <v>2011</v>
      </c>
      <c r="E550" t="s">
        <v>10</v>
      </c>
      <c r="F550">
        <v>0</v>
      </c>
      <c r="G550" t="b">
        <v>0</v>
      </c>
      <c r="H550" t="s">
        <v>14</v>
      </c>
      <c r="I550">
        <v>2</v>
      </c>
      <c r="J550">
        <v>0.16</v>
      </c>
      <c r="K550">
        <v>0.13639999999999999</v>
      </c>
      <c r="L550">
        <v>0.69</v>
      </c>
      <c r="M550">
        <v>0.28360000000000002</v>
      </c>
      <c r="N550">
        <v>3</v>
      </c>
      <c r="O550">
        <v>6</v>
      </c>
      <c r="P550">
        <v>9</v>
      </c>
      <c r="S550" t="str">
        <f>IF(Dataset_A[[#This Row],[Hr]]&gt;=19,"Evening Time",IF(Dataset_A[[#This Row],[Hr]]&gt;=9,"Day Time",IF(Dataset_A[[#This Row],[Hr]]&gt;=0,"Night Time","")))</f>
        <v>Night Time</v>
      </c>
    </row>
    <row r="551" spans="1:19" x14ac:dyDescent="0.2">
      <c r="A551">
        <v>550</v>
      </c>
      <c r="B551" s="3">
        <v>40568</v>
      </c>
      <c r="C551">
        <v>1</v>
      </c>
      <c r="D551">
        <v>2011</v>
      </c>
      <c r="E551" t="s">
        <v>10</v>
      </c>
      <c r="F551">
        <v>1</v>
      </c>
      <c r="G551" t="b">
        <v>0</v>
      </c>
      <c r="H551" t="s">
        <v>14</v>
      </c>
      <c r="I551">
        <v>2</v>
      </c>
      <c r="J551">
        <v>0.16</v>
      </c>
      <c r="K551">
        <v>0.16669999999999999</v>
      </c>
      <c r="L551">
        <v>0.69</v>
      </c>
      <c r="M551">
        <v>0.16420000000000001</v>
      </c>
      <c r="N551">
        <v>0</v>
      </c>
      <c r="O551">
        <v>5</v>
      </c>
      <c r="P551">
        <v>5</v>
      </c>
      <c r="S551" t="str">
        <f>IF(Dataset_A[[#This Row],[Hr]]&gt;=19,"Evening Time",IF(Dataset_A[[#This Row],[Hr]]&gt;=9,"Day Time",IF(Dataset_A[[#This Row],[Hr]]&gt;=0,"Night Time","")))</f>
        <v>Night Time</v>
      </c>
    </row>
    <row r="552" spans="1:19" x14ac:dyDescent="0.2">
      <c r="A552">
        <v>551</v>
      </c>
      <c r="B552" s="3">
        <v>40568</v>
      </c>
      <c r="C552">
        <v>1</v>
      </c>
      <c r="D552">
        <v>2011</v>
      </c>
      <c r="E552" t="s">
        <v>10</v>
      </c>
      <c r="F552">
        <v>2</v>
      </c>
      <c r="G552" t="b">
        <v>0</v>
      </c>
      <c r="H552" t="s">
        <v>14</v>
      </c>
      <c r="I552">
        <v>1</v>
      </c>
      <c r="J552">
        <v>0.16</v>
      </c>
      <c r="K552">
        <v>0.1515</v>
      </c>
      <c r="L552">
        <v>0.69</v>
      </c>
      <c r="M552">
        <v>0.22389999999999999</v>
      </c>
      <c r="N552">
        <v>0</v>
      </c>
      <c r="O552">
        <v>2</v>
      </c>
      <c r="P552">
        <v>2</v>
      </c>
      <c r="S552" t="str">
        <f>IF(Dataset_A[[#This Row],[Hr]]&gt;=19,"Evening Time",IF(Dataset_A[[#This Row],[Hr]]&gt;=9,"Day Time",IF(Dataset_A[[#This Row],[Hr]]&gt;=0,"Night Time","")))</f>
        <v>Night Time</v>
      </c>
    </row>
    <row r="553" spans="1:19" x14ac:dyDescent="0.2">
      <c r="A553">
        <v>552</v>
      </c>
      <c r="B553" s="3">
        <v>40568</v>
      </c>
      <c r="C553">
        <v>1</v>
      </c>
      <c r="D553">
        <v>2011</v>
      </c>
      <c r="E553" t="s">
        <v>10</v>
      </c>
      <c r="F553">
        <v>4</v>
      </c>
      <c r="G553" t="b">
        <v>0</v>
      </c>
      <c r="H553" t="s">
        <v>14</v>
      </c>
      <c r="I553">
        <v>1</v>
      </c>
      <c r="J553">
        <v>0.14000000000000001</v>
      </c>
      <c r="K553">
        <v>0.16669999999999999</v>
      </c>
      <c r="L553">
        <v>0.74</v>
      </c>
      <c r="M553">
        <v>0.1045</v>
      </c>
      <c r="N553">
        <v>0</v>
      </c>
      <c r="O553">
        <v>1</v>
      </c>
      <c r="P553">
        <v>1</v>
      </c>
      <c r="S553" t="str">
        <f>IF(Dataset_A[[#This Row],[Hr]]&gt;=19,"Evening Time",IF(Dataset_A[[#This Row],[Hr]]&gt;=9,"Day Time",IF(Dataset_A[[#This Row],[Hr]]&gt;=0,"Night Time","")))</f>
        <v>Night Time</v>
      </c>
    </row>
    <row r="554" spans="1:19" x14ac:dyDescent="0.2">
      <c r="A554">
        <v>553</v>
      </c>
      <c r="B554" s="3">
        <v>40568</v>
      </c>
      <c r="C554">
        <v>1</v>
      </c>
      <c r="D554">
        <v>2011</v>
      </c>
      <c r="E554" t="s">
        <v>10</v>
      </c>
      <c r="F554">
        <v>5</v>
      </c>
      <c r="G554" t="b">
        <v>0</v>
      </c>
      <c r="H554" t="s">
        <v>14</v>
      </c>
      <c r="I554">
        <v>1</v>
      </c>
      <c r="J554">
        <v>0.14000000000000001</v>
      </c>
      <c r="K554">
        <v>0.13639999999999999</v>
      </c>
      <c r="L554">
        <v>0.74</v>
      </c>
      <c r="M554">
        <v>0.22389999999999999</v>
      </c>
      <c r="N554">
        <v>0</v>
      </c>
      <c r="O554">
        <v>9</v>
      </c>
      <c r="P554">
        <v>9</v>
      </c>
      <c r="S554" t="str">
        <f>IF(Dataset_A[[#This Row],[Hr]]&gt;=19,"Evening Time",IF(Dataset_A[[#This Row],[Hr]]&gt;=9,"Day Time",IF(Dataset_A[[#This Row],[Hr]]&gt;=0,"Night Time","")))</f>
        <v>Night Time</v>
      </c>
    </row>
    <row r="555" spans="1:19" x14ac:dyDescent="0.2">
      <c r="A555">
        <v>554</v>
      </c>
      <c r="B555" s="3">
        <v>40568</v>
      </c>
      <c r="C555">
        <v>1</v>
      </c>
      <c r="D555">
        <v>2011</v>
      </c>
      <c r="E555" t="s">
        <v>10</v>
      </c>
      <c r="F555">
        <v>6</v>
      </c>
      <c r="G555" t="b">
        <v>0</v>
      </c>
      <c r="H555" t="s">
        <v>14</v>
      </c>
      <c r="I555">
        <v>1</v>
      </c>
      <c r="J555">
        <v>0.16</v>
      </c>
      <c r="K555">
        <v>0.18179999999999999</v>
      </c>
      <c r="L555">
        <v>0.74</v>
      </c>
      <c r="M555">
        <v>0.1045</v>
      </c>
      <c r="N555">
        <v>1</v>
      </c>
      <c r="O555">
        <v>35</v>
      </c>
      <c r="P555">
        <v>36</v>
      </c>
      <c r="S555" t="str">
        <f>IF(Dataset_A[[#This Row],[Hr]]&gt;=19,"Evening Time",IF(Dataset_A[[#This Row],[Hr]]&gt;=9,"Day Time",IF(Dataset_A[[#This Row],[Hr]]&gt;=0,"Night Time","")))</f>
        <v>Night Time</v>
      </c>
    </row>
    <row r="556" spans="1:19" x14ac:dyDescent="0.2">
      <c r="A556">
        <v>555</v>
      </c>
      <c r="B556" s="3">
        <v>40568</v>
      </c>
      <c r="C556">
        <v>1</v>
      </c>
      <c r="D556">
        <v>2011</v>
      </c>
      <c r="E556" t="s">
        <v>10</v>
      </c>
      <c r="F556">
        <v>7</v>
      </c>
      <c r="G556" t="b">
        <v>0</v>
      </c>
      <c r="H556" t="s">
        <v>14</v>
      </c>
      <c r="I556">
        <v>1</v>
      </c>
      <c r="J556">
        <v>0.16</v>
      </c>
      <c r="K556">
        <v>0.1515</v>
      </c>
      <c r="L556">
        <v>0.74</v>
      </c>
      <c r="M556">
        <v>0.22389999999999999</v>
      </c>
      <c r="N556">
        <v>5</v>
      </c>
      <c r="O556">
        <v>103</v>
      </c>
      <c r="P556">
        <v>108</v>
      </c>
      <c r="S556" t="str">
        <f>IF(Dataset_A[[#This Row],[Hr]]&gt;=19,"Evening Time",IF(Dataset_A[[#This Row],[Hr]]&gt;=9,"Day Time",IF(Dataset_A[[#This Row],[Hr]]&gt;=0,"Night Time","")))</f>
        <v>Night Time</v>
      </c>
    </row>
    <row r="557" spans="1:19" x14ac:dyDescent="0.2">
      <c r="A557">
        <v>556</v>
      </c>
      <c r="B557" s="3">
        <v>40568</v>
      </c>
      <c r="C557">
        <v>1</v>
      </c>
      <c r="D557">
        <v>2011</v>
      </c>
      <c r="E557" t="s">
        <v>10</v>
      </c>
      <c r="F557">
        <v>8</v>
      </c>
      <c r="G557" t="b">
        <v>0</v>
      </c>
      <c r="H557" t="s">
        <v>14</v>
      </c>
      <c r="I557">
        <v>2</v>
      </c>
      <c r="J557">
        <v>0.16</v>
      </c>
      <c r="K557">
        <v>0.18179999999999999</v>
      </c>
      <c r="L557">
        <v>0.74</v>
      </c>
      <c r="M557">
        <v>0.1343</v>
      </c>
      <c r="N557">
        <v>5</v>
      </c>
      <c r="O557">
        <v>233</v>
      </c>
      <c r="P557">
        <v>238</v>
      </c>
      <c r="S557" t="str">
        <f>IF(Dataset_A[[#This Row],[Hr]]&gt;=19,"Evening Time",IF(Dataset_A[[#This Row],[Hr]]&gt;=9,"Day Time",IF(Dataset_A[[#This Row],[Hr]]&gt;=0,"Night Time","")))</f>
        <v>Night Time</v>
      </c>
    </row>
    <row r="558" spans="1:19" x14ac:dyDescent="0.2">
      <c r="A558">
        <v>557</v>
      </c>
      <c r="B558" s="3">
        <v>40568</v>
      </c>
      <c r="C558">
        <v>1</v>
      </c>
      <c r="D558">
        <v>2011</v>
      </c>
      <c r="E558" t="s">
        <v>10</v>
      </c>
      <c r="F558">
        <v>9</v>
      </c>
      <c r="G558" t="b">
        <v>0</v>
      </c>
      <c r="H558" t="s">
        <v>14</v>
      </c>
      <c r="I558">
        <v>2</v>
      </c>
      <c r="J558">
        <v>0.2</v>
      </c>
      <c r="K558">
        <v>0.2273</v>
      </c>
      <c r="L558">
        <v>0.64</v>
      </c>
      <c r="M558">
        <v>8.9599999999999999E-2</v>
      </c>
      <c r="N558">
        <v>10</v>
      </c>
      <c r="O558">
        <v>134</v>
      </c>
      <c r="P558">
        <v>144</v>
      </c>
      <c r="S558" t="str">
        <f>IF(Dataset_A[[#This Row],[Hr]]&gt;=19,"Evening Time",IF(Dataset_A[[#This Row],[Hr]]&gt;=9,"Day Time",IF(Dataset_A[[#This Row],[Hr]]&gt;=0,"Night Time","")))</f>
        <v>Day Time</v>
      </c>
    </row>
    <row r="559" spans="1:19" x14ac:dyDescent="0.2">
      <c r="A559">
        <v>558</v>
      </c>
      <c r="B559" s="3">
        <v>40568</v>
      </c>
      <c r="C559">
        <v>1</v>
      </c>
      <c r="D559">
        <v>2011</v>
      </c>
      <c r="E559" t="s">
        <v>10</v>
      </c>
      <c r="F559">
        <v>10</v>
      </c>
      <c r="G559" t="b">
        <v>0</v>
      </c>
      <c r="H559" t="s">
        <v>14</v>
      </c>
      <c r="I559">
        <v>2</v>
      </c>
      <c r="J559">
        <v>0.22</v>
      </c>
      <c r="K559">
        <v>0.2424</v>
      </c>
      <c r="L559">
        <v>0.6</v>
      </c>
      <c r="M559">
        <v>0.1045</v>
      </c>
      <c r="N559">
        <v>6</v>
      </c>
      <c r="O559">
        <v>49</v>
      </c>
      <c r="P559">
        <v>55</v>
      </c>
      <c r="S559" t="str">
        <f>IF(Dataset_A[[#This Row],[Hr]]&gt;=19,"Evening Time",IF(Dataset_A[[#This Row],[Hr]]&gt;=9,"Day Time",IF(Dataset_A[[#This Row],[Hr]]&gt;=0,"Night Time","")))</f>
        <v>Day Time</v>
      </c>
    </row>
    <row r="560" spans="1:19" x14ac:dyDescent="0.2">
      <c r="A560">
        <v>559</v>
      </c>
      <c r="B560" s="3">
        <v>40568</v>
      </c>
      <c r="C560">
        <v>1</v>
      </c>
      <c r="D560">
        <v>2011</v>
      </c>
      <c r="E560" t="s">
        <v>10</v>
      </c>
      <c r="F560">
        <v>11</v>
      </c>
      <c r="G560" t="b">
        <v>0</v>
      </c>
      <c r="H560" t="s">
        <v>14</v>
      </c>
      <c r="I560">
        <v>2</v>
      </c>
      <c r="J560">
        <v>0.24</v>
      </c>
      <c r="K560">
        <v>0.2424</v>
      </c>
      <c r="L560">
        <v>0.6</v>
      </c>
      <c r="M560">
        <v>0.1343</v>
      </c>
      <c r="N560">
        <v>6</v>
      </c>
      <c r="O560">
        <v>55</v>
      </c>
      <c r="P560">
        <v>61</v>
      </c>
      <c r="S560" t="str">
        <f>IF(Dataset_A[[#This Row],[Hr]]&gt;=19,"Evening Time",IF(Dataset_A[[#This Row],[Hr]]&gt;=9,"Day Time",IF(Dataset_A[[#This Row],[Hr]]&gt;=0,"Night Time","")))</f>
        <v>Day Time</v>
      </c>
    </row>
    <row r="561" spans="1:19" x14ac:dyDescent="0.2">
      <c r="A561">
        <v>560</v>
      </c>
      <c r="B561" s="3">
        <v>40568</v>
      </c>
      <c r="C561">
        <v>1</v>
      </c>
      <c r="D561">
        <v>2011</v>
      </c>
      <c r="E561" t="s">
        <v>10</v>
      </c>
      <c r="F561">
        <v>12</v>
      </c>
      <c r="G561" t="b">
        <v>0</v>
      </c>
      <c r="H561" t="s">
        <v>14</v>
      </c>
      <c r="I561">
        <v>2</v>
      </c>
      <c r="J561">
        <v>0.26</v>
      </c>
      <c r="K561">
        <v>0.28789999999999999</v>
      </c>
      <c r="L561">
        <v>0.56000000000000005</v>
      </c>
      <c r="M561">
        <v>8.9599999999999999E-2</v>
      </c>
      <c r="N561">
        <v>21</v>
      </c>
      <c r="O561">
        <v>85</v>
      </c>
      <c r="P561">
        <v>106</v>
      </c>
      <c r="S561" t="str">
        <f>IF(Dataset_A[[#This Row],[Hr]]&gt;=19,"Evening Time",IF(Dataset_A[[#This Row],[Hr]]&gt;=9,"Day Time",IF(Dataset_A[[#This Row],[Hr]]&gt;=0,"Night Time","")))</f>
        <v>Day Time</v>
      </c>
    </row>
    <row r="562" spans="1:19" x14ac:dyDescent="0.2">
      <c r="A562">
        <v>561</v>
      </c>
      <c r="B562" s="3">
        <v>40568</v>
      </c>
      <c r="C562">
        <v>1</v>
      </c>
      <c r="D562">
        <v>2011</v>
      </c>
      <c r="E562" t="s">
        <v>10</v>
      </c>
      <c r="F562">
        <v>13</v>
      </c>
      <c r="G562" t="b">
        <v>0</v>
      </c>
      <c r="H562" t="s">
        <v>14</v>
      </c>
      <c r="I562">
        <v>2</v>
      </c>
      <c r="J562">
        <v>0.26</v>
      </c>
      <c r="K562">
        <v>0.2727</v>
      </c>
      <c r="L562">
        <v>0.56000000000000005</v>
      </c>
      <c r="M562">
        <v>0.1343</v>
      </c>
      <c r="N562">
        <v>21</v>
      </c>
      <c r="O562">
        <v>72</v>
      </c>
      <c r="P562">
        <v>93</v>
      </c>
      <c r="S562" t="str">
        <f>IF(Dataset_A[[#This Row],[Hr]]&gt;=19,"Evening Time",IF(Dataset_A[[#This Row],[Hr]]&gt;=9,"Day Time",IF(Dataset_A[[#This Row],[Hr]]&gt;=0,"Night Time","")))</f>
        <v>Day Time</v>
      </c>
    </row>
    <row r="563" spans="1:19" x14ac:dyDescent="0.2">
      <c r="A563">
        <v>562</v>
      </c>
      <c r="B563" s="3">
        <v>40568</v>
      </c>
      <c r="C563">
        <v>1</v>
      </c>
      <c r="D563">
        <v>2011</v>
      </c>
      <c r="E563" t="s">
        <v>10</v>
      </c>
      <c r="F563">
        <v>14</v>
      </c>
      <c r="G563" t="b">
        <v>0</v>
      </c>
      <c r="H563" t="s">
        <v>14</v>
      </c>
      <c r="I563">
        <v>2</v>
      </c>
      <c r="J563">
        <v>0.3</v>
      </c>
      <c r="K563">
        <v>0.33329999999999999</v>
      </c>
      <c r="L563">
        <v>0.45</v>
      </c>
      <c r="M563">
        <v>0</v>
      </c>
      <c r="N563">
        <v>11</v>
      </c>
      <c r="O563">
        <v>57</v>
      </c>
      <c r="P563">
        <v>68</v>
      </c>
      <c r="S563" t="str">
        <f>IF(Dataset_A[[#This Row],[Hr]]&gt;=19,"Evening Time",IF(Dataset_A[[#This Row],[Hr]]&gt;=9,"Day Time",IF(Dataset_A[[#This Row],[Hr]]&gt;=0,"Night Time","")))</f>
        <v>Day Time</v>
      </c>
    </row>
    <row r="564" spans="1:19" x14ac:dyDescent="0.2">
      <c r="A564">
        <v>563</v>
      </c>
      <c r="B564" s="3">
        <v>40568</v>
      </c>
      <c r="C564">
        <v>1</v>
      </c>
      <c r="D564">
        <v>2011</v>
      </c>
      <c r="E564" t="s">
        <v>10</v>
      </c>
      <c r="F564">
        <v>15</v>
      </c>
      <c r="G564" t="b">
        <v>0</v>
      </c>
      <c r="H564" t="s">
        <v>14</v>
      </c>
      <c r="I564">
        <v>2</v>
      </c>
      <c r="J564">
        <v>0.32</v>
      </c>
      <c r="K564">
        <v>0.34849999999999998</v>
      </c>
      <c r="L564">
        <v>0.42</v>
      </c>
      <c r="M564">
        <v>0</v>
      </c>
      <c r="N564">
        <v>21</v>
      </c>
      <c r="O564">
        <v>63</v>
      </c>
      <c r="P564">
        <v>84</v>
      </c>
      <c r="S564" t="str">
        <f>IF(Dataset_A[[#This Row],[Hr]]&gt;=19,"Evening Time",IF(Dataset_A[[#This Row],[Hr]]&gt;=9,"Day Time",IF(Dataset_A[[#This Row],[Hr]]&gt;=0,"Night Time","")))</f>
        <v>Day Time</v>
      </c>
    </row>
    <row r="565" spans="1:19" x14ac:dyDescent="0.2">
      <c r="A565">
        <v>564</v>
      </c>
      <c r="B565" s="3">
        <v>40568</v>
      </c>
      <c r="C565">
        <v>1</v>
      </c>
      <c r="D565">
        <v>2011</v>
      </c>
      <c r="E565" t="s">
        <v>10</v>
      </c>
      <c r="F565">
        <v>16</v>
      </c>
      <c r="G565" t="b">
        <v>0</v>
      </c>
      <c r="H565" t="s">
        <v>14</v>
      </c>
      <c r="I565">
        <v>2</v>
      </c>
      <c r="J565">
        <v>0.32</v>
      </c>
      <c r="K565">
        <v>0.34849999999999998</v>
      </c>
      <c r="L565">
        <v>0.42</v>
      </c>
      <c r="M565">
        <v>0</v>
      </c>
      <c r="N565">
        <v>14</v>
      </c>
      <c r="O565">
        <v>102</v>
      </c>
      <c r="P565">
        <v>116</v>
      </c>
      <c r="S565" t="str">
        <f>IF(Dataset_A[[#This Row],[Hr]]&gt;=19,"Evening Time",IF(Dataset_A[[#This Row],[Hr]]&gt;=9,"Day Time",IF(Dataset_A[[#This Row],[Hr]]&gt;=0,"Night Time","")))</f>
        <v>Day Time</v>
      </c>
    </row>
    <row r="566" spans="1:19" x14ac:dyDescent="0.2">
      <c r="A566">
        <v>565</v>
      </c>
      <c r="B566" s="3">
        <v>40568</v>
      </c>
      <c r="C566">
        <v>1</v>
      </c>
      <c r="D566">
        <v>2011</v>
      </c>
      <c r="E566" t="s">
        <v>10</v>
      </c>
      <c r="F566">
        <v>17</v>
      </c>
      <c r="G566" t="b">
        <v>0</v>
      </c>
      <c r="H566" t="s">
        <v>14</v>
      </c>
      <c r="I566">
        <v>1</v>
      </c>
      <c r="J566">
        <v>0.3</v>
      </c>
      <c r="K566">
        <v>0.33329999999999999</v>
      </c>
      <c r="L566">
        <v>0.45</v>
      </c>
      <c r="M566">
        <v>0</v>
      </c>
      <c r="N566">
        <v>14</v>
      </c>
      <c r="O566">
        <v>208</v>
      </c>
      <c r="P566">
        <v>222</v>
      </c>
      <c r="S566" t="str">
        <f>IF(Dataset_A[[#This Row],[Hr]]&gt;=19,"Evening Time",IF(Dataset_A[[#This Row],[Hr]]&gt;=9,"Day Time",IF(Dataset_A[[#This Row],[Hr]]&gt;=0,"Night Time","")))</f>
        <v>Day Time</v>
      </c>
    </row>
    <row r="567" spans="1:19" x14ac:dyDescent="0.2">
      <c r="A567">
        <v>566</v>
      </c>
      <c r="B567" s="3">
        <v>40568</v>
      </c>
      <c r="C567">
        <v>1</v>
      </c>
      <c r="D567">
        <v>2011</v>
      </c>
      <c r="E567" t="s">
        <v>10</v>
      </c>
      <c r="F567">
        <v>18</v>
      </c>
      <c r="G567" t="b">
        <v>0</v>
      </c>
      <c r="H567" t="s">
        <v>14</v>
      </c>
      <c r="I567">
        <v>2</v>
      </c>
      <c r="J567">
        <v>0.3</v>
      </c>
      <c r="K567">
        <v>0.31819999999999998</v>
      </c>
      <c r="L567">
        <v>0.49</v>
      </c>
      <c r="M567">
        <v>8.9599999999999999E-2</v>
      </c>
      <c r="N567">
        <v>7</v>
      </c>
      <c r="O567">
        <v>218</v>
      </c>
      <c r="P567">
        <v>225</v>
      </c>
      <c r="S567" t="str">
        <f>IF(Dataset_A[[#This Row],[Hr]]&gt;=19,"Evening Time",IF(Dataset_A[[#This Row],[Hr]]&gt;=9,"Day Time",IF(Dataset_A[[#This Row],[Hr]]&gt;=0,"Night Time","")))</f>
        <v>Day Time</v>
      </c>
    </row>
    <row r="568" spans="1:19" x14ac:dyDescent="0.2">
      <c r="A568">
        <v>567</v>
      </c>
      <c r="B568" s="3">
        <v>40568</v>
      </c>
      <c r="C568">
        <v>1</v>
      </c>
      <c r="D568">
        <v>2011</v>
      </c>
      <c r="E568" t="s">
        <v>10</v>
      </c>
      <c r="F568">
        <v>19</v>
      </c>
      <c r="G568" t="b">
        <v>0</v>
      </c>
      <c r="H568" t="s">
        <v>14</v>
      </c>
      <c r="I568">
        <v>2</v>
      </c>
      <c r="J568">
        <v>0.26</v>
      </c>
      <c r="K568">
        <v>0.2576</v>
      </c>
      <c r="L568">
        <v>0.65</v>
      </c>
      <c r="M568">
        <v>0.16420000000000001</v>
      </c>
      <c r="N568">
        <v>13</v>
      </c>
      <c r="O568">
        <v>133</v>
      </c>
      <c r="P568">
        <v>146</v>
      </c>
      <c r="S568" t="str">
        <f>IF(Dataset_A[[#This Row],[Hr]]&gt;=19,"Evening Time",IF(Dataset_A[[#This Row],[Hr]]&gt;=9,"Day Time",IF(Dataset_A[[#This Row],[Hr]]&gt;=0,"Night Time","")))</f>
        <v>Evening Time</v>
      </c>
    </row>
    <row r="569" spans="1:19" x14ac:dyDescent="0.2">
      <c r="A569">
        <v>568</v>
      </c>
      <c r="B569" s="3">
        <v>40568</v>
      </c>
      <c r="C569">
        <v>1</v>
      </c>
      <c r="D569">
        <v>2011</v>
      </c>
      <c r="E569" t="s">
        <v>10</v>
      </c>
      <c r="F569">
        <v>20</v>
      </c>
      <c r="G569" t="b">
        <v>0</v>
      </c>
      <c r="H569" t="s">
        <v>14</v>
      </c>
      <c r="I569">
        <v>1</v>
      </c>
      <c r="J569">
        <v>0.24</v>
      </c>
      <c r="K569">
        <v>0.2273</v>
      </c>
      <c r="L569">
        <v>0.65</v>
      </c>
      <c r="M569">
        <v>0.19400000000000001</v>
      </c>
      <c r="N569">
        <v>16</v>
      </c>
      <c r="O569">
        <v>103</v>
      </c>
      <c r="P569">
        <v>119</v>
      </c>
      <c r="S569" t="str">
        <f>IF(Dataset_A[[#This Row],[Hr]]&gt;=19,"Evening Time",IF(Dataset_A[[#This Row],[Hr]]&gt;=9,"Day Time",IF(Dataset_A[[#This Row],[Hr]]&gt;=0,"Night Time","")))</f>
        <v>Evening Time</v>
      </c>
    </row>
    <row r="570" spans="1:19" x14ac:dyDescent="0.2">
      <c r="A570">
        <v>569</v>
      </c>
      <c r="B570" s="3">
        <v>40568</v>
      </c>
      <c r="C570">
        <v>1</v>
      </c>
      <c r="D570">
        <v>2011</v>
      </c>
      <c r="E570" t="s">
        <v>10</v>
      </c>
      <c r="F570">
        <v>21</v>
      </c>
      <c r="G570" t="b">
        <v>0</v>
      </c>
      <c r="H570" t="s">
        <v>14</v>
      </c>
      <c r="I570">
        <v>1</v>
      </c>
      <c r="J570">
        <v>0.24</v>
      </c>
      <c r="K570">
        <v>0.2273</v>
      </c>
      <c r="L570">
        <v>0.65</v>
      </c>
      <c r="M570">
        <v>0.19400000000000001</v>
      </c>
      <c r="N570">
        <v>5</v>
      </c>
      <c r="O570">
        <v>40</v>
      </c>
      <c r="P570">
        <v>45</v>
      </c>
      <c r="S570" t="str">
        <f>IF(Dataset_A[[#This Row],[Hr]]&gt;=19,"Evening Time",IF(Dataset_A[[#This Row],[Hr]]&gt;=9,"Day Time",IF(Dataset_A[[#This Row],[Hr]]&gt;=0,"Night Time","")))</f>
        <v>Evening Time</v>
      </c>
    </row>
    <row r="571" spans="1:19" x14ac:dyDescent="0.2">
      <c r="A571">
        <v>570</v>
      </c>
      <c r="B571" s="3">
        <v>40568</v>
      </c>
      <c r="C571">
        <v>1</v>
      </c>
      <c r="D571">
        <v>2011</v>
      </c>
      <c r="E571" t="s">
        <v>10</v>
      </c>
      <c r="F571">
        <v>22</v>
      </c>
      <c r="G571" t="b">
        <v>0</v>
      </c>
      <c r="H571" t="s">
        <v>14</v>
      </c>
      <c r="I571">
        <v>1</v>
      </c>
      <c r="J571">
        <v>0.22</v>
      </c>
      <c r="K571">
        <v>0.2273</v>
      </c>
      <c r="L571">
        <v>0.64</v>
      </c>
      <c r="M571">
        <v>0.16420000000000001</v>
      </c>
      <c r="N571">
        <v>4</v>
      </c>
      <c r="O571">
        <v>49</v>
      </c>
      <c r="P571">
        <v>53</v>
      </c>
      <c r="S571" t="str">
        <f>IF(Dataset_A[[#This Row],[Hr]]&gt;=19,"Evening Time",IF(Dataset_A[[#This Row],[Hr]]&gt;=9,"Day Time",IF(Dataset_A[[#This Row],[Hr]]&gt;=0,"Night Time","")))</f>
        <v>Evening Time</v>
      </c>
    </row>
    <row r="572" spans="1:19" x14ac:dyDescent="0.2">
      <c r="A572">
        <v>571</v>
      </c>
      <c r="B572" s="3">
        <v>40568</v>
      </c>
      <c r="C572">
        <v>1</v>
      </c>
      <c r="D572">
        <v>2011</v>
      </c>
      <c r="E572" t="s">
        <v>10</v>
      </c>
      <c r="F572">
        <v>23</v>
      </c>
      <c r="G572" t="b">
        <v>0</v>
      </c>
      <c r="H572" t="s">
        <v>14</v>
      </c>
      <c r="I572">
        <v>2</v>
      </c>
      <c r="J572">
        <v>0.22</v>
      </c>
      <c r="K572">
        <v>0.2273</v>
      </c>
      <c r="L572">
        <v>0.64</v>
      </c>
      <c r="M572">
        <v>0.16420000000000001</v>
      </c>
      <c r="N572">
        <v>3</v>
      </c>
      <c r="O572">
        <v>37</v>
      </c>
      <c r="P572">
        <v>40</v>
      </c>
      <c r="S572" t="str">
        <f>IF(Dataset_A[[#This Row],[Hr]]&gt;=19,"Evening Time",IF(Dataset_A[[#This Row],[Hr]]&gt;=9,"Day Time",IF(Dataset_A[[#This Row],[Hr]]&gt;=0,"Night Time","")))</f>
        <v>Evening Time</v>
      </c>
    </row>
    <row r="573" spans="1:19" x14ac:dyDescent="0.2">
      <c r="A573">
        <v>572</v>
      </c>
      <c r="B573" s="3">
        <v>40569</v>
      </c>
      <c r="C573">
        <v>1</v>
      </c>
      <c r="D573">
        <v>2011</v>
      </c>
      <c r="E573" t="s">
        <v>10</v>
      </c>
      <c r="F573">
        <v>0</v>
      </c>
      <c r="G573" t="b">
        <v>0</v>
      </c>
      <c r="H573" t="s">
        <v>15</v>
      </c>
      <c r="I573">
        <v>2</v>
      </c>
      <c r="J573">
        <v>0.22</v>
      </c>
      <c r="K573">
        <v>0.2273</v>
      </c>
      <c r="L573">
        <v>0.69</v>
      </c>
      <c r="M573">
        <v>0.1343</v>
      </c>
      <c r="N573">
        <v>3</v>
      </c>
      <c r="O573">
        <v>14</v>
      </c>
      <c r="P573">
        <v>17</v>
      </c>
      <c r="S573" t="str">
        <f>IF(Dataset_A[[#This Row],[Hr]]&gt;=19,"Evening Time",IF(Dataset_A[[#This Row],[Hr]]&gt;=9,"Day Time",IF(Dataset_A[[#This Row],[Hr]]&gt;=0,"Night Time","")))</f>
        <v>Night Time</v>
      </c>
    </row>
    <row r="574" spans="1:19" x14ac:dyDescent="0.2">
      <c r="A574">
        <v>573</v>
      </c>
      <c r="B574" s="3">
        <v>40569</v>
      </c>
      <c r="C574">
        <v>1</v>
      </c>
      <c r="D574">
        <v>2011</v>
      </c>
      <c r="E574" t="s">
        <v>10</v>
      </c>
      <c r="F574">
        <v>1</v>
      </c>
      <c r="G574" t="b">
        <v>0</v>
      </c>
      <c r="H574" t="s">
        <v>15</v>
      </c>
      <c r="I574">
        <v>2</v>
      </c>
      <c r="J574">
        <v>0.24</v>
      </c>
      <c r="K574">
        <v>0.2424</v>
      </c>
      <c r="L574">
        <v>0.65</v>
      </c>
      <c r="M574">
        <v>0.1343</v>
      </c>
      <c r="N574">
        <v>0</v>
      </c>
      <c r="O574">
        <v>5</v>
      </c>
      <c r="P574">
        <v>5</v>
      </c>
      <c r="S574" t="str">
        <f>IF(Dataset_A[[#This Row],[Hr]]&gt;=19,"Evening Time",IF(Dataset_A[[#This Row],[Hr]]&gt;=9,"Day Time",IF(Dataset_A[[#This Row],[Hr]]&gt;=0,"Night Time","")))</f>
        <v>Night Time</v>
      </c>
    </row>
    <row r="575" spans="1:19" x14ac:dyDescent="0.2">
      <c r="A575">
        <v>574</v>
      </c>
      <c r="B575" s="3">
        <v>40569</v>
      </c>
      <c r="C575">
        <v>1</v>
      </c>
      <c r="D575">
        <v>2011</v>
      </c>
      <c r="E575" t="s">
        <v>10</v>
      </c>
      <c r="F575">
        <v>2</v>
      </c>
      <c r="G575" t="b">
        <v>0</v>
      </c>
      <c r="H575" t="s">
        <v>15</v>
      </c>
      <c r="I575">
        <v>3</v>
      </c>
      <c r="J575">
        <v>0.22</v>
      </c>
      <c r="K575">
        <v>0.2273</v>
      </c>
      <c r="L575">
        <v>0.69</v>
      </c>
      <c r="M575">
        <v>0.19400000000000001</v>
      </c>
      <c r="N575">
        <v>3</v>
      </c>
      <c r="O575">
        <v>7</v>
      </c>
      <c r="P575">
        <v>10</v>
      </c>
      <c r="S575" t="str">
        <f>IF(Dataset_A[[#This Row],[Hr]]&gt;=19,"Evening Time",IF(Dataset_A[[#This Row],[Hr]]&gt;=9,"Day Time",IF(Dataset_A[[#This Row],[Hr]]&gt;=0,"Night Time","")))</f>
        <v>Night Time</v>
      </c>
    </row>
    <row r="576" spans="1:19" x14ac:dyDescent="0.2">
      <c r="A576">
        <v>575</v>
      </c>
      <c r="B576" s="3">
        <v>40569</v>
      </c>
      <c r="C576">
        <v>1</v>
      </c>
      <c r="D576">
        <v>2011</v>
      </c>
      <c r="E576" t="s">
        <v>10</v>
      </c>
      <c r="F576">
        <v>5</v>
      </c>
      <c r="G576" t="b">
        <v>0</v>
      </c>
      <c r="H576" t="s">
        <v>15</v>
      </c>
      <c r="I576">
        <v>3</v>
      </c>
      <c r="J576">
        <v>0.2</v>
      </c>
      <c r="K576">
        <v>0.18179999999999999</v>
      </c>
      <c r="L576">
        <v>0.86</v>
      </c>
      <c r="M576">
        <v>0.28360000000000002</v>
      </c>
      <c r="N576">
        <v>0</v>
      </c>
      <c r="O576">
        <v>1</v>
      </c>
      <c r="P576">
        <v>1</v>
      </c>
      <c r="S576" t="str">
        <f>IF(Dataset_A[[#This Row],[Hr]]&gt;=19,"Evening Time",IF(Dataset_A[[#This Row],[Hr]]&gt;=9,"Day Time",IF(Dataset_A[[#This Row],[Hr]]&gt;=0,"Night Time","")))</f>
        <v>Night Time</v>
      </c>
    </row>
    <row r="577" spans="1:19" x14ac:dyDescent="0.2">
      <c r="A577">
        <v>576</v>
      </c>
      <c r="B577" s="3">
        <v>40569</v>
      </c>
      <c r="C577">
        <v>1</v>
      </c>
      <c r="D577">
        <v>2011</v>
      </c>
      <c r="E577" t="s">
        <v>10</v>
      </c>
      <c r="F577">
        <v>6</v>
      </c>
      <c r="G577" t="b">
        <v>0</v>
      </c>
      <c r="H577" t="s">
        <v>15</v>
      </c>
      <c r="I577">
        <v>3</v>
      </c>
      <c r="J577">
        <v>0.2</v>
      </c>
      <c r="K577">
        <v>0.18179999999999999</v>
      </c>
      <c r="L577">
        <v>0.86</v>
      </c>
      <c r="M577">
        <v>0.28360000000000002</v>
      </c>
      <c r="N577">
        <v>0</v>
      </c>
      <c r="O577">
        <v>8</v>
      </c>
      <c r="P577">
        <v>8</v>
      </c>
      <c r="S577" t="str">
        <f>IF(Dataset_A[[#This Row],[Hr]]&gt;=19,"Evening Time",IF(Dataset_A[[#This Row],[Hr]]&gt;=9,"Day Time",IF(Dataset_A[[#This Row],[Hr]]&gt;=0,"Night Time","")))</f>
        <v>Night Time</v>
      </c>
    </row>
    <row r="578" spans="1:19" x14ac:dyDescent="0.2">
      <c r="A578">
        <v>577</v>
      </c>
      <c r="B578" s="3">
        <v>40569</v>
      </c>
      <c r="C578">
        <v>1</v>
      </c>
      <c r="D578">
        <v>2011</v>
      </c>
      <c r="E578" t="s">
        <v>10</v>
      </c>
      <c r="F578">
        <v>7</v>
      </c>
      <c r="G578" t="b">
        <v>0</v>
      </c>
      <c r="H578" t="s">
        <v>15</v>
      </c>
      <c r="I578">
        <v>3</v>
      </c>
      <c r="J578">
        <v>0.22</v>
      </c>
      <c r="K578">
        <v>0.21210000000000001</v>
      </c>
      <c r="L578">
        <v>0.87</v>
      </c>
      <c r="M578">
        <v>0.29849999999999999</v>
      </c>
      <c r="N578">
        <v>1</v>
      </c>
      <c r="O578">
        <v>29</v>
      </c>
      <c r="P578">
        <v>30</v>
      </c>
      <c r="S578" t="str">
        <f>IF(Dataset_A[[#This Row],[Hr]]&gt;=19,"Evening Time",IF(Dataset_A[[#This Row],[Hr]]&gt;=9,"Day Time",IF(Dataset_A[[#This Row],[Hr]]&gt;=0,"Night Time","")))</f>
        <v>Night Time</v>
      </c>
    </row>
    <row r="579" spans="1:19" x14ac:dyDescent="0.2">
      <c r="A579">
        <v>578</v>
      </c>
      <c r="B579" s="3">
        <v>40569</v>
      </c>
      <c r="C579">
        <v>1</v>
      </c>
      <c r="D579">
        <v>2011</v>
      </c>
      <c r="E579" t="s">
        <v>10</v>
      </c>
      <c r="F579">
        <v>8</v>
      </c>
      <c r="G579" t="b">
        <v>0</v>
      </c>
      <c r="H579" t="s">
        <v>15</v>
      </c>
      <c r="I579">
        <v>3</v>
      </c>
      <c r="J579">
        <v>0.22</v>
      </c>
      <c r="K579">
        <v>0.21210000000000001</v>
      </c>
      <c r="L579">
        <v>0.87</v>
      </c>
      <c r="M579">
        <v>0.29849999999999999</v>
      </c>
      <c r="N579">
        <v>3</v>
      </c>
      <c r="O579">
        <v>69</v>
      </c>
      <c r="P579">
        <v>72</v>
      </c>
      <c r="S579" t="str">
        <f>IF(Dataset_A[[#This Row],[Hr]]&gt;=19,"Evening Time",IF(Dataset_A[[#This Row],[Hr]]&gt;=9,"Day Time",IF(Dataset_A[[#This Row],[Hr]]&gt;=0,"Night Time","")))</f>
        <v>Night Time</v>
      </c>
    </row>
    <row r="580" spans="1:19" x14ac:dyDescent="0.2">
      <c r="A580">
        <v>579</v>
      </c>
      <c r="B580" s="3">
        <v>40569</v>
      </c>
      <c r="C580">
        <v>1</v>
      </c>
      <c r="D580">
        <v>2011</v>
      </c>
      <c r="E580" t="s">
        <v>10</v>
      </c>
      <c r="F580">
        <v>9</v>
      </c>
      <c r="G580" t="b">
        <v>0</v>
      </c>
      <c r="H580" t="s">
        <v>15</v>
      </c>
      <c r="I580">
        <v>3</v>
      </c>
      <c r="J580">
        <v>0.22</v>
      </c>
      <c r="K580">
        <v>0.21210000000000001</v>
      </c>
      <c r="L580">
        <v>0.87</v>
      </c>
      <c r="M580">
        <v>0.29849999999999999</v>
      </c>
      <c r="N580">
        <v>3</v>
      </c>
      <c r="O580">
        <v>55</v>
      </c>
      <c r="P580">
        <v>58</v>
      </c>
      <c r="S580" t="str">
        <f>IF(Dataset_A[[#This Row],[Hr]]&gt;=19,"Evening Time",IF(Dataset_A[[#This Row],[Hr]]&gt;=9,"Day Time",IF(Dataset_A[[#This Row],[Hr]]&gt;=0,"Night Time","")))</f>
        <v>Day Time</v>
      </c>
    </row>
    <row r="581" spans="1:19" x14ac:dyDescent="0.2">
      <c r="A581">
        <v>580</v>
      </c>
      <c r="B581" s="3">
        <v>40569</v>
      </c>
      <c r="C581">
        <v>1</v>
      </c>
      <c r="D581">
        <v>2011</v>
      </c>
      <c r="E581" t="s">
        <v>10</v>
      </c>
      <c r="F581">
        <v>10</v>
      </c>
      <c r="G581" t="b">
        <v>0</v>
      </c>
      <c r="H581" t="s">
        <v>15</v>
      </c>
      <c r="I581">
        <v>3</v>
      </c>
      <c r="J581">
        <v>0.22</v>
      </c>
      <c r="K581">
        <v>0.21210000000000001</v>
      </c>
      <c r="L581">
        <v>0.93</v>
      </c>
      <c r="M581">
        <v>0.28360000000000002</v>
      </c>
      <c r="N581">
        <v>2</v>
      </c>
      <c r="O581">
        <v>26</v>
      </c>
      <c r="P581">
        <v>28</v>
      </c>
      <c r="S581" t="str">
        <f>IF(Dataset_A[[#This Row],[Hr]]&gt;=19,"Evening Time",IF(Dataset_A[[#This Row],[Hr]]&gt;=9,"Day Time",IF(Dataset_A[[#This Row],[Hr]]&gt;=0,"Night Time","")))</f>
        <v>Day Time</v>
      </c>
    </row>
    <row r="582" spans="1:19" x14ac:dyDescent="0.2">
      <c r="A582">
        <v>581</v>
      </c>
      <c r="B582" s="3">
        <v>40569</v>
      </c>
      <c r="C582">
        <v>1</v>
      </c>
      <c r="D582">
        <v>2011</v>
      </c>
      <c r="E582" t="s">
        <v>10</v>
      </c>
      <c r="F582">
        <v>11</v>
      </c>
      <c r="G582" t="b">
        <v>0</v>
      </c>
      <c r="H582" t="s">
        <v>15</v>
      </c>
      <c r="I582">
        <v>3</v>
      </c>
      <c r="J582">
        <v>0.22</v>
      </c>
      <c r="K582">
        <v>0.19700000000000001</v>
      </c>
      <c r="L582">
        <v>0.93</v>
      </c>
      <c r="M582">
        <v>0.32840000000000003</v>
      </c>
      <c r="N582">
        <v>6</v>
      </c>
      <c r="O582">
        <v>35</v>
      </c>
      <c r="P582">
        <v>41</v>
      </c>
      <c r="S582" t="str">
        <f>IF(Dataset_A[[#This Row],[Hr]]&gt;=19,"Evening Time",IF(Dataset_A[[#This Row],[Hr]]&gt;=9,"Day Time",IF(Dataset_A[[#This Row],[Hr]]&gt;=0,"Night Time","")))</f>
        <v>Day Time</v>
      </c>
    </row>
    <row r="583" spans="1:19" x14ac:dyDescent="0.2">
      <c r="A583">
        <v>582</v>
      </c>
      <c r="B583" s="3">
        <v>40569</v>
      </c>
      <c r="C583">
        <v>1</v>
      </c>
      <c r="D583">
        <v>2011</v>
      </c>
      <c r="E583" t="s">
        <v>10</v>
      </c>
      <c r="F583">
        <v>12</v>
      </c>
      <c r="G583" t="b">
        <v>0</v>
      </c>
      <c r="H583" t="s">
        <v>15</v>
      </c>
      <c r="I583">
        <v>3</v>
      </c>
      <c r="J583">
        <v>0.22</v>
      </c>
      <c r="K583">
        <v>0.19700000000000001</v>
      </c>
      <c r="L583">
        <v>0.93</v>
      </c>
      <c r="M583">
        <v>0.32840000000000003</v>
      </c>
      <c r="N583">
        <v>7</v>
      </c>
      <c r="O583">
        <v>41</v>
      </c>
      <c r="P583">
        <v>48</v>
      </c>
      <c r="S583" t="str">
        <f>IF(Dataset_A[[#This Row],[Hr]]&gt;=19,"Evening Time",IF(Dataset_A[[#This Row],[Hr]]&gt;=9,"Day Time",IF(Dataset_A[[#This Row],[Hr]]&gt;=0,"Night Time","")))</f>
        <v>Day Time</v>
      </c>
    </row>
    <row r="584" spans="1:19" x14ac:dyDescent="0.2">
      <c r="A584">
        <v>583</v>
      </c>
      <c r="B584" s="3">
        <v>40569</v>
      </c>
      <c r="C584">
        <v>1</v>
      </c>
      <c r="D584">
        <v>2011</v>
      </c>
      <c r="E584" t="s">
        <v>10</v>
      </c>
      <c r="F584">
        <v>13</v>
      </c>
      <c r="G584" t="b">
        <v>0</v>
      </c>
      <c r="H584" t="s">
        <v>15</v>
      </c>
      <c r="I584">
        <v>3</v>
      </c>
      <c r="J584">
        <v>0.22</v>
      </c>
      <c r="K584">
        <v>0.19700000000000001</v>
      </c>
      <c r="L584">
        <v>0.93</v>
      </c>
      <c r="M584">
        <v>0.32840000000000003</v>
      </c>
      <c r="N584">
        <v>4</v>
      </c>
      <c r="O584">
        <v>43</v>
      </c>
      <c r="P584">
        <v>47</v>
      </c>
      <c r="S584" t="str">
        <f>IF(Dataset_A[[#This Row],[Hr]]&gt;=19,"Evening Time",IF(Dataset_A[[#This Row],[Hr]]&gt;=9,"Day Time",IF(Dataset_A[[#This Row],[Hr]]&gt;=0,"Night Time","")))</f>
        <v>Day Time</v>
      </c>
    </row>
    <row r="585" spans="1:19" x14ac:dyDescent="0.2">
      <c r="A585">
        <v>584</v>
      </c>
      <c r="B585" s="3">
        <v>40569</v>
      </c>
      <c r="C585">
        <v>1</v>
      </c>
      <c r="D585">
        <v>2011</v>
      </c>
      <c r="E585" t="s">
        <v>10</v>
      </c>
      <c r="F585">
        <v>14</v>
      </c>
      <c r="G585" t="b">
        <v>0</v>
      </c>
      <c r="H585" t="s">
        <v>15</v>
      </c>
      <c r="I585">
        <v>3</v>
      </c>
      <c r="J585">
        <v>0.22</v>
      </c>
      <c r="K585">
        <v>0.19700000000000001</v>
      </c>
      <c r="L585">
        <v>0.93</v>
      </c>
      <c r="M585">
        <v>0.35820000000000002</v>
      </c>
      <c r="N585">
        <v>0</v>
      </c>
      <c r="O585">
        <v>36</v>
      </c>
      <c r="P585">
        <v>36</v>
      </c>
      <c r="S585" t="str">
        <f>IF(Dataset_A[[#This Row],[Hr]]&gt;=19,"Evening Time",IF(Dataset_A[[#This Row],[Hr]]&gt;=9,"Day Time",IF(Dataset_A[[#This Row],[Hr]]&gt;=0,"Night Time","")))</f>
        <v>Day Time</v>
      </c>
    </row>
    <row r="586" spans="1:19" x14ac:dyDescent="0.2">
      <c r="A586">
        <v>585</v>
      </c>
      <c r="B586" s="3">
        <v>40569</v>
      </c>
      <c r="C586">
        <v>1</v>
      </c>
      <c r="D586">
        <v>2011</v>
      </c>
      <c r="E586" t="s">
        <v>10</v>
      </c>
      <c r="F586">
        <v>15</v>
      </c>
      <c r="G586" t="b">
        <v>0</v>
      </c>
      <c r="H586" t="s">
        <v>15</v>
      </c>
      <c r="I586">
        <v>3</v>
      </c>
      <c r="J586">
        <v>0.22</v>
      </c>
      <c r="K586">
        <v>0.18179999999999999</v>
      </c>
      <c r="L586">
        <v>0.93</v>
      </c>
      <c r="M586">
        <v>0.4627</v>
      </c>
      <c r="N586">
        <v>1</v>
      </c>
      <c r="O586">
        <v>42</v>
      </c>
      <c r="P586">
        <v>43</v>
      </c>
      <c r="S586" t="str">
        <f>IF(Dataset_A[[#This Row],[Hr]]&gt;=19,"Evening Time",IF(Dataset_A[[#This Row],[Hr]]&gt;=9,"Day Time",IF(Dataset_A[[#This Row],[Hr]]&gt;=0,"Night Time","")))</f>
        <v>Day Time</v>
      </c>
    </row>
    <row r="587" spans="1:19" x14ac:dyDescent="0.2">
      <c r="A587">
        <v>586</v>
      </c>
      <c r="B587" s="3">
        <v>40569</v>
      </c>
      <c r="C587">
        <v>1</v>
      </c>
      <c r="D587">
        <v>2011</v>
      </c>
      <c r="E587" t="s">
        <v>10</v>
      </c>
      <c r="F587">
        <v>16</v>
      </c>
      <c r="G587" t="b">
        <v>0</v>
      </c>
      <c r="H587" t="s">
        <v>15</v>
      </c>
      <c r="I587">
        <v>4</v>
      </c>
      <c r="J587">
        <v>0.22</v>
      </c>
      <c r="K587">
        <v>0.19700000000000001</v>
      </c>
      <c r="L587">
        <v>0.93</v>
      </c>
      <c r="M587">
        <v>0.32840000000000003</v>
      </c>
      <c r="N587">
        <v>1</v>
      </c>
      <c r="O587">
        <v>35</v>
      </c>
      <c r="P587">
        <v>36</v>
      </c>
      <c r="S587" t="str">
        <f>IF(Dataset_A[[#This Row],[Hr]]&gt;=19,"Evening Time",IF(Dataset_A[[#This Row],[Hr]]&gt;=9,"Day Time",IF(Dataset_A[[#This Row],[Hr]]&gt;=0,"Night Time","")))</f>
        <v>Day Time</v>
      </c>
    </row>
    <row r="588" spans="1:19" x14ac:dyDescent="0.2">
      <c r="A588">
        <v>587</v>
      </c>
      <c r="B588" s="3">
        <v>40569</v>
      </c>
      <c r="C588">
        <v>1</v>
      </c>
      <c r="D588">
        <v>2011</v>
      </c>
      <c r="E588" t="s">
        <v>10</v>
      </c>
      <c r="F588">
        <v>17</v>
      </c>
      <c r="G588" t="b">
        <v>0</v>
      </c>
      <c r="H588" t="s">
        <v>15</v>
      </c>
      <c r="I588">
        <v>3</v>
      </c>
      <c r="J588">
        <v>0.2</v>
      </c>
      <c r="K588">
        <v>0.18179999999999999</v>
      </c>
      <c r="L588">
        <v>0.93</v>
      </c>
      <c r="M588">
        <v>0.35820000000000002</v>
      </c>
      <c r="N588">
        <v>0</v>
      </c>
      <c r="O588">
        <v>26</v>
      </c>
      <c r="P588">
        <v>26</v>
      </c>
      <c r="S588" t="str">
        <f>IF(Dataset_A[[#This Row],[Hr]]&gt;=19,"Evening Time",IF(Dataset_A[[#This Row],[Hr]]&gt;=9,"Day Time",IF(Dataset_A[[#This Row],[Hr]]&gt;=0,"Night Time","")))</f>
        <v>Day Time</v>
      </c>
    </row>
    <row r="589" spans="1:19" x14ac:dyDescent="0.2">
      <c r="A589">
        <v>588</v>
      </c>
      <c r="B589" s="3">
        <v>40570</v>
      </c>
      <c r="C589">
        <v>1</v>
      </c>
      <c r="D589">
        <v>2011</v>
      </c>
      <c r="E589" t="s">
        <v>10</v>
      </c>
      <c r="F589">
        <v>16</v>
      </c>
      <c r="G589" t="b">
        <v>0</v>
      </c>
      <c r="H589" t="s">
        <v>16</v>
      </c>
      <c r="I589">
        <v>1</v>
      </c>
      <c r="J589">
        <v>0.22</v>
      </c>
      <c r="K589">
        <v>0.2273</v>
      </c>
      <c r="L589">
        <v>0.55000000000000004</v>
      </c>
      <c r="M589">
        <v>0.19400000000000001</v>
      </c>
      <c r="N589">
        <v>1</v>
      </c>
      <c r="O589">
        <v>23</v>
      </c>
      <c r="P589">
        <v>24</v>
      </c>
      <c r="S589" t="str">
        <f>IF(Dataset_A[[#This Row],[Hr]]&gt;=19,"Evening Time",IF(Dataset_A[[#This Row],[Hr]]&gt;=9,"Day Time",IF(Dataset_A[[#This Row],[Hr]]&gt;=0,"Night Time","")))</f>
        <v>Day Time</v>
      </c>
    </row>
    <row r="590" spans="1:19" x14ac:dyDescent="0.2">
      <c r="A590">
        <v>589</v>
      </c>
      <c r="B590" s="3">
        <v>40570</v>
      </c>
      <c r="C590">
        <v>1</v>
      </c>
      <c r="D590">
        <v>2011</v>
      </c>
      <c r="E590" t="s">
        <v>10</v>
      </c>
      <c r="F590">
        <v>17</v>
      </c>
      <c r="G590" t="b">
        <v>0</v>
      </c>
      <c r="H590" t="s">
        <v>16</v>
      </c>
      <c r="I590">
        <v>1</v>
      </c>
      <c r="J590">
        <v>0.22</v>
      </c>
      <c r="K590">
        <v>0.2424</v>
      </c>
      <c r="L590">
        <v>0.55000000000000004</v>
      </c>
      <c r="M590">
        <v>0.1045</v>
      </c>
      <c r="N590">
        <v>2</v>
      </c>
      <c r="O590">
        <v>82</v>
      </c>
      <c r="P590">
        <v>84</v>
      </c>
      <c r="S590" t="str">
        <f>IF(Dataset_A[[#This Row],[Hr]]&gt;=19,"Evening Time",IF(Dataset_A[[#This Row],[Hr]]&gt;=9,"Day Time",IF(Dataset_A[[#This Row],[Hr]]&gt;=0,"Night Time","")))</f>
        <v>Day Time</v>
      </c>
    </row>
    <row r="591" spans="1:19" x14ac:dyDescent="0.2">
      <c r="A591">
        <v>590</v>
      </c>
      <c r="B591" s="3">
        <v>40570</v>
      </c>
      <c r="C591">
        <v>1</v>
      </c>
      <c r="D591">
        <v>2011</v>
      </c>
      <c r="E591" t="s">
        <v>10</v>
      </c>
      <c r="F591">
        <v>18</v>
      </c>
      <c r="G591" t="b">
        <v>0</v>
      </c>
      <c r="H591" t="s">
        <v>16</v>
      </c>
      <c r="I591">
        <v>1</v>
      </c>
      <c r="J591">
        <v>0.2</v>
      </c>
      <c r="K591">
        <v>0.2273</v>
      </c>
      <c r="L591">
        <v>0.69</v>
      </c>
      <c r="M591">
        <v>8.9599999999999999E-2</v>
      </c>
      <c r="N591">
        <v>3</v>
      </c>
      <c r="O591">
        <v>101</v>
      </c>
      <c r="P591">
        <v>104</v>
      </c>
      <c r="S591" t="str">
        <f>IF(Dataset_A[[#This Row],[Hr]]&gt;=19,"Evening Time",IF(Dataset_A[[#This Row],[Hr]]&gt;=9,"Day Time",IF(Dataset_A[[#This Row],[Hr]]&gt;=0,"Night Time","")))</f>
        <v>Day Time</v>
      </c>
    </row>
    <row r="592" spans="1:19" x14ac:dyDescent="0.2">
      <c r="A592">
        <v>591</v>
      </c>
      <c r="B592" s="3">
        <v>40570</v>
      </c>
      <c r="C592">
        <v>1</v>
      </c>
      <c r="D592">
        <v>2011</v>
      </c>
      <c r="E592" t="s">
        <v>10</v>
      </c>
      <c r="F592">
        <v>19</v>
      </c>
      <c r="G592" t="b">
        <v>0</v>
      </c>
      <c r="H592" t="s">
        <v>16</v>
      </c>
      <c r="I592">
        <v>1</v>
      </c>
      <c r="J592">
        <v>0.2</v>
      </c>
      <c r="K592">
        <v>0.2273</v>
      </c>
      <c r="L592">
        <v>0.69</v>
      </c>
      <c r="M592">
        <v>8.9599999999999999E-2</v>
      </c>
      <c r="N592">
        <v>3</v>
      </c>
      <c r="O592">
        <v>76</v>
      </c>
      <c r="P592">
        <v>79</v>
      </c>
      <c r="S592" t="str">
        <f>IF(Dataset_A[[#This Row],[Hr]]&gt;=19,"Evening Time",IF(Dataset_A[[#This Row],[Hr]]&gt;=9,"Day Time",IF(Dataset_A[[#This Row],[Hr]]&gt;=0,"Night Time","")))</f>
        <v>Evening Time</v>
      </c>
    </row>
    <row r="593" spans="1:19" x14ac:dyDescent="0.2">
      <c r="A593">
        <v>592</v>
      </c>
      <c r="B593" s="3">
        <v>40570</v>
      </c>
      <c r="C593">
        <v>1</v>
      </c>
      <c r="D593">
        <v>2011</v>
      </c>
      <c r="E593" t="s">
        <v>10</v>
      </c>
      <c r="F593">
        <v>20</v>
      </c>
      <c r="G593" t="b">
        <v>0</v>
      </c>
      <c r="H593" t="s">
        <v>16</v>
      </c>
      <c r="I593">
        <v>1</v>
      </c>
      <c r="J593">
        <v>0.18</v>
      </c>
      <c r="K593">
        <v>0.21210000000000001</v>
      </c>
      <c r="L593">
        <v>0.74</v>
      </c>
      <c r="M593">
        <v>8.9599999999999999E-2</v>
      </c>
      <c r="N593">
        <v>4</v>
      </c>
      <c r="O593">
        <v>55</v>
      </c>
      <c r="P593">
        <v>59</v>
      </c>
      <c r="S593" t="str">
        <f>IF(Dataset_A[[#This Row],[Hr]]&gt;=19,"Evening Time",IF(Dataset_A[[#This Row],[Hr]]&gt;=9,"Day Time",IF(Dataset_A[[#This Row],[Hr]]&gt;=0,"Night Time","")))</f>
        <v>Evening Time</v>
      </c>
    </row>
    <row r="594" spans="1:19" x14ac:dyDescent="0.2">
      <c r="A594">
        <v>593</v>
      </c>
      <c r="B594" s="3">
        <v>40570</v>
      </c>
      <c r="C594">
        <v>1</v>
      </c>
      <c r="D594">
        <v>2011</v>
      </c>
      <c r="E594" t="s">
        <v>10</v>
      </c>
      <c r="F594">
        <v>21</v>
      </c>
      <c r="G594" t="b">
        <v>0</v>
      </c>
      <c r="H594" t="s">
        <v>16</v>
      </c>
      <c r="I594">
        <v>1</v>
      </c>
      <c r="J594">
        <v>0.18</v>
      </c>
      <c r="K594">
        <v>0.21210000000000001</v>
      </c>
      <c r="L594">
        <v>0.74</v>
      </c>
      <c r="M594">
        <v>8.9599999999999999E-2</v>
      </c>
      <c r="N594">
        <v>2</v>
      </c>
      <c r="O594">
        <v>36</v>
      </c>
      <c r="P594">
        <v>38</v>
      </c>
      <c r="S594" t="str">
        <f>IF(Dataset_A[[#This Row],[Hr]]&gt;=19,"Evening Time",IF(Dataset_A[[#This Row],[Hr]]&gt;=9,"Day Time",IF(Dataset_A[[#This Row],[Hr]]&gt;=0,"Night Time","")))</f>
        <v>Evening Time</v>
      </c>
    </row>
    <row r="595" spans="1:19" x14ac:dyDescent="0.2">
      <c r="A595">
        <v>594</v>
      </c>
      <c r="B595" s="3">
        <v>40570</v>
      </c>
      <c r="C595">
        <v>1</v>
      </c>
      <c r="D595">
        <v>2011</v>
      </c>
      <c r="E595" t="s">
        <v>10</v>
      </c>
      <c r="F595">
        <v>22</v>
      </c>
      <c r="G595" t="b">
        <v>0</v>
      </c>
      <c r="H595" t="s">
        <v>16</v>
      </c>
      <c r="I595">
        <v>1</v>
      </c>
      <c r="J595">
        <v>0.18</v>
      </c>
      <c r="K595">
        <v>0.21210000000000001</v>
      </c>
      <c r="L595">
        <v>0.74</v>
      </c>
      <c r="M595">
        <v>8.9599999999999999E-2</v>
      </c>
      <c r="N595">
        <v>0</v>
      </c>
      <c r="O595">
        <v>27</v>
      </c>
      <c r="P595">
        <v>27</v>
      </c>
      <c r="S595" t="str">
        <f>IF(Dataset_A[[#This Row],[Hr]]&gt;=19,"Evening Time",IF(Dataset_A[[#This Row],[Hr]]&gt;=9,"Day Time",IF(Dataset_A[[#This Row],[Hr]]&gt;=0,"Night Time","")))</f>
        <v>Evening Time</v>
      </c>
    </row>
    <row r="596" spans="1:19" x14ac:dyDescent="0.2">
      <c r="A596">
        <v>595</v>
      </c>
      <c r="B596" s="3">
        <v>40570</v>
      </c>
      <c r="C596">
        <v>1</v>
      </c>
      <c r="D596">
        <v>2011</v>
      </c>
      <c r="E596" t="s">
        <v>10</v>
      </c>
      <c r="F596">
        <v>23</v>
      </c>
      <c r="G596" t="b">
        <v>0</v>
      </c>
      <c r="H596" t="s">
        <v>16</v>
      </c>
      <c r="I596">
        <v>1</v>
      </c>
      <c r="J596">
        <v>0.18</v>
      </c>
      <c r="K596">
        <v>0.19700000000000001</v>
      </c>
      <c r="L596">
        <v>0.8</v>
      </c>
      <c r="M596">
        <v>0.16420000000000001</v>
      </c>
      <c r="N596">
        <v>0</v>
      </c>
      <c r="O596">
        <v>16</v>
      </c>
      <c r="P596">
        <v>16</v>
      </c>
      <c r="S596" t="str">
        <f>IF(Dataset_A[[#This Row],[Hr]]&gt;=19,"Evening Time",IF(Dataset_A[[#This Row],[Hr]]&gt;=9,"Day Time",IF(Dataset_A[[#This Row],[Hr]]&gt;=0,"Night Time","")))</f>
        <v>Evening Time</v>
      </c>
    </row>
    <row r="597" spans="1:19" x14ac:dyDescent="0.2">
      <c r="A597">
        <v>596</v>
      </c>
      <c r="B597" s="3">
        <v>40571</v>
      </c>
      <c r="C597">
        <v>1</v>
      </c>
      <c r="D597">
        <v>2011</v>
      </c>
      <c r="E597" t="s">
        <v>10</v>
      </c>
      <c r="F597">
        <v>0</v>
      </c>
      <c r="G597" t="b">
        <v>0</v>
      </c>
      <c r="H597" t="s">
        <v>17</v>
      </c>
      <c r="I597">
        <v>2</v>
      </c>
      <c r="J597">
        <v>0.2</v>
      </c>
      <c r="K597">
        <v>0.21210000000000001</v>
      </c>
      <c r="L597">
        <v>0.75</v>
      </c>
      <c r="M597">
        <v>0.1343</v>
      </c>
      <c r="N597">
        <v>0</v>
      </c>
      <c r="O597">
        <v>9</v>
      </c>
      <c r="P597">
        <v>9</v>
      </c>
      <c r="S597" t="str">
        <f>IF(Dataset_A[[#This Row],[Hr]]&gt;=19,"Evening Time",IF(Dataset_A[[#This Row],[Hr]]&gt;=9,"Day Time",IF(Dataset_A[[#This Row],[Hr]]&gt;=0,"Night Time","")))</f>
        <v>Night Time</v>
      </c>
    </row>
    <row r="598" spans="1:19" x14ac:dyDescent="0.2">
      <c r="A598">
        <v>597</v>
      </c>
      <c r="B598" s="3">
        <v>40571</v>
      </c>
      <c r="C598">
        <v>1</v>
      </c>
      <c r="D598">
        <v>2011</v>
      </c>
      <c r="E598" t="s">
        <v>10</v>
      </c>
      <c r="F598">
        <v>1</v>
      </c>
      <c r="G598" t="b">
        <v>0</v>
      </c>
      <c r="H598" t="s">
        <v>17</v>
      </c>
      <c r="I598">
        <v>2</v>
      </c>
      <c r="J598">
        <v>0.2</v>
      </c>
      <c r="K598">
        <v>0.21210000000000001</v>
      </c>
      <c r="L598">
        <v>0.75</v>
      </c>
      <c r="M598">
        <v>0.1343</v>
      </c>
      <c r="N598">
        <v>1</v>
      </c>
      <c r="O598">
        <v>2</v>
      </c>
      <c r="P598">
        <v>3</v>
      </c>
      <c r="S598" t="str">
        <f>IF(Dataset_A[[#This Row],[Hr]]&gt;=19,"Evening Time",IF(Dataset_A[[#This Row],[Hr]]&gt;=9,"Day Time",IF(Dataset_A[[#This Row],[Hr]]&gt;=0,"Night Time","")))</f>
        <v>Night Time</v>
      </c>
    </row>
    <row r="599" spans="1:19" x14ac:dyDescent="0.2">
      <c r="A599">
        <v>598</v>
      </c>
      <c r="B599" s="3">
        <v>40571</v>
      </c>
      <c r="C599">
        <v>1</v>
      </c>
      <c r="D599">
        <v>2011</v>
      </c>
      <c r="E599" t="s">
        <v>10</v>
      </c>
      <c r="F599">
        <v>2</v>
      </c>
      <c r="G599" t="b">
        <v>0</v>
      </c>
      <c r="H599" t="s">
        <v>17</v>
      </c>
      <c r="I599">
        <v>2</v>
      </c>
      <c r="J599">
        <v>0.2</v>
      </c>
      <c r="K599">
        <v>0.21210000000000001</v>
      </c>
      <c r="L599">
        <v>0.75</v>
      </c>
      <c r="M599">
        <v>0.16420000000000001</v>
      </c>
      <c r="N599">
        <v>0</v>
      </c>
      <c r="O599">
        <v>2</v>
      </c>
      <c r="P599">
        <v>2</v>
      </c>
      <c r="S599" t="str">
        <f>IF(Dataset_A[[#This Row],[Hr]]&gt;=19,"Evening Time",IF(Dataset_A[[#This Row],[Hr]]&gt;=9,"Day Time",IF(Dataset_A[[#This Row],[Hr]]&gt;=0,"Night Time","")))</f>
        <v>Night Time</v>
      </c>
    </row>
    <row r="600" spans="1:19" x14ac:dyDescent="0.2">
      <c r="A600">
        <v>599</v>
      </c>
      <c r="B600" s="3">
        <v>40571</v>
      </c>
      <c r="C600">
        <v>1</v>
      </c>
      <c r="D600">
        <v>2011</v>
      </c>
      <c r="E600" t="s">
        <v>10</v>
      </c>
      <c r="F600">
        <v>3</v>
      </c>
      <c r="G600" t="b">
        <v>0</v>
      </c>
      <c r="H600" t="s">
        <v>17</v>
      </c>
      <c r="I600">
        <v>2</v>
      </c>
      <c r="J600">
        <v>0.2</v>
      </c>
      <c r="K600">
        <v>0.2273</v>
      </c>
      <c r="L600">
        <v>0.75</v>
      </c>
      <c r="M600">
        <v>0.1045</v>
      </c>
      <c r="N600">
        <v>1</v>
      </c>
      <c r="O600">
        <v>0</v>
      </c>
      <c r="P600">
        <v>1</v>
      </c>
      <c r="S600" t="str">
        <f>IF(Dataset_A[[#This Row],[Hr]]&gt;=19,"Evening Time",IF(Dataset_A[[#This Row],[Hr]]&gt;=9,"Day Time",IF(Dataset_A[[#This Row],[Hr]]&gt;=0,"Night Time","")))</f>
        <v>Night Time</v>
      </c>
    </row>
    <row r="601" spans="1:19" x14ac:dyDescent="0.2">
      <c r="A601">
        <v>600</v>
      </c>
      <c r="B601" s="3">
        <v>40571</v>
      </c>
      <c r="C601">
        <v>1</v>
      </c>
      <c r="D601">
        <v>2011</v>
      </c>
      <c r="E601" t="s">
        <v>10</v>
      </c>
      <c r="F601">
        <v>5</v>
      </c>
      <c r="G601" t="b">
        <v>0</v>
      </c>
      <c r="H601" t="s">
        <v>17</v>
      </c>
      <c r="I601">
        <v>2</v>
      </c>
      <c r="J601">
        <v>0.18</v>
      </c>
      <c r="K601">
        <v>0.21210000000000001</v>
      </c>
      <c r="L601">
        <v>0.8</v>
      </c>
      <c r="M601">
        <v>0.1045</v>
      </c>
      <c r="N601">
        <v>0</v>
      </c>
      <c r="O601">
        <v>4</v>
      </c>
      <c r="P601">
        <v>4</v>
      </c>
      <c r="S601" t="str">
        <f>IF(Dataset_A[[#This Row],[Hr]]&gt;=19,"Evening Time",IF(Dataset_A[[#This Row],[Hr]]&gt;=9,"Day Time",IF(Dataset_A[[#This Row],[Hr]]&gt;=0,"Night Time","")))</f>
        <v>Night Time</v>
      </c>
    </row>
    <row r="602" spans="1:19" x14ac:dyDescent="0.2">
      <c r="A602">
        <v>601</v>
      </c>
      <c r="B602" s="3">
        <v>40571</v>
      </c>
      <c r="C602">
        <v>1</v>
      </c>
      <c r="D602">
        <v>2011</v>
      </c>
      <c r="E602" t="s">
        <v>10</v>
      </c>
      <c r="F602">
        <v>6</v>
      </c>
      <c r="G602" t="b">
        <v>0</v>
      </c>
      <c r="H602" t="s">
        <v>17</v>
      </c>
      <c r="I602">
        <v>2</v>
      </c>
      <c r="J602">
        <v>0.18</v>
      </c>
      <c r="K602">
        <v>0.19700000000000001</v>
      </c>
      <c r="L602">
        <v>0.8</v>
      </c>
      <c r="M602">
        <v>0.1343</v>
      </c>
      <c r="N602">
        <v>0</v>
      </c>
      <c r="O602">
        <v>16</v>
      </c>
      <c r="P602">
        <v>16</v>
      </c>
      <c r="S602" t="str">
        <f>IF(Dataset_A[[#This Row],[Hr]]&gt;=19,"Evening Time",IF(Dataset_A[[#This Row],[Hr]]&gt;=9,"Day Time",IF(Dataset_A[[#This Row],[Hr]]&gt;=0,"Night Time","")))</f>
        <v>Night Time</v>
      </c>
    </row>
    <row r="603" spans="1:19" x14ac:dyDescent="0.2">
      <c r="A603">
        <v>602</v>
      </c>
      <c r="B603" s="3">
        <v>40571</v>
      </c>
      <c r="C603">
        <v>1</v>
      </c>
      <c r="D603">
        <v>2011</v>
      </c>
      <c r="E603" t="s">
        <v>10</v>
      </c>
      <c r="F603">
        <v>7</v>
      </c>
      <c r="G603" t="b">
        <v>0</v>
      </c>
      <c r="H603" t="s">
        <v>17</v>
      </c>
      <c r="I603">
        <v>2</v>
      </c>
      <c r="J603">
        <v>0.16</v>
      </c>
      <c r="K603">
        <v>0.19700000000000001</v>
      </c>
      <c r="L603">
        <v>0.86</v>
      </c>
      <c r="M603">
        <v>8.9599999999999999E-2</v>
      </c>
      <c r="N603">
        <v>2</v>
      </c>
      <c r="O603">
        <v>58</v>
      </c>
      <c r="P603">
        <v>60</v>
      </c>
      <c r="S603" t="str">
        <f>IF(Dataset_A[[#This Row],[Hr]]&gt;=19,"Evening Time",IF(Dataset_A[[#This Row],[Hr]]&gt;=9,"Day Time",IF(Dataset_A[[#This Row],[Hr]]&gt;=0,"Night Time","")))</f>
        <v>Night Time</v>
      </c>
    </row>
    <row r="604" spans="1:19" x14ac:dyDescent="0.2">
      <c r="A604">
        <v>603</v>
      </c>
      <c r="B604" s="3">
        <v>40571</v>
      </c>
      <c r="C604">
        <v>1</v>
      </c>
      <c r="D604">
        <v>2011</v>
      </c>
      <c r="E604" t="s">
        <v>10</v>
      </c>
      <c r="F604">
        <v>8</v>
      </c>
      <c r="G604" t="b">
        <v>0</v>
      </c>
      <c r="H604" t="s">
        <v>17</v>
      </c>
      <c r="I604">
        <v>2</v>
      </c>
      <c r="J604">
        <v>0.16</v>
      </c>
      <c r="K604">
        <v>0.19700000000000001</v>
      </c>
      <c r="L604">
        <v>0.86</v>
      </c>
      <c r="M604">
        <v>8.9599999999999999E-2</v>
      </c>
      <c r="N604">
        <v>2</v>
      </c>
      <c r="O604">
        <v>155</v>
      </c>
      <c r="P604">
        <v>157</v>
      </c>
      <c r="S604" t="str">
        <f>IF(Dataset_A[[#This Row],[Hr]]&gt;=19,"Evening Time",IF(Dataset_A[[#This Row],[Hr]]&gt;=9,"Day Time",IF(Dataset_A[[#This Row],[Hr]]&gt;=0,"Night Time","")))</f>
        <v>Night Time</v>
      </c>
    </row>
    <row r="605" spans="1:19" x14ac:dyDescent="0.2">
      <c r="A605">
        <v>604</v>
      </c>
      <c r="B605" s="3">
        <v>40571</v>
      </c>
      <c r="C605">
        <v>1</v>
      </c>
      <c r="D605">
        <v>2011</v>
      </c>
      <c r="E605" t="s">
        <v>10</v>
      </c>
      <c r="F605">
        <v>9</v>
      </c>
      <c r="G605" t="b">
        <v>0</v>
      </c>
      <c r="H605" t="s">
        <v>17</v>
      </c>
      <c r="I605">
        <v>3</v>
      </c>
      <c r="J605">
        <v>0.18</v>
      </c>
      <c r="K605">
        <v>0.21210000000000001</v>
      </c>
      <c r="L605">
        <v>0.86</v>
      </c>
      <c r="M605">
        <v>8.9599999999999999E-2</v>
      </c>
      <c r="N605">
        <v>6</v>
      </c>
      <c r="O605">
        <v>95</v>
      </c>
      <c r="P605">
        <v>101</v>
      </c>
      <c r="S605" t="str">
        <f>IF(Dataset_A[[#This Row],[Hr]]&gt;=19,"Evening Time",IF(Dataset_A[[#This Row],[Hr]]&gt;=9,"Day Time",IF(Dataset_A[[#This Row],[Hr]]&gt;=0,"Night Time","")))</f>
        <v>Day Time</v>
      </c>
    </row>
    <row r="606" spans="1:19" x14ac:dyDescent="0.2">
      <c r="A606">
        <v>605</v>
      </c>
      <c r="B606" s="3">
        <v>40571</v>
      </c>
      <c r="C606">
        <v>1</v>
      </c>
      <c r="D606">
        <v>2011</v>
      </c>
      <c r="E606" t="s">
        <v>10</v>
      </c>
      <c r="F606">
        <v>10</v>
      </c>
      <c r="G606" t="b">
        <v>0</v>
      </c>
      <c r="H606" t="s">
        <v>17</v>
      </c>
      <c r="I606">
        <v>3</v>
      </c>
      <c r="J606">
        <v>0.18</v>
      </c>
      <c r="K606">
        <v>0.21210000000000001</v>
      </c>
      <c r="L606">
        <v>0.86</v>
      </c>
      <c r="M606">
        <v>0.1045</v>
      </c>
      <c r="N606">
        <v>0</v>
      </c>
      <c r="O606">
        <v>49</v>
      </c>
      <c r="P606">
        <v>49</v>
      </c>
      <c r="S606" t="str">
        <f>IF(Dataset_A[[#This Row],[Hr]]&gt;=19,"Evening Time",IF(Dataset_A[[#This Row],[Hr]]&gt;=9,"Day Time",IF(Dataset_A[[#This Row],[Hr]]&gt;=0,"Night Time","")))</f>
        <v>Day Time</v>
      </c>
    </row>
    <row r="607" spans="1:19" x14ac:dyDescent="0.2">
      <c r="A607">
        <v>606</v>
      </c>
      <c r="B607" s="3">
        <v>40571</v>
      </c>
      <c r="C607">
        <v>1</v>
      </c>
      <c r="D607">
        <v>2011</v>
      </c>
      <c r="E607" t="s">
        <v>10</v>
      </c>
      <c r="F607">
        <v>11</v>
      </c>
      <c r="G607" t="b">
        <v>0</v>
      </c>
      <c r="H607" t="s">
        <v>17</v>
      </c>
      <c r="I607">
        <v>3</v>
      </c>
      <c r="J607">
        <v>0.18</v>
      </c>
      <c r="K607">
        <v>0.21210000000000001</v>
      </c>
      <c r="L607">
        <v>0.93</v>
      </c>
      <c r="M607">
        <v>0.1045</v>
      </c>
      <c r="N607">
        <v>0</v>
      </c>
      <c r="O607">
        <v>30</v>
      </c>
      <c r="P607">
        <v>30</v>
      </c>
      <c r="S607" t="str">
        <f>IF(Dataset_A[[#This Row],[Hr]]&gt;=19,"Evening Time",IF(Dataset_A[[#This Row],[Hr]]&gt;=9,"Day Time",IF(Dataset_A[[#This Row],[Hr]]&gt;=0,"Night Time","")))</f>
        <v>Day Time</v>
      </c>
    </row>
    <row r="608" spans="1:19" x14ac:dyDescent="0.2">
      <c r="A608">
        <v>607</v>
      </c>
      <c r="B608" s="3">
        <v>40571</v>
      </c>
      <c r="C608">
        <v>1</v>
      </c>
      <c r="D608">
        <v>2011</v>
      </c>
      <c r="E608" t="s">
        <v>10</v>
      </c>
      <c r="F608">
        <v>12</v>
      </c>
      <c r="G608" t="b">
        <v>0</v>
      </c>
      <c r="H608" t="s">
        <v>17</v>
      </c>
      <c r="I608">
        <v>3</v>
      </c>
      <c r="J608">
        <v>0.18</v>
      </c>
      <c r="K608">
        <v>0.21210000000000001</v>
      </c>
      <c r="L608">
        <v>0.93</v>
      </c>
      <c r="M608">
        <v>0.1045</v>
      </c>
      <c r="N608">
        <v>1</v>
      </c>
      <c r="O608">
        <v>28</v>
      </c>
      <c r="P608">
        <v>29</v>
      </c>
      <c r="S608" t="str">
        <f>IF(Dataset_A[[#This Row],[Hr]]&gt;=19,"Evening Time",IF(Dataset_A[[#This Row],[Hr]]&gt;=9,"Day Time",IF(Dataset_A[[#This Row],[Hr]]&gt;=0,"Night Time","")))</f>
        <v>Day Time</v>
      </c>
    </row>
    <row r="609" spans="1:19" x14ac:dyDescent="0.2">
      <c r="A609">
        <v>608</v>
      </c>
      <c r="B609" s="3">
        <v>40571</v>
      </c>
      <c r="C609">
        <v>1</v>
      </c>
      <c r="D609">
        <v>2011</v>
      </c>
      <c r="E609" t="s">
        <v>10</v>
      </c>
      <c r="F609">
        <v>13</v>
      </c>
      <c r="G609" t="b">
        <v>0</v>
      </c>
      <c r="H609" t="s">
        <v>17</v>
      </c>
      <c r="I609">
        <v>3</v>
      </c>
      <c r="J609">
        <v>0.18</v>
      </c>
      <c r="K609">
        <v>0.21210000000000001</v>
      </c>
      <c r="L609">
        <v>0.93</v>
      </c>
      <c r="M609">
        <v>0.1045</v>
      </c>
      <c r="N609">
        <v>0</v>
      </c>
      <c r="O609">
        <v>31</v>
      </c>
      <c r="P609">
        <v>31</v>
      </c>
      <c r="S609" t="str">
        <f>IF(Dataset_A[[#This Row],[Hr]]&gt;=19,"Evening Time",IF(Dataset_A[[#This Row],[Hr]]&gt;=9,"Day Time",IF(Dataset_A[[#This Row],[Hr]]&gt;=0,"Night Time","")))</f>
        <v>Day Time</v>
      </c>
    </row>
    <row r="610" spans="1:19" x14ac:dyDescent="0.2">
      <c r="A610">
        <v>609</v>
      </c>
      <c r="B610" s="3">
        <v>40571</v>
      </c>
      <c r="C610">
        <v>1</v>
      </c>
      <c r="D610">
        <v>2011</v>
      </c>
      <c r="E610" t="s">
        <v>10</v>
      </c>
      <c r="F610">
        <v>14</v>
      </c>
      <c r="G610" t="b">
        <v>0</v>
      </c>
      <c r="H610" t="s">
        <v>17</v>
      </c>
      <c r="I610">
        <v>3</v>
      </c>
      <c r="J610">
        <v>0.22</v>
      </c>
      <c r="K610">
        <v>0.2727</v>
      </c>
      <c r="L610">
        <v>0.8</v>
      </c>
      <c r="M610">
        <v>0</v>
      </c>
      <c r="N610">
        <v>2</v>
      </c>
      <c r="O610">
        <v>36</v>
      </c>
      <c r="P610">
        <v>38</v>
      </c>
      <c r="S610" t="str">
        <f>IF(Dataset_A[[#This Row],[Hr]]&gt;=19,"Evening Time",IF(Dataset_A[[#This Row],[Hr]]&gt;=9,"Day Time",IF(Dataset_A[[#This Row],[Hr]]&gt;=0,"Night Time","")))</f>
        <v>Day Time</v>
      </c>
    </row>
    <row r="611" spans="1:19" x14ac:dyDescent="0.2">
      <c r="A611">
        <v>610</v>
      </c>
      <c r="B611" s="3">
        <v>40571</v>
      </c>
      <c r="C611">
        <v>1</v>
      </c>
      <c r="D611">
        <v>2011</v>
      </c>
      <c r="E611" t="s">
        <v>10</v>
      </c>
      <c r="F611">
        <v>15</v>
      </c>
      <c r="G611" t="b">
        <v>0</v>
      </c>
      <c r="H611" t="s">
        <v>17</v>
      </c>
      <c r="I611">
        <v>2</v>
      </c>
      <c r="J611">
        <v>0.2</v>
      </c>
      <c r="K611">
        <v>0.2576</v>
      </c>
      <c r="L611">
        <v>0.86</v>
      </c>
      <c r="M611">
        <v>0</v>
      </c>
      <c r="N611">
        <v>1</v>
      </c>
      <c r="O611">
        <v>40</v>
      </c>
      <c r="P611">
        <v>41</v>
      </c>
      <c r="S611" t="str">
        <f>IF(Dataset_A[[#This Row],[Hr]]&gt;=19,"Evening Time",IF(Dataset_A[[#This Row],[Hr]]&gt;=9,"Day Time",IF(Dataset_A[[#This Row],[Hr]]&gt;=0,"Night Time","")))</f>
        <v>Day Time</v>
      </c>
    </row>
    <row r="612" spans="1:19" x14ac:dyDescent="0.2">
      <c r="A612">
        <v>611</v>
      </c>
      <c r="B612" s="3">
        <v>40572</v>
      </c>
      <c r="C612">
        <v>1</v>
      </c>
      <c r="D612">
        <v>2011</v>
      </c>
      <c r="E612" t="s">
        <v>10</v>
      </c>
      <c r="F612">
        <v>1</v>
      </c>
      <c r="G612" t="b">
        <v>0</v>
      </c>
      <c r="H612" t="s">
        <v>11</v>
      </c>
      <c r="I612">
        <v>1</v>
      </c>
      <c r="J612">
        <v>0.22</v>
      </c>
      <c r="K612">
        <v>0.2273</v>
      </c>
      <c r="L612">
        <v>0.64</v>
      </c>
      <c r="M612">
        <v>0.19400000000000001</v>
      </c>
      <c r="N612">
        <v>0</v>
      </c>
      <c r="O612">
        <v>20</v>
      </c>
      <c r="P612">
        <v>20</v>
      </c>
      <c r="S612" t="str">
        <f>IF(Dataset_A[[#This Row],[Hr]]&gt;=19,"Evening Time",IF(Dataset_A[[#This Row],[Hr]]&gt;=9,"Day Time",IF(Dataset_A[[#This Row],[Hr]]&gt;=0,"Night Time","")))</f>
        <v>Night Time</v>
      </c>
    </row>
    <row r="613" spans="1:19" x14ac:dyDescent="0.2">
      <c r="A613">
        <v>612</v>
      </c>
      <c r="B613" s="3">
        <v>40572</v>
      </c>
      <c r="C613">
        <v>1</v>
      </c>
      <c r="D613">
        <v>2011</v>
      </c>
      <c r="E613" t="s">
        <v>10</v>
      </c>
      <c r="F613">
        <v>2</v>
      </c>
      <c r="G613" t="b">
        <v>0</v>
      </c>
      <c r="H613" t="s">
        <v>11</v>
      </c>
      <c r="I613">
        <v>1</v>
      </c>
      <c r="J613">
        <v>0.22</v>
      </c>
      <c r="K613">
        <v>0.2273</v>
      </c>
      <c r="L613">
        <v>0.64</v>
      </c>
      <c r="M613">
        <v>0.16420000000000001</v>
      </c>
      <c r="N613">
        <v>0</v>
      </c>
      <c r="O613">
        <v>15</v>
      </c>
      <c r="P613">
        <v>15</v>
      </c>
      <c r="S613" t="str">
        <f>IF(Dataset_A[[#This Row],[Hr]]&gt;=19,"Evening Time",IF(Dataset_A[[#This Row],[Hr]]&gt;=9,"Day Time",IF(Dataset_A[[#This Row],[Hr]]&gt;=0,"Night Time","")))</f>
        <v>Night Time</v>
      </c>
    </row>
    <row r="614" spans="1:19" x14ac:dyDescent="0.2">
      <c r="A614">
        <v>613</v>
      </c>
      <c r="B614" s="3">
        <v>40572</v>
      </c>
      <c r="C614">
        <v>1</v>
      </c>
      <c r="D614">
        <v>2011</v>
      </c>
      <c r="E614" t="s">
        <v>10</v>
      </c>
      <c r="F614">
        <v>3</v>
      </c>
      <c r="G614" t="b">
        <v>0</v>
      </c>
      <c r="H614" t="s">
        <v>11</v>
      </c>
      <c r="I614">
        <v>1</v>
      </c>
      <c r="J614">
        <v>0.2</v>
      </c>
      <c r="K614">
        <v>0.21210000000000001</v>
      </c>
      <c r="L614">
        <v>0.64</v>
      </c>
      <c r="M614">
        <v>0.1343</v>
      </c>
      <c r="N614">
        <v>3</v>
      </c>
      <c r="O614">
        <v>5</v>
      </c>
      <c r="P614">
        <v>8</v>
      </c>
      <c r="S614" t="str">
        <f>IF(Dataset_A[[#This Row],[Hr]]&gt;=19,"Evening Time",IF(Dataset_A[[#This Row],[Hr]]&gt;=9,"Day Time",IF(Dataset_A[[#This Row],[Hr]]&gt;=0,"Night Time","")))</f>
        <v>Night Time</v>
      </c>
    </row>
    <row r="615" spans="1:19" x14ac:dyDescent="0.2">
      <c r="A615">
        <v>614</v>
      </c>
      <c r="B615" s="3">
        <v>40572</v>
      </c>
      <c r="C615">
        <v>1</v>
      </c>
      <c r="D615">
        <v>2011</v>
      </c>
      <c r="E615" t="s">
        <v>10</v>
      </c>
      <c r="F615">
        <v>4</v>
      </c>
      <c r="G615" t="b">
        <v>0</v>
      </c>
      <c r="H615" t="s">
        <v>11</v>
      </c>
      <c r="I615">
        <v>1</v>
      </c>
      <c r="J615">
        <v>0.16</v>
      </c>
      <c r="K615">
        <v>0.18179999999999999</v>
      </c>
      <c r="L615">
        <v>0.69</v>
      </c>
      <c r="M615">
        <v>0.1045</v>
      </c>
      <c r="N615">
        <v>1</v>
      </c>
      <c r="O615">
        <v>2</v>
      </c>
      <c r="P615">
        <v>3</v>
      </c>
      <c r="S615" t="str">
        <f>IF(Dataset_A[[#This Row],[Hr]]&gt;=19,"Evening Time",IF(Dataset_A[[#This Row],[Hr]]&gt;=9,"Day Time",IF(Dataset_A[[#This Row],[Hr]]&gt;=0,"Night Time","")))</f>
        <v>Night Time</v>
      </c>
    </row>
    <row r="616" spans="1:19" x14ac:dyDescent="0.2">
      <c r="A616">
        <v>615</v>
      </c>
      <c r="B616" s="3">
        <v>40572</v>
      </c>
      <c r="C616">
        <v>1</v>
      </c>
      <c r="D616">
        <v>2011</v>
      </c>
      <c r="E616" t="s">
        <v>10</v>
      </c>
      <c r="F616">
        <v>6</v>
      </c>
      <c r="G616" t="b">
        <v>0</v>
      </c>
      <c r="H616" t="s">
        <v>11</v>
      </c>
      <c r="I616">
        <v>1</v>
      </c>
      <c r="J616">
        <v>0.16</v>
      </c>
      <c r="K616">
        <v>0.18179999999999999</v>
      </c>
      <c r="L616">
        <v>0.64</v>
      </c>
      <c r="M616">
        <v>0.1343</v>
      </c>
      <c r="N616">
        <v>0</v>
      </c>
      <c r="O616">
        <v>2</v>
      </c>
      <c r="P616">
        <v>2</v>
      </c>
      <c r="S616" t="str">
        <f>IF(Dataset_A[[#This Row],[Hr]]&gt;=19,"Evening Time",IF(Dataset_A[[#This Row],[Hr]]&gt;=9,"Day Time",IF(Dataset_A[[#This Row],[Hr]]&gt;=0,"Night Time","")))</f>
        <v>Night Time</v>
      </c>
    </row>
    <row r="617" spans="1:19" x14ac:dyDescent="0.2">
      <c r="A617">
        <v>616</v>
      </c>
      <c r="B617" s="3">
        <v>40572</v>
      </c>
      <c r="C617">
        <v>1</v>
      </c>
      <c r="D617">
        <v>2011</v>
      </c>
      <c r="E617" t="s">
        <v>10</v>
      </c>
      <c r="F617">
        <v>7</v>
      </c>
      <c r="G617" t="b">
        <v>0</v>
      </c>
      <c r="H617" t="s">
        <v>11</v>
      </c>
      <c r="I617">
        <v>1</v>
      </c>
      <c r="J617">
        <v>0.16</v>
      </c>
      <c r="K617">
        <v>0.18179999999999999</v>
      </c>
      <c r="L617">
        <v>0.59</v>
      </c>
      <c r="M617">
        <v>0.1045</v>
      </c>
      <c r="N617">
        <v>1</v>
      </c>
      <c r="O617">
        <v>4</v>
      </c>
      <c r="P617">
        <v>5</v>
      </c>
      <c r="S617" t="str">
        <f>IF(Dataset_A[[#This Row],[Hr]]&gt;=19,"Evening Time",IF(Dataset_A[[#This Row],[Hr]]&gt;=9,"Day Time",IF(Dataset_A[[#This Row],[Hr]]&gt;=0,"Night Time","")))</f>
        <v>Night Time</v>
      </c>
    </row>
    <row r="618" spans="1:19" x14ac:dyDescent="0.2">
      <c r="A618">
        <v>617</v>
      </c>
      <c r="B618" s="3">
        <v>40572</v>
      </c>
      <c r="C618">
        <v>1</v>
      </c>
      <c r="D618">
        <v>2011</v>
      </c>
      <c r="E618" t="s">
        <v>10</v>
      </c>
      <c r="F618">
        <v>8</v>
      </c>
      <c r="G618" t="b">
        <v>0</v>
      </c>
      <c r="H618" t="s">
        <v>11</v>
      </c>
      <c r="I618">
        <v>1</v>
      </c>
      <c r="J618">
        <v>0.18</v>
      </c>
      <c r="K618">
        <v>0.19700000000000001</v>
      </c>
      <c r="L618">
        <v>0.55000000000000004</v>
      </c>
      <c r="M618">
        <v>0.16420000000000001</v>
      </c>
      <c r="N618">
        <v>3</v>
      </c>
      <c r="O618">
        <v>31</v>
      </c>
      <c r="P618">
        <v>34</v>
      </c>
      <c r="S618" t="str">
        <f>IF(Dataset_A[[#This Row],[Hr]]&gt;=19,"Evening Time",IF(Dataset_A[[#This Row],[Hr]]&gt;=9,"Day Time",IF(Dataset_A[[#This Row],[Hr]]&gt;=0,"Night Time","")))</f>
        <v>Night Time</v>
      </c>
    </row>
    <row r="619" spans="1:19" x14ac:dyDescent="0.2">
      <c r="A619">
        <v>618</v>
      </c>
      <c r="B619" s="3">
        <v>40572</v>
      </c>
      <c r="C619">
        <v>1</v>
      </c>
      <c r="D619">
        <v>2011</v>
      </c>
      <c r="E619" t="s">
        <v>10</v>
      </c>
      <c r="F619">
        <v>9</v>
      </c>
      <c r="G619" t="b">
        <v>0</v>
      </c>
      <c r="H619" t="s">
        <v>11</v>
      </c>
      <c r="I619">
        <v>1</v>
      </c>
      <c r="J619">
        <v>0.18</v>
      </c>
      <c r="K619">
        <v>0.21210000000000001</v>
      </c>
      <c r="L619">
        <v>0.59</v>
      </c>
      <c r="M619">
        <v>8.9599999999999999E-2</v>
      </c>
      <c r="N619">
        <v>0</v>
      </c>
      <c r="O619">
        <v>34</v>
      </c>
      <c r="P619">
        <v>34</v>
      </c>
      <c r="S619" t="str">
        <f>IF(Dataset_A[[#This Row],[Hr]]&gt;=19,"Evening Time",IF(Dataset_A[[#This Row],[Hr]]&gt;=9,"Day Time",IF(Dataset_A[[#This Row],[Hr]]&gt;=0,"Night Time","")))</f>
        <v>Day Time</v>
      </c>
    </row>
    <row r="620" spans="1:19" x14ac:dyDescent="0.2">
      <c r="A620">
        <v>619</v>
      </c>
      <c r="B620" s="3">
        <v>40572</v>
      </c>
      <c r="C620">
        <v>1</v>
      </c>
      <c r="D620">
        <v>2011</v>
      </c>
      <c r="E620" t="s">
        <v>10</v>
      </c>
      <c r="F620">
        <v>10</v>
      </c>
      <c r="G620" t="b">
        <v>0</v>
      </c>
      <c r="H620" t="s">
        <v>11</v>
      </c>
      <c r="I620">
        <v>2</v>
      </c>
      <c r="J620">
        <v>0.18</v>
      </c>
      <c r="K620">
        <v>0.21210000000000001</v>
      </c>
      <c r="L620">
        <v>0.64</v>
      </c>
      <c r="M620">
        <v>0.1045</v>
      </c>
      <c r="N620">
        <v>4</v>
      </c>
      <c r="O620">
        <v>51</v>
      </c>
      <c r="P620">
        <v>55</v>
      </c>
      <c r="S620" t="str">
        <f>IF(Dataset_A[[#This Row],[Hr]]&gt;=19,"Evening Time",IF(Dataset_A[[#This Row],[Hr]]&gt;=9,"Day Time",IF(Dataset_A[[#This Row],[Hr]]&gt;=0,"Night Time","")))</f>
        <v>Day Time</v>
      </c>
    </row>
    <row r="621" spans="1:19" x14ac:dyDescent="0.2">
      <c r="A621">
        <v>620</v>
      </c>
      <c r="B621" s="3">
        <v>40572</v>
      </c>
      <c r="C621">
        <v>1</v>
      </c>
      <c r="D621">
        <v>2011</v>
      </c>
      <c r="E621" t="s">
        <v>10</v>
      </c>
      <c r="F621">
        <v>11</v>
      </c>
      <c r="G621" t="b">
        <v>0</v>
      </c>
      <c r="H621" t="s">
        <v>11</v>
      </c>
      <c r="I621">
        <v>2</v>
      </c>
      <c r="J621">
        <v>0.18</v>
      </c>
      <c r="K621">
        <v>0.19700000000000001</v>
      </c>
      <c r="L621">
        <v>0.64</v>
      </c>
      <c r="M621">
        <v>0.1343</v>
      </c>
      <c r="N621">
        <v>4</v>
      </c>
      <c r="O621">
        <v>60</v>
      </c>
      <c r="P621">
        <v>64</v>
      </c>
      <c r="S621" t="str">
        <f>IF(Dataset_A[[#This Row],[Hr]]&gt;=19,"Evening Time",IF(Dataset_A[[#This Row],[Hr]]&gt;=9,"Day Time",IF(Dataset_A[[#This Row],[Hr]]&gt;=0,"Night Time","")))</f>
        <v>Day Time</v>
      </c>
    </row>
    <row r="622" spans="1:19" x14ac:dyDescent="0.2">
      <c r="A622">
        <v>621</v>
      </c>
      <c r="B622" s="3">
        <v>40572</v>
      </c>
      <c r="C622">
        <v>1</v>
      </c>
      <c r="D622">
        <v>2011</v>
      </c>
      <c r="E622" t="s">
        <v>10</v>
      </c>
      <c r="F622">
        <v>12</v>
      </c>
      <c r="G622" t="b">
        <v>0</v>
      </c>
      <c r="H622" t="s">
        <v>11</v>
      </c>
      <c r="I622">
        <v>2</v>
      </c>
      <c r="J622">
        <v>0.2</v>
      </c>
      <c r="K622">
        <v>0.19700000000000001</v>
      </c>
      <c r="L622">
        <v>0.59</v>
      </c>
      <c r="M622">
        <v>0.19400000000000001</v>
      </c>
      <c r="N622">
        <v>12</v>
      </c>
      <c r="O622">
        <v>66</v>
      </c>
      <c r="P622">
        <v>78</v>
      </c>
      <c r="S622" t="str">
        <f>IF(Dataset_A[[#This Row],[Hr]]&gt;=19,"Evening Time",IF(Dataset_A[[#This Row],[Hr]]&gt;=9,"Day Time",IF(Dataset_A[[#This Row],[Hr]]&gt;=0,"Night Time","")))</f>
        <v>Day Time</v>
      </c>
    </row>
    <row r="623" spans="1:19" x14ac:dyDescent="0.2">
      <c r="A623">
        <v>622</v>
      </c>
      <c r="B623" s="3">
        <v>40572</v>
      </c>
      <c r="C623">
        <v>1</v>
      </c>
      <c r="D623">
        <v>2011</v>
      </c>
      <c r="E623" t="s">
        <v>10</v>
      </c>
      <c r="F623">
        <v>13</v>
      </c>
      <c r="G623" t="b">
        <v>0</v>
      </c>
      <c r="H623" t="s">
        <v>11</v>
      </c>
      <c r="I623">
        <v>2</v>
      </c>
      <c r="J623">
        <v>0.22</v>
      </c>
      <c r="K623">
        <v>0.2273</v>
      </c>
      <c r="L623">
        <v>0.55000000000000004</v>
      </c>
      <c r="M623">
        <v>0.16420000000000001</v>
      </c>
      <c r="N623">
        <v>9</v>
      </c>
      <c r="O623">
        <v>56</v>
      </c>
      <c r="P623">
        <v>65</v>
      </c>
      <c r="S623" t="str">
        <f>IF(Dataset_A[[#This Row],[Hr]]&gt;=19,"Evening Time",IF(Dataset_A[[#This Row],[Hr]]&gt;=9,"Day Time",IF(Dataset_A[[#This Row],[Hr]]&gt;=0,"Night Time","")))</f>
        <v>Day Time</v>
      </c>
    </row>
    <row r="624" spans="1:19" x14ac:dyDescent="0.2">
      <c r="A624">
        <v>623</v>
      </c>
      <c r="B624" s="3">
        <v>40572</v>
      </c>
      <c r="C624">
        <v>1</v>
      </c>
      <c r="D624">
        <v>2011</v>
      </c>
      <c r="E624" t="s">
        <v>10</v>
      </c>
      <c r="F624">
        <v>14</v>
      </c>
      <c r="G624" t="b">
        <v>0</v>
      </c>
      <c r="H624" t="s">
        <v>11</v>
      </c>
      <c r="I624">
        <v>2</v>
      </c>
      <c r="J624">
        <v>0.22</v>
      </c>
      <c r="K624">
        <v>0.2273</v>
      </c>
      <c r="L624">
        <v>0.6</v>
      </c>
      <c r="M624">
        <v>0.1343</v>
      </c>
      <c r="N624">
        <v>10</v>
      </c>
      <c r="O624">
        <v>89</v>
      </c>
      <c r="P624">
        <v>99</v>
      </c>
      <c r="S624" t="str">
        <f>IF(Dataset_A[[#This Row],[Hr]]&gt;=19,"Evening Time",IF(Dataset_A[[#This Row],[Hr]]&gt;=9,"Day Time",IF(Dataset_A[[#This Row],[Hr]]&gt;=0,"Night Time","")))</f>
        <v>Day Time</v>
      </c>
    </row>
    <row r="625" spans="1:19" x14ac:dyDescent="0.2">
      <c r="A625">
        <v>624</v>
      </c>
      <c r="B625" s="3">
        <v>40572</v>
      </c>
      <c r="C625">
        <v>1</v>
      </c>
      <c r="D625">
        <v>2011</v>
      </c>
      <c r="E625" t="s">
        <v>10</v>
      </c>
      <c r="F625">
        <v>15</v>
      </c>
      <c r="G625" t="b">
        <v>0</v>
      </c>
      <c r="H625" t="s">
        <v>11</v>
      </c>
      <c r="I625">
        <v>1</v>
      </c>
      <c r="J625">
        <v>0.22</v>
      </c>
      <c r="K625">
        <v>0.21210000000000001</v>
      </c>
      <c r="L625">
        <v>0.69</v>
      </c>
      <c r="M625">
        <v>0.25369999999999998</v>
      </c>
      <c r="N625">
        <v>22</v>
      </c>
      <c r="O625">
        <v>98</v>
      </c>
      <c r="P625">
        <v>120</v>
      </c>
      <c r="S625" t="str">
        <f>IF(Dataset_A[[#This Row],[Hr]]&gt;=19,"Evening Time",IF(Dataset_A[[#This Row],[Hr]]&gt;=9,"Day Time",IF(Dataset_A[[#This Row],[Hr]]&gt;=0,"Night Time","")))</f>
        <v>Day Time</v>
      </c>
    </row>
    <row r="626" spans="1:19" x14ac:dyDescent="0.2">
      <c r="A626">
        <v>625</v>
      </c>
      <c r="B626" s="3">
        <v>40572</v>
      </c>
      <c r="C626">
        <v>1</v>
      </c>
      <c r="D626">
        <v>2011</v>
      </c>
      <c r="E626" t="s">
        <v>10</v>
      </c>
      <c r="F626">
        <v>16</v>
      </c>
      <c r="G626" t="b">
        <v>0</v>
      </c>
      <c r="H626" t="s">
        <v>11</v>
      </c>
      <c r="I626">
        <v>1</v>
      </c>
      <c r="J626">
        <v>0.24</v>
      </c>
      <c r="K626">
        <v>0.2424</v>
      </c>
      <c r="L626">
        <v>0.6</v>
      </c>
      <c r="M626">
        <v>0.16420000000000001</v>
      </c>
      <c r="N626">
        <v>19</v>
      </c>
      <c r="O626">
        <v>88</v>
      </c>
      <c r="P626">
        <v>107</v>
      </c>
      <c r="S626" t="str">
        <f>IF(Dataset_A[[#This Row],[Hr]]&gt;=19,"Evening Time",IF(Dataset_A[[#This Row],[Hr]]&gt;=9,"Day Time",IF(Dataset_A[[#This Row],[Hr]]&gt;=0,"Night Time","")))</f>
        <v>Day Time</v>
      </c>
    </row>
    <row r="627" spans="1:19" x14ac:dyDescent="0.2">
      <c r="A627">
        <v>626</v>
      </c>
      <c r="B627" s="3">
        <v>40572</v>
      </c>
      <c r="C627">
        <v>1</v>
      </c>
      <c r="D627">
        <v>2011</v>
      </c>
      <c r="E627" t="s">
        <v>10</v>
      </c>
      <c r="F627">
        <v>17</v>
      </c>
      <c r="G627" t="b">
        <v>0</v>
      </c>
      <c r="H627" t="s">
        <v>11</v>
      </c>
      <c r="I627">
        <v>1</v>
      </c>
      <c r="J627">
        <v>0.24</v>
      </c>
      <c r="K627">
        <v>0.28789999999999999</v>
      </c>
      <c r="L627">
        <v>0.6</v>
      </c>
      <c r="M627">
        <v>0</v>
      </c>
      <c r="N627">
        <v>9</v>
      </c>
      <c r="O627">
        <v>82</v>
      </c>
      <c r="P627">
        <v>91</v>
      </c>
      <c r="S627" t="str">
        <f>IF(Dataset_A[[#This Row],[Hr]]&gt;=19,"Evening Time",IF(Dataset_A[[#This Row],[Hr]]&gt;=9,"Day Time",IF(Dataset_A[[#This Row],[Hr]]&gt;=0,"Night Time","")))</f>
        <v>Day Time</v>
      </c>
    </row>
    <row r="628" spans="1:19" x14ac:dyDescent="0.2">
      <c r="A628">
        <v>627</v>
      </c>
      <c r="B628" s="3">
        <v>40572</v>
      </c>
      <c r="C628">
        <v>1</v>
      </c>
      <c r="D628">
        <v>2011</v>
      </c>
      <c r="E628" t="s">
        <v>10</v>
      </c>
      <c r="F628">
        <v>18</v>
      </c>
      <c r="G628" t="b">
        <v>0</v>
      </c>
      <c r="H628" t="s">
        <v>11</v>
      </c>
      <c r="I628">
        <v>1</v>
      </c>
      <c r="J628">
        <v>0.22</v>
      </c>
      <c r="K628">
        <v>0.2273</v>
      </c>
      <c r="L628">
        <v>0.69</v>
      </c>
      <c r="M628">
        <v>0.1343</v>
      </c>
      <c r="N628">
        <v>9</v>
      </c>
      <c r="O628">
        <v>59</v>
      </c>
      <c r="P628">
        <v>68</v>
      </c>
      <c r="S628" t="str">
        <f>IF(Dataset_A[[#This Row],[Hr]]&gt;=19,"Evening Time",IF(Dataset_A[[#This Row],[Hr]]&gt;=9,"Day Time",IF(Dataset_A[[#This Row],[Hr]]&gt;=0,"Night Time","")))</f>
        <v>Day Time</v>
      </c>
    </row>
    <row r="629" spans="1:19" x14ac:dyDescent="0.2">
      <c r="A629">
        <v>628</v>
      </c>
      <c r="B629" s="3">
        <v>40572</v>
      </c>
      <c r="C629">
        <v>1</v>
      </c>
      <c r="D629">
        <v>2011</v>
      </c>
      <c r="E629" t="s">
        <v>10</v>
      </c>
      <c r="F629">
        <v>19</v>
      </c>
      <c r="G629" t="b">
        <v>0</v>
      </c>
      <c r="H629" t="s">
        <v>11</v>
      </c>
      <c r="I629">
        <v>2</v>
      </c>
      <c r="J629">
        <v>0.22</v>
      </c>
      <c r="K629">
        <v>0.21210000000000001</v>
      </c>
      <c r="L629">
        <v>0.69</v>
      </c>
      <c r="M629">
        <v>0.25369999999999998</v>
      </c>
      <c r="N629">
        <v>6</v>
      </c>
      <c r="O629">
        <v>52</v>
      </c>
      <c r="P629">
        <v>58</v>
      </c>
      <c r="S629" t="str">
        <f>IF(Dataset_A[[#This Row],[Hr]]&gt;=19,"Evening Time",IF(Dataset_A[[#This Row],[Hr]]&gt;=9,"Day Time",IF(Dataset_A[[#This Row],[Hr]]&gt;=0,"Night Time","")))</f>
        <v>Evening Time</v>
      </c>
    </row>
    <row r="630" spans="1:19" x14ac:dyDescent="0.2">
      <c r="A630">
        <v>629</v>
      </c>
      <c r="B630" s="3">
        <v>40572</v>
      </c>
      <c r="C630">
        <v>1</v>
      </c>
      <c r="D630">
        <v>2011</v>
      </c>
      <c r="E630" t="s">
        <v>10</v>
      </c>
      <c r="F630">
        <v>20</v>
      </c>
      <c r="G630" t="b">
        <v>0</v>
      </c>
      <c r="H630" t="s">
        <v>11</v>
      </c>
      <c r="I630">
        <v>1</v>
      </c>
      <c r="J630">
        <v>0.18</v>
      </c>
      <c r="K630">
        <v>0.21210000000000001</v>
      </c>
      <c r="L630">
        <v>0.74</v>
      </c>
      <c r="M630">
        <v>8.9599999999999999E-2</v>
      </c>
      <c r="N630">
        <v>1</v>
      </c>
      <c r="O630">
        <v>42</v>
      </c>
      <c r="P630">
        <v>43</v>
      </c>
      <c r="S630" t="str">
        <f>IF(Dataset_A[[#This Row],[Hr]]&gt;=19,"Evening Time",IF(Dataset_A[[#This Row],[Hr]]&gt;=9,"Day Time",IF(Dataset_A[[#This Row],[Hr]]&gt;=0,"Night Time","")))</f>
        <v>Evening Time</v>
      </c>
    </row>
    <row r="631" spans="1:19" x14ac:dyDescent="0.2">
      <c r="A631">
        <v>630</v>
      </c>
      <c r="B631" s="3">
        <v>40572</v>
      </c>
      <c r="C631">
        <v>1</v>
      </c>
      <c r="D631">
        <v>2011</v>
      </c>
      <c r="E631" t="s">
        <v>10</v>
      </c>
      <c r="F631">
        <v>21</v>
      </c>
      <c r="G631" t="b">
        <v>0</v>
      </c>
      <c r="H631" t="s">
        <v>11</v>
      </c>
      <c r="I631">
        <v>1</v>
      </c>
      <c r="J631">
        <v>0.18</v>
      </c>
      <c r="K631">
        <v>0.21210000000000001</v>
      </c>
      <c r="L631">
        <v>0.74</v>
      </c>
      <c r="M631">
        <v>8.9599999999999999E-2</v>
      </c>
      <c r="N631">
        <v>1</v>
      </c>
      <c r="O631">
        <v>35</v>
      </c>
      <c r="P631">
        <v>36</v>
      </c>
      <c r="S631" t="str">
        <f>IF(Dataset_A[[#This Row],[Hr]]&gt;=19,"Evening Time",IF(Dataset_A[[#This Row],[Hr]]&gt;=9,"Day Time",IF(Dataset_A[[#This Row],[Hr]]&gt;=0,"Night Time","")))</f>
        <v>Evening Time</v>
      </c>
    </row>
    <row r="632" spans="1:19" x14ac:dyDescent="0.2">
      <c r="A632">
        <v>631</v>
      </c>
      <c r="B632" s="3">
        <v>40572</v>
      </c>
      <c r="C632">
        <v>1</v>
      </c>
      <c r="D632">
        <v>2011</v>
      </c>
      <c r="E632" t="s">
        <v>10</v>
      </c>
      <c r="F632">
        <v>22</v>
      </c>
      <c r="G632" t="b">
        <v>0</v>
      </c>
      <c r="H632" t="s">
        <v>11</v>
      </c>
      <c r="I632">
        <v>1</v>
      </c>
      <c r="J632">
        <v>0.16</v>
      </c>
      <c r="K632">
        <v>0.19700000000000001</v>
      </c>
      <c r="L632">
        <v>0.8</v>
      </c>
      <c r="M632">
        <v>8.9599999999999999E-2</v>
      </c>
      <c r="N632">
        <v>4</v>
      </c>
      <c r="O632">
        <v>28</v>
      </c>
      <c r="P632">
        <v>32</v>
      </c>
      <c r="S632" t="str">
        <f>IF(Dataset_A[[#This Row],[Hr]]&gt;=19,"Evening Time",IF(Dataset_A[[#This Row],[Hr]]&gt;=9,"Day Time",IF(Dataset_A[[#This Row],[Hr]]&gt;=0,"Night Time","")))</f>
        <v>Evening Time</v>
      </c>
    </row>
    <row r="633" spans="1:19" x14ac:dyDescent="0.2">
      <c r="A633">
        <v>632</v>
      </c>
      <c r="B633" s="3">
        <v>40572</v>
      </c>
      <c r="C633">
        <v>1</v>
      </c>
      <c r="D633">
        <v>2011</v>
      </c>
      <c r="E633" t="s">
        <v>10</v>
      </c>
      <c r="F633">
        <v>23</v>
      </c>
      <c r="G633" t="b">
        <v>0</v>
      </c>
      <c r="H633" t="s">
        <v>11</v>
      </c>
      <c r="I633">
        <v>1</v>
      </c>
      <c r="J633">
        <v>0.16</v>
      </c>
      <c r="K633">
        <v>0.19700000000000001</v>
      </c>
      <c r="L633">
        <v>0.8</v>
      </c>
      <c r="M633">
        <v>8.9599999999999999E-2</v>
      </c>
      <c r="N633">
        <v>3</v>
      </c>
      <c r="O633">
        <v>30</v>
      </c>
      <c r="P633">
        <v>33</v>
      </c>
      <c r="S633" t="str">
        <f>IF(Dataset_A[[#This Row],[Hr]]&gt;=19,"Evening Time",IF(Dataset_A[[#This Row],[Hr]]&gt;=9,"Day Time",IF(Dataset_A[[#This Row],[Hr]]&gt;=0,"Night Time","")))</f>
        <v>Evening Time</v>
      </c>
    </row>
    <row r="634" spans="1:19" x14ac:dyDescent="0.2">
      <c r="A634">
        <v>633</v>
      </c>
      <c r="B634" s="3">
        <v>40573</v>
      </c>
      <c r="C634">
        <v>1</v>
      </c>
      <c r="D634">
        <v>2011</v>
      </c>
      <c r="E634" t="s">
        <v>10</v>
      </c>
      <c r="F634">
        <v>0</v>
      </c>
      <c r="G634" t="b">
        <v>1</v>
      </c>
      <c r="H634" t="s">
        <v>12</v>
      </c>
      <c r="I634">
        <v>1</v>
      </c>
      <c r="J634">
        <v>0.16</v>
      </c>
      <c r="K634">
        <v>0.18179999999999999</v>
      </c>
      <c r="L634">
        <v>0.8</v>
      </c>
      <c r="M634">
        <v>0.1045</v>
      </c>
      <c r="N634">
        <v>0</v>
      </c>
      <c r="O634">
        <v>33</v>
      </c>
      <c r="P634">
        <v>33</v>
      </c>
      <c r="S634" t="str">
        <f>IF(Dataset_A[[#This Row],[Hr]]&gt;=19,"Evening Time",IF(Dataset_A[[#This Row],[Hr]]&gt;=9,"Day Time",IF(Dataset_A[[#This Row],[Hr]]&gt;=0,"Night Time","")))</f>
        <v>Night Time</v>
      </c>
    </row>
    <row r="635" spans="1:19" x14ac:dyDescent="0.2">
      <c r="A635">
        <v>634</v>
      </c>
      <c r="B635" s="3">
        <v>40573</v>
      </c>
      <c r="C635">
        <v>1</v>
      </c>
      <c r="D635">
        <v>2011</v>
      </c>
      <c r="E635" t="s">
        <v>10</v>
      </c>
      <c r="F635">
        <v>1</v>
      </c>
      <c r="G635" t="b">
        <v>1</v>
      </c>
      <c r="H635" t="s">
        <v>12</v>
      </c>
      <c r="I635">
        <v>1</v>
      </c>
      <c r="J635">
        <v>0.14000000000000001</v>
      </c>
      <c r="K635">
        <v>0.21210000000000001</v>
      </c>
      <c r="L635">
        <v>0.8</v>
      </c>
      <c r="M635">
        <v>0</v>
      </c>
      <c r="N635">
        <v>7</v>
      </c>
      <c r="O635">
        <v>22</v>
      </c>
      <c r="P635">
        <v>29</v>
      </c>
      <c r="S635" t="str">
        <f>IF(Dataset_A[[#This Row],[Hr]]&gt;=19,"Evening Time",IF(Dataset_A[[#This Row],[Hr]]&gt;=9,"Day Time",IF(Dataset_A[[#This Row],[Hr]]&gt;=0,"Night Time","")))</f>
        <v>Night Time</v>
      </c>
    </row>
    <row r="636" spans="1:19" x14ac:dyDescent="0.2">
      <c r="A636">
        <v>635</v>
      </c>
      <c r="B636" s="3">
        <v>40573</v>
      </c>
      <c r="C636">
        <v>1</v>
      </c>
      <c r="D636">
        <v>2011</v>
      </c>
      <c r="E636" t="s">
        <v>10</v>
      </c>
      <c r="F636">
        <v>2</v>
      </c>
      <c r="G636" t="b">
        <v>1</v>
      </c>
      <c r="H636" t="s">
        <v>12</v>
      </c>
      <c r="I636">
        <v>1</v>
      </c>
      <c r="J636">
        <v>0.16</v>
      </c>
      <c r="K636">
        <v>0.2273</v>
      </c>
      <c r="L636">
        <v>0.8</v>
      </c>
      <c r="M636">
        <v>0</v>
      </c>
      <c r="N636">
        <v>1</v>
      </c>
      <c r="O636">
        <v>10</v>
      </c>
      <c r="P636">
        <v>11</v>
      </c>
      <c r="S636" t="str">
        <f>IF(Dataset_A[[#This Row],[Hr]]&gt;=19,"Evening Time",IF(Dataset_A[[#This Row],[Hr]]&gt;=9,"Day Time",IF(Dataset_A[[#This Row],[Hr]]&gt;=0,"Night Time","")))</f>
        <v>Night Time</v>
      </c>
    </row>
    <row r="637" spans="1:19" x14ac:dyDescent="0.2">
      <c r="A637">
        <v>636</v>
      </c>
      <c r="B637" s="3">
        <v>40573</v>
      </c>
      <c r="C637">
        <v>1</v>
      </c>
      <c r="D637">
        <v>2011</v>
      </c>
      <c r="E637" t="s">
        <v>10</v>
      </c>
      <c r="F637">
        <v>3</v>
      </c>
      <c r="G637" t="b">
        <v>1</v>
      </c>
      <c r="H637" t="s">
        <v>12</v>
      </c>
      <c r="I637">
        <v>1</v>
      </c>
      <c r="J637">
        <v>0.14000000000000001</v>
      </c>
      <c r="K637">
        <v>0.21210000000000001</v>
      </c>
      <c r="L637">
        <v>0.93</v>
      </c>
      <c r="M637">
        <v>0</v>
      </c>
      <c r="N637">
        <v>1</v>
      </c>
      <c r="O637">
        <v>7</v>
      </c>
      <c r="P637">
        <v>8</v>
      </c>
      <c r="S637" t="str">
        <f>IF(Dataset_A[[#This Row],[Hr]]&gt;=19,"Evening Time",IF(Dataset_A[[#This Row],[Hr]]&gt;=9,"Day Time",IF(Dataset_A[[#This Row],[Hr]]&gt;=0,"Night Time","")))</f>
        <v>Night Time</v>
      </c>
    </row>
    <row r="638" spans="1:19" x14ac:dyDescent="0.2">
      <c r="A638">
        <v>637</v>
      </c>
      <c r="B638" s="3">
        <v>40573</v>
      </c>
      <c r="C638">
        <v>1</v>
      </c>
      <c r="D638">
        <v>2011</v>
      </c>
      <c r="E638" t="s">
        <v>10</v>
      </c>
      <c r="F638">
        <v>4</v>
      </c>
      <c r="G638" t="b">
        <v>1</v>
      </c>
      <c r="H638" t="s">
        <v>12</v>
      </c>
      <c r="I638">
        <v>1</v>
      </c>
      <c r="J638">
        <v>0.14000000000000001</v>
      </c>
      <c r="K638">
        <v>0.21210000000000001</v>
      </c>
      <c r="L638">
        <v>0.93</v>
      </c>
      <c r="M638">
        <v>0</v>
      </c>
      <c r="N638">
        <v>0</v>
      </c>
      <c r="O638">
        <v>1</v>
      </c>
      <c r="P638">
        <v>1</v>
      </c>
      <c r="S638" t="str">
        <f>IF(Dataset_A[[#This Row],[Hr]]&gt;=19,"Evening Time",IF(Dataset_A[[#This Row],[Hr]]&gt;=9,"Day Time",IF(Dataset_A[[#This Row],[Hr]]&gt;=0,"Night Time","")))</f>
        <v>Night Time</v>
      </c>
    </row>
    <row r="639" spans="1:19" x14ac:dyDescent="0.2">
      <c r="A639">
        <v>638</v>
      </c>
      <c r="B639" s="3">
        <v>40573</v>
      </c>
      <c r="C639">
        <v>1</v>
      </c>
      <c r="D639">
        <v>2011</v>
      </c>
      <c r="E639" t="s">
        <v>10</v>
      </c>
      <c r="F639">
        <v>5</v>
      </c>
      <c r="G639" t="b">
        <v>1</v>
      </c>
      <c r="H639" t="s">
        <v>12</v>
      </c>
      <c r="I639">
        <v>1</v>
      </c>
      <c r="J639">
        <v>0.14000000000000001</v>
      </c>
      <c r="K639">
        <v>0.21210000000000001</v>
      </c>
      <c r="L639">
        <v>0.86</v>
      </c>
      <c r="M639">
        <v>0</v>
      </c>
      <c r="N639">
        <v>0</v>
      </c>
      <c r="O639">
        <v>3</v>
      </c>
      <c r="P639">
        <v>3</v>
      </c>
      <c r="S639" t="str">
        <f>IF(Dataset_A[[#This Row],[Hr]]&gt;=19,"Evening Time",IF(Dataset_A[[#This Row],[Hr]]&gt;=9,"Day Time",IF(Dataset_A[[#This Row],[Hr]]&gt;=0,"Night Time","")))</f>
        <v>Night Time</v>
      </c>
    </row>
    <row r="640" spans="1:19" x14ac:dyDescent="0.2">
      <c r="A640">
        <v>639</v>
      </c>
      <c r="B640" s="3">
        <v>40573</v>
      </c>
      <c r="C640">
        <v>1</v>
      </c>
      <c r="D640">
        <v>2011</v>
      </c>
      <c r="E640" t="s">
        <v>10</v>
      </c>
      <c r="F640">
        <v>7</v>
      </c>
      <c r="G640" t="b">
        <v>1</v>
      </c>
      <c r="H640" t="s">
        <v>12</v>
      </c>
      <c r="I640">
        <v>1</v>
      </c>
      <c r="J640">
        <v>0.14000000000000001</v>
      </c>
      <c r="K640">
        <v>0.21210000000000001</v>
      </c>
      <c r="L640">
        <v>0.86</v>
      </c>
      <c r="M640">
        <v>0</v>
      </c>
      <c r="N640">
        <v>0</v>
      </c>
      <c r="O640">
        <v>3</v>
      </c>
      <c r="P640">
        <v>3</v>
      </c>
      <c r="S640" t="str">
        <f>IF(Dataset_A[[#This Row],[Hr]]&gt;=19,"Evening Time",IF(Dataset_A[[#This Row],[Hr]]&gt;=9,"Day Time",IF(Dataset_A[[#This Row],[Hr]]&gt;=0,"Night Time","")))</f>
        <v>Night Time</v>
      </c>
    </row>
    <row r="641" spans="1:19" x14ac:dyDescent="0.2">
      <c r="A641">
        <v>640</v>
      </c>
      <c r="B641" s="3">
        <v>40573</v>
      </c>
      <c r="C641">
        <v>1</v>
      </c>
      <c r="D641">
        <v>2011</v>
      </c>
      <c r="E641" t="s">
        <v>10</v>
      </c>
      <c r="F641">
        <v>8</v>
      </c>
      <c r="G641" t="b">
        <v>1</v>
      </c>
      <c r="H641" t="s">
        <v>12</v>
      </c>
      <c r="I641">
        <v>2</v>
      </c>
      <c r="J641">
        <v>0.14000000000000001</v>
      </c>
      <c r="K641">
        <v>0.21210000000000001</v>
      </c>
      <c r="L641">
        <v>0.86</v>
      </c>
      <c r="M641">
        <v>0</v>
      </c>
      <c r="N641">
        <v>1</v>
      </c>
      <c r="O641">
        <v>11</v>
      </c>
      <c r="P641">
        <v>12</v>
      </c>
      <c r="S641" t="str">
        <f>IF(Dataset_A[[#This Row],[Hr]]&gt;=19,"Evening Time",IF(Dataset_A[[#This Row],[Hr]]&gt;=9,"Day Time",IF(Dataset_A[[#This Row],[Hr]]&gt;=0,"Night Time","")))</f>
        <v>Night Time</v>
      </c>
    </row>
    <row r="642" spans="1:19" x14ac:dyDescent="0.2">
      <c r="A642">
        <v>641</v>
      </c>
      <c r="B642" s="3">
        <v>40573</v>
      </c>
      <c r="C642">
        <v>1</v>
      </c>
      <c r="D642">
        <v>2011</v>
      </c>
      <c r="E642" t="s">
        <v>10</v>
      </c>
      <c r="F642">
        <v>9</v>
      </c>
      <c r="G642" t="b">
        <v>1</v>
      </c>
      <c r="H642" t="s">
        <v>12</v>
      </c>
      <c r="I642">
        <v>2</v>
      </c>
      <c r="J642">
        <v>0.16</v>
      </c>
      <c r="K642">
        <v>0.2273</v>
      </c>
      <c r="L642">
        <v>0.8</v>
      </c>
      <c r="M642">
        <v>0</v>
      </c>
      <c r="N642">
        <v>4</v>
      </c>
      <c r="O642">
        <v>34</v>
      </c>
      <c r="P642">
        <v>38</v>
      </c>
      <c r="S642" t="str">
        <f>IF(Dataset_A[[#This Row],[Hr]]&gt;=19,"Evening Time",IF(Dataset_A[[#This Row],[Hr]]&gt;=9,"Day Time",IF(Dataset_A[[#This Row],[Hr]]&gt;=0,"Night Time","")))</f>
        <v>Day Time</v>
      </c>
    </row>
    <row r="643" spans="1:19" x14ac:dyDescent="0.2">
      <c r="A643">
        <v>642</v>
      </c>
      <c r="B643" s="3">
        <v>40573</v>
      </c>
      <c r="C643">
        <v>1</v>
      </c>
      <c r="D643">
        <v>2011</v>
      </c>
      <c r="E643" t="s">
        <v>10</v>
      </c>
      <c r="F643">
        <v>10</v>
      </c>
      <c r="G643" t="b">
        <v>1</v>
      </c>
      <c r="H643" t="s">
        <v>12</v>
      </c>
      <c r="I643">
        <v>2</v>
      </c>
      <c r="J643">
        <v>0.18</v>
      </c>
      <c r="K643">
        <v>0.2424</v>
      </c>
      <c r="L643">
        <v>0.8</v>
      </c>
      <c r="M643">
        <v>0</v>
      </c>
      <c r="N643">
        <v>7</v>
      </c>
      <c r="O643">
        <v>57</v>
      </c>
      <c r="P643">
        <v>64</v>
      </c>
      <c r="S643" t="str">
        <f>IF(Dataset_A[[#This Row],[Hr]]&gt;=19,"Evening Time",IF(Dataset_A[[#This Row],[Hr]]&gt;=9,"Day Time",IF(Dataset_A[[#This Row],[Hr]]&gt;=0,"Night Time","")))</f>
        <v>Day Time</v>
      </c>
    </row>
    <row r="644" spans="1:19" x14ac:dyDescent="0.2">
      <c r="A644">
        <v>643</v>
      </c>
      <c r="B644" s="3">
        <v>40573</v>
      </c>
      <c r="C644">
        <v>1</v>
      </c>
      <c r="D644">
        <v>2011</v>
      </c>
      <c r="E644" t="s">
        <v>10</v>
      </c>
      <c r="F644">
        <v>11</v>
      </c>
      <c r="G644" t="b">
        <v>1</v>
      </c>
      <c r="H644" t="s">
        <v>12</v>
      </c>
      <c r="I644">
        <v>1</v>
      </c>
      <c r="J644">
        <v>0.22</v>
      </c>
      <c r="K644">
        <v>0.2727</v>
      </c>
      <c r="L644">
        <v>0.75</v>
      </c>
      <c r="M644">
        <v>0</v>
      </c>
      <c r="N644">
        <v>9</v>
      </c>
      <c r="O644">
        <v>50</v>
      </c>
      <c r="P644">
        <v>59</v>
      </c>
      <c r="S644" t="str">
        <f>IF(Dataset_A[[#This Row],[Hr]]&gt;=19,"Evening Time",IF(Dataset_A[[#This Row],[Hr]]&gt;=9,"Day Time",IF(Dataset_A[[#This Row],[Hr]]&gt;=0,"Night Time","")))</f>
        <v>Day Time</v>
      </c>
    </row>
    <row r="645" spans="1:19" x14ac:dyDescent="0.2">
      <c r="A645">
        <v>644</v>
      </c>
      <c r="B645" s="3">
        <v>40573</v>
      </c>
      <c r="C645">
        <v>1</v>
      </c>
      <c r="D645">
        <v>2011</v>
      </c>
      <c r="E645" t="s">
        <v>10</v>
      </c>
      <c r="F645">
        <v>12</v>
      </c>
      <c r="G645" t="b">
        <v>1</v>
      </c>
      <c r="H645" t="s">
        <v>12</v>
      </c>
      <c r="I645">
        <v>1</v>
      </c>
      <c r="J645">
        <v>0.3</v>
      </c>
      <c r="K645">
        <v>0.31819999999999998</v>
      </c>
      <c r="L645">
        <v>0.52</v>
      </c>
      <c r="M645">
        <v>0.1045</v>
      </c>
      <c r="N645">
        <v>10</v>
      </c>
      <c r="O645">
        <v>87</v>
      </c>
      <c r="P645">
        <v>97</v>
      </c>
      <c r="S645" t="str">
        <f>IF(Dataset_A[[#This Row],[Hr]]&gt;=19,"Evening Time",IF(Dataset_A[[#This Row],[Hr]]&gt;=9,"Day Time",IF(Dataset_A[[#This Row],[Hr]]&gt;=0,"Night Time","")))</f>
        <v>Day Time</v>
      </c>
    </row>
    <row r="646" spans="1:19" x14ac:dyDescent="0.2">
      <c r="A646">
        <v>645</v>
      </c>
      <c r="B646" s="3">
        <v>40573</v>
      </c>
      <c r="C646">
        <v>1</v>
      </c>
      <c r="D646">
        <v>2011</v>
      </c>
      <c r="E646" t="s">
        <v>10</v>
      </c>
      <c r="F646">
        <v>13</v>
      </c>
      <c r="G646" t="b">
        <v>1</v>
      </c>
      <c r="H646" t="s">
        <v>12</v>
      </c>
      <c r="I646">
        <v>1</v>
      </c>
      <c r="J646">
        <v>0.28000000000000003</v>
      </c>
      <c r="K646">
        <v>0.28789999999999999</v>
      </c>
      <c r="L646">
        <v>0.61</v>
      </c>
      <c r="M646">
        <v>0.1045</v>
      </c>
      <c r="N646">
        <v>13</v>
      </c>
      <c r="O646">
        <v>71</v>
      </c>
      <c r="P646">
        <v>84</v>
      </c>
      <c r="S646" t="str">
        <f>IF(Dataset_A[[#This Row],[Hr]]&gt;=19,"Evening Time",IF(Dataset_A[[#This Row],[Hr]]&gt;=9,"Day Time",IF(Dataset_A[[#This Row],[Hr]]&gt;=0,"Night Time","")))</f>
        <v>Day Time</v>
      </c>
    </row>
    <row r="647" spans="1:19" x14ac:dyDescent="0.2">
      <c r="A647">
        <v>646</v>
      </c>
      <c r="B647" s="3">
        <v>40573</v>
      </c>
      <c r="C647">
        <v>1</v>
      </c>
      <c r="D647">
        <v>2011</v>
      </c>
      <c r="E647" t="s">
        <v>10</v>
      </c>
      <c r="F647">
        <v>14</v>
      </c>
      <c r="G647" t="b">
        <v>1</v>
      </c>
      <c r="H647" t="s">
        <v>12</v>
      </c>
      <c r="I647">
        <v>1</v>
      </c>
      <c r="J647">
        <v>0.28000000000000003</v>
      </c>
      <c r="K647">
        <v>0.30299999999999999</v>
      </c>
      <c r="L647">
        <v>0.61</v>
      </c>
      <c r="M647">
        <v>8.9599999999999999E-2</v>
      </c>
      <c r="N647">
        <v>18</v>
      </c>
      <c r="O647">
        <v>104</v>
      </c>
      <c r="P647">
        <v>122</v>
      </c>
      <c r="S647" t="str">
        <f>IF(Dataset_A[[#This Row],[Hr]]&gt;=19,"Evening Time",IF(Dataset_A[[#This Row],[Hr]]&gt;=9,"Day Time",IF(Dataset_A[[#This Row],[Hr]]&gt;=0,"Night Time","")))</f>
        <v>Day Time</v>
      </c>
    </row>
    <row r="648" spans="1:19" x14ac:dyDescent="0.2">
      <c r="A648">
        <v>647</v>
      </c>
      <c r="B648" s="3">
        <v>40573</v>
      </c>
      <c r="C648">
        <v>1</v>
      </c>
      <c r="D648">
        <v>2011</v>
      </c>
      <c r="E648" t="s">
        <v>10</v>
      </c>
      <c r="F648">
        <v>15</v>
      </c>
      <c r="G648" t="b">
        <v>1</v>
      </c>
      <c r="H648" t="s">
        <v>12</v>
      </c>
      <c r="I648">
        <v>1</v>
      </c>
      <c r="J648">
        <v>0.3</v>
      </c>
      <c r="K648">
        <v>0.33329999999999999</v>
      </c>
      <c r="L648">
        <v>0.56000000000000005</v>
      </c>
      <c r="M648">
        <v>0</v>
      </c>
      <c r="N648">
        <v>14</v>
      </c>
      <c r="O648">
        <v>95</v>
      </c>
      <c r="P648">
        <v>109</v>
      </c>
      <c r="S648" t="str">
        <f>IF(Dataset_A[[#This Row],[Hr]]&gt;=19,"Evening Time",IF(Dataset_A[[#This Row],[Hr]]&gt;=9,"Day Time",IF(Dataset_A[[#This Row],[Hr]]&gt;=0,"Night Time","")))</f>
        <v>Day Time</v>
      </c>
    </row>
    <row r="649" spans="1:19" x14ac:dyDescent="0.2">
      <c r="A649">
        <v>648</v>
      </c>
      <c r="B649" s="3">
        <v>40573</v>
      </c>
      <c r="C649">
        <v>1</v>
      </c>
      <c r="D649">
        <v>2011</v>
      </c>
      <c r="E649" t="s">
        <v>10</v>
      </c>
      <c r="F649">
        <v>16</v>
      </c>
      <c r="G649" t="b">
        <v>1</v>
      </c>
      <c r="H649" t="s">
        <v>12</v>
      </c>
      <c r="I649">
        <v>1</v>
      </c>
      <c r="J649">
        <v>0.3</v>
      </c>
      <c r="K649">
        <v>0.33329999999999999</v>
      </c>
      <c r="L649">
        <v>0.56000000000000005</v>
      </c>
      <c r="M649">
        <v>0</v>
      </c>
      <c r="N649">
        <v>19</v>
      </c>
      <c r="O649">
        <v>104</v>
      </c>
      <c r="P649">
        <v>123</v>
      </c>
      <c r="S649" t="str">
        <f>IF(Dataset_A[[#This Row],[Hr]]&gt;=19,"Evening Time",IF(Dataset_A[[#This Row],[Hr]]&gt;=9,"Day Time",IF(Dataset_A[[#This Row],[Hr]]&gt;=0,"Night Time","")))</f>
        <v>Day Time</v>
      </c>
    </row>
    <row r="650" spans="1:19" x14ac:dyDescent="0.2">
      <c r="A650">
        <v>649</v>
      </c>
      <c r="B650" s="3">
        <v>40573</v>
      </c>
      <c r="C650">
        <v>1</v>
      </c>
      <c r="D650">
        <v>2011</v>
      </c>
      <c r="E650" t="s">
        <v>10</v>
      </c>
      <c r="F650">
        <v>17</v>
      </c>
      <c r="G650" t="b">
        <v>1</v>
      </c>
      <c r="H650" t="s">
        <v>12</v>
      </c>
      <c r="I650">
        <v>1</v>
      </c>
      <c r="J650">
        <v>0.3</v>
      </c>
      <c r="K650">
        <v>0.28789999999999999</v>
      </c>
      <c r="L650">
        <v>0.56000000000000005</v>
      </c>
      <c r="M650">
        <v>0.19400000000000001</v>
      </c>
      <c r="N650">
        <v>6</v>
      </c>
      <c r="O650">
        <v>71</v>
      </c>
      <c r="P650">
        <v>77</v>
      </c>
      <c r="S650" t="str">
        <f>IF(Dataset_A[[#This Row],[Hr]]&gt;=19,"Evening Time",IF(Dataset_A[[#This Row],[Hr]]&gt;=9,"Day Time",IF(Dataset_A[[#This Row],[Hr]]&gt;=0,"Night Time","")))</f>
        <v>Day Time</v>
      </c>
    </row>
    <row r="651" spans="1:19" x14ac:dyDescent="0.2">
      <c r="A651">
        <v>650</v>
      </c>
      <c r="B651" s="3">
        <v>40573</v>
      </c>
      <c r="C651">
        <v>1</v>
      </c>
      <c r="D651">
        <v>2011</v>
      </c>
      <c r="E651" t="s">
        <v>10</v>
      </c>
      <c r="F651">
        <v>18</v>
      </c>
      <c r="G651" t="b">
        <v>1</v>
      </c>
      <c r="H651" t="s">
        <v>12</v>
      </c>
      <c r="I651">
        <v>1</v>
      </c>
      <c r="J651">
        <v>0.26</v>
      </c>
      <c r="K651">
        <v>0.2576</v>
      </c>
      <c r="L651">
        <v>0.65</v>
      </c>
      <c r="M651">
        <v>0.16420000000000001</v>
      </c>
      <c r="N651">
        <v>8</v>
      </c>
      <c r="O651">
        <v>57</v>
      </c>
      <c r="P651">
        <v>65</v>
      </c>
      <c r="S651" t="str">
        <f>IF(Dataset_A[[#This Row],[Hr]]&gt;=19,"Evening Time",IF(Dataset_A[[#This Row],[Hr]]&gt;=9,"Day Time",IF(Dataset_A[[#This Row],[Hr]]&gt;=0,"Night Time","")))</f>
        <v>Day Time</v>
      </c>
    </row>
    <row r="652" spans="1:19" x14ac:dyDescent="0.2">
      <c r="A652">
        <v>651</v>
      </c>
      <c r="B652" s="3">
        <v>40573</v>
      </c>
      <c r="C652">
        <v>1</v>
      </c>
      <c r="D652">
        <v>2011</v>
      </c>
      <c r="E652" t="s">
        <v>10</v>
      </c>
      <c r="F652">
        <v>19</v>
      </c>
      <c r="G652" t="b">
        <v>1</v>
      </c>
      <c r="H652" t="s">
        <v>12</v>
      </c>
      <c r="I652">
        <v>1</v>
      </c>
      <c r="J652">
        <v>0.26</v>
      </c>
      <c r="K652">
        <v>0.2576</v>
      </c>
      <c r="L652">
        <v>0.65</v>
      </c>
      <c r="M652">
        <v>0.19400000000000001</v>
      </c>
      <c r="N652">
        <v>9</v>
      </c>
      <c r="O652">
        <v>46</v>
      </c>
      <c r="P652">
        <v>55</v>
      </c>
      <c r="S652" t="str">
        <f>IF(Dataset_A[[#This Row],[Hr]]&gt;=19,"Evening Time",IF(Dataset_A[[#This Row],[Hr]]&gt;=9,"Day Time",IF(Dataset_A[[#This Row],[Hr]]&gt;=0,"Night Time","")))</f>
        <v>Evening Time</v>
      </c>
    </row>
    <row r="653" spans="1:19" x14ac:dyDescent="0.2">
      <c r="A653">
        <v>652</v>
      </c>
      <c r="B653" s="3">
        <v>40573</v>
      </c>
      <c r="C653">
        <v>1</v>
      </c>
      <c r="D653">
        <v>2011</v>
      </c>
      <c r="E653" t="s">
        <v>10</v>
      </c>
      <c r="F653">
        <v>20</v>
      </c>
      <c r="G653" t="b">
        <v>1</v>
      </c>
      <c r="H653" t="s">
        <v>12</v>
      </c>
      <c r="I653">
        <v>2</v>
      </c>
      <c r="J653">
        <v>0.26</v>
      </c>
      <c r="K653">
        <v>0.2727</v>
      </c>
      <c r="L653">
        <v>0.65</v>
      </c>
      <c r="M653">
        <v>0.1045</v>
      </c>
      <c r="N653">
        <v>3</v>
      </c>
      <c r="O653">
        <v>30</v>
      </c>
      <c r="P653">
        <v>33</v>
      </c>
      <c r="S653" t="str">
        <f>IF(Dataset_A[[#This Row],[Hr]]&gt;=19,"Evening Time",IF(Dataset_A[[#This Row],[Hr]]&gt;=9,"Day Time",IF(Dataset_A[[#This Row],[Hr]]&gt;=0,"Night Time","")))</f>
        <v>Evening Time</v>
      </c>
    </row>
    <row r="654" spans="1:19" x14ac:dyDescent="0.2">
      <c r="A654">
        <v>653</v>
      </c>
      <c r="B654" s="3">
        <v>40573</v>
      </c>
      <c r="C654">
        <v>1</v>
      </c>
      <c r="D654">
        <v>2011</v>
      </c>
      <c r="E654" t="s">
        <v>10</v>
      </c>
      <c r="F654">
        <v>21</v>
      </c>
      <c r="G654" t="b">
        <v>1</v>
      </c>
      <c r="H654" t="s">
        <v>12</v>
      </c>
      <c r="I654">
        <v>2</v>
      </c>
      <c r="J654">
        <v>0.24</v>
      </c>
      <c r="K654">
        <v>0.2424</v>
      </c>
      <c r="L654">
        <v>0.7</v>
      </c>
      <c r="M654">
        <v>0.16420000000000001</v>
      </c>
      <c r="N654">
        <v>3</v>
      </c>
      <c r="O654">
        <v>25</v>
      </c>
      <c r="P654">
        <v>28</v>
      </c>
      <c r="S654" t="str">
        <f>IF(Dataset_A[[#This Row],[Hr]]&gt;=19,"Evening Time",IF(Dataset_A[[#This Row],[Hr]]&gt;=9,"Day Time",IF(Dataset_A[[#This Row],[Hr]]&gt;=0,"Night Time","")))</f>
        <v>Evening Time</v>
      </c>
    </row>
    <row r="655" spans="1:19" x14ac:dyDescent="0.2">
      <c r="A655">
        <v>654</v>
      </c>
      <c r="B655" s="3">
        <v>40573</v>
      </c>
      <c r="C655">
        <v>1</v>
      </c>
      <c r="D655">
        <v>2011</v>
      </c>
      <c r="E655" t="s">
        <v>10</v>
      </c>
      <c r="F655">
        <v>22</v>
      </c>
      <c r="G655" t="b">
        <v>1</v>
      </c>
      <c r="H655" t="s">
        <v>12</v>
      </c>
      <c r="I655">
        <v>2</v>
      </c>
      <c r="J655">
        <v>0.24</v>
      </c>
      <c r="K655">
        <v>0.2273</v>
      </c>
      <c r="L655">
        <v>0.7</v>
      </c>
      <c r="M655">
        <v>0.19400000000000001</v>
      </c>
      <c r="N655">
        <v>2</v>
      </c>
      <c r="O655">
        <v>19</v>
      </c>
      <c r="P655">
        <v>21</v>
      </c>
      <c r="S655" t="str">
        <f>IF(Dataset_A[[#This Row],[Hr]]&gt;=19,"Evening Time",IF(Dataset_A[[#This Row],[Hr]]&gt;=9,"Day Time",IF(Dataset_A[[#This Row],[Hr]]&gt;=0,"Night Time","")))</f>
        <v>Evening Time</v>
      </c>
    </row>
    <row r="656" spans="1:19" x14ac:dyDescent="0.2">
      <c r="A656">
        <v>655</v>
      </c>
      <c r="B656" s="3">
        <v>40573</v>
      </c>
      <c r="C656">
        <v>1</v>
      </c>
      <c r="D656">
        <v>2011</v>
      </c>
      <c r="E656" t="s">
        <v>10</v>
      </c>
      <c r="F656">
        <v>23</v>
      </c>
      <c r="G656" t="b">
        <v>1</v>
      </c>
      <c r="H656" t="s">
        <v>12</v>
      </c>
      <c r="I656">
        <v>2</v>
      </c>
      <c r="J656">
        <v>0.24</v>
      </c>
      <c r="K656">
        <v>0.21210000000000001</v>
      </c>
      <c r="L656">
        <v>0.65</v>
      </c>
      <c r="M656">
        <v>0.28360000000000002</v>
      </c>
      <c r="N656">
        <v>5</v>
      </c>
      <c r="O656">
        <v>16</v>
      </c>
      <c r="P656">
        <v>21</v>
      </c>
      <c r="S656" t="str">
        <f>IF(Dataset_A[[#This Row],[Hr]]&gt;=19,"Evening Time",IF(Dataset_A[[#This Row],[Hr]]&gt;=9,"Day Time",IF(Dataset_A[[#This Row],[Hr]]&gt;=0,"Night Time","")))</f>
        <v>Evening Time</v>
      </c>
    </row>
    <row r="657" spans="1:19" x14ac:dyDescent="0.2">
      <c r="A657">
        <v>656</v>
      </c>
      <c r="B657" s="3">
        <v>40574</v>
      </c>
      <c r="C657">
        <v>1</v>
      </c>
      <c r="D657">
        <v>2011</v>
      </c>
      <c r="E657" t="s">
        <v>10</v>
      </c>
      <c r="F657">
        <v>0</v>
      </c>
      <c r="G657" t="b">
        <v>0</v>
      </c>
      <c r="H657" t="s">
        <v>13</v>
      </c>
      <c r="I657">
        <v>2</v>
      </c>
      <c r="J657">
        <v>0.24</v>
      </c>
      <c r="K657">
        <v>0.2273</v>
      </c>
      <c r="L657">
        <v>0.65</v>
      </c>
      <c r="M657">
        <v>0.22389999999999999</v>
      </c>
      <c r="N657">
        <v>1</v>
      </c>
      <c r="O657">
        <v>6</v>
      </c>
      <c r="P657">
        <v>7</v>
      </c>
      <c r="S657" t="str">
        <f>IF(Dataset_A[[#This Row],[Hr]]&gt;=19,"Evening Time",IF(Dataset_A[[#This Row],[Hr]]&gt;=9,"Day Time",IF(Dataset_A[[#This Row],[Hr]]&gt;=0,"Night Time","")))</f>
        <v>Night Time</v>
      </c>
    </row>
    <row r="658" spans="1:19" x14ac:dyDescent="0.2">
      <c r="A658">
        <v>657</v>
      </c>
      <c r="B658" s="3">
        <v>40574</v>
      </c>
      <c r="C658">
        <v>1</v>
      </c>
      <c r="D658">
        <v>2011</v>
      </c>
      <c r="E658" t="s">
        <v>10</v>
      </c>
      <c r="F658">
        <v>1</v>
      </c>
      <c r="G658" t="b">
        <v>0</v>
      </c>
      <c r="H658" t="s">
        <v>13</v>
      </c>
      <c r="I658">
        <v>1</v>
      </c>
      <c r="J658">
        <v>0.22</v>
      </c>
      <c r="K658">
        <v>0.21210000000000001</v>
      </c>
      <c r="L658">
        <v>0.64</v>
      </c>
      <c r="M658">
        <v>0.25369999999999998</v>
      </c>
      <c r="N658">
        <v>2</v>
      </c>
      <c r="O658">
        <v>5</v>
      </c>
      <c r="P658">
        <v>7</v>
      </c>
      <c r="S658" t="str">
        <f>IF(Dataset_A[[#This Row],[Hr]]&gt;=19,"Evening Time",IF(Dataset_A[[#This Row],[Hr]]&gt;=9,"Day Time",IF(Dataset_A[[#This Row],[Hr]]&gt;=0,"Night Time","")))</f>
        <v>Night Time</v>
      </c>
    </row>
    <row r="659" spans="1:19" x14ac:dyDescent="0.2">
      <c r="A659">
        <v>658</v>
      </c>
      <c r="B659" s="3">
        <v>40574</v>
      </c>
      <c r="C659">
        <v>1</v>
      </c>
      <c r="D659">
        <v>2011</v>
      </c>
      <c r="E659" t="s">
        <v>10</v>
      </c>
      <c r="F659">
        <v>2</v>
      </c>
      <c r="G659" t="b">
        <v>0</v>
      </c>
      <c r="H659" t="s">
        <v>13</v>
      </c>
      <c r="I659">
        <v>1</v>
      </c>
      <c r="J659">
        <v>0.22</v>
      </c>
      <c r="K659">
        <v>0.2273</v>
      </c>
      <c r="L659">
        <v>0.64</v>
      </c>
      <c r="M659">
        <v>0.19400000000000001</v>
      </c>
      <c r="N659">
        <v>0</v>
      </c>
      <c r="O659">
        <v>1</v>
      </c>
      <c r="P659">
        <v>1</v>
      </c>
      <c r="S659" t="str">
        <f>IF(Dataset_A[[#This Row],[Hr]]&gt;=19,"Evening Time",IF(Dataset_A[[#This Row],[Hr]]&gt;=9,"Day Time",IF(Dataset_A[[#This Row],[Hr]]&gt;=0,"Night Time","")))</f>
        <v>Night Time</v>
      </c>
    </row>
    <row r="660" spans="1:19" x14ac:dyDescent="0.2">
      <c r="A660">
        <v>659</v>
      </c>
      <c r="B660" s="3">
        <v>40574</v>
      </c>
      <c r="C660">
        <v>1</v>
      </c>
      <c r="D660">
        <v>2011</v>
      </c>
      <c r="E660" t="s">
        <v>10</v>
      </c>
      <c r="F660">
        <v>3</v>
      </c>
      <c r="G660" t="b">
        <v>0</v>
      </c>
      <c r="H660" t="s">
        <v>13</v>
      </c>
      <c r="I660">
        <v>1</v>
      </c>
      <c r="J660">
        <v>0.22</v>
      </c>
      <c r="K660">
        <v>0.2273</v>
      </c>
      <c r="L660">
        <v>0.64</v>
      </c>
      <c r="M660">
        <v>0.19400000000000001</v>
      </c>
      <c r="N660">
        <v>0</v>
      </c>
      <c r="O660">
        <v>2</v>
      </c>
      <c r="P660">
        <v>2</v>
      </c>
      <c r="S660" t="str">
        <f>IF(Dataset_A[[#This Row],[Hr]]&gt;=19,"Evening Time",IF(Dataset_A[[#This Row],[Hr]]&gt;=9,"Day Time",IF(Dataset_A[[#This Row],[Hr]]&gt;=0,"Night Time","")))</f>
        <v>Night Time</v>
      </c>
    </row>
    <row r="661" spans="1:19" x14ac:dyDescent="0.2">
      <c r="A661">
        <v>660</v>
      </c>
      <c r="B661" s="3">
        <v>40574</v>
      </c>
      <c r="C661">
        <v>1</v>
      </c>
      <c r="D661">
        <v>2011</v>
      </c>
      <c r="E661" t="s">
        <v>10</v>
      </c>
      <c r="F661">
        <v>4</v>
      </c>
      <c r="G661" t="b">
        <v>0</v>
      </c>
      <c r="H661" t="s">
        <v>13</v>
      </c>
      <c r="I661">
        <v>1</v>
      </c>
      <c r="J661">
        <v>0.2</v>
      </c>
      <c r="K661">
        <v>0.19700000000000001</v>
      </c>
      <c r="L661">
        <v>0.59</v>
      </c>
      <c r="M661">
        <v>0.22389999999999999</v>
      </c>
      <c r="N661">
        <v>0</v>
      </c>
      <c r="O661">
        <v>2</v>
      </c>
      <c r="P661">
        <v>2</v>
      </c>
      <c r="S661" t="str">
        <f>IF(Dataset_A[[#This Row],[Hr]]&gt;=19,"Evening Time",IF(Dataset_A[[#This Row],[Hr]]&gt;=9,"Day Time",IF(Dataset_A[[#This Row],[Hr]]&gt;=0,"Night Time","")))</f>
        <v>Night Time</v>
      </c>
    </row>
    <row r="662" spans="1:19" x14ac:dyDescent="0.2">
      <c r="A662">
        <v>661</v>
      </c>
      <c r="B662" s="3">
        <v>40574</v>
      </c>
      <c r="C662">
        <v>1</v>
      </c>
      <c r="D662">
        <v>2011</v>
      </c>
      <c r="E662" t="s">
        <v>10</v>
      </c>
      <c r="F662">
        <v>5</v>
      </c>
      <c r="G662" t="b">
        <v>0</v>
      </c>
      <c r="H662" t="s">
        <v>13</v>
      </c>
      <c r="I662">
        <v>1</v>
      </c>
      <c r="J662">
        <v>0.18</v>
      </c>
      <c r="K662">
        <v>0.16669999999999999</v>
      </c>
      <c r="L662">
        <v>0.64</v>
      </c>
      <c r="M662">
        <v>0.28360000000000002</v>
      </c>
      <c r="N662">
        <v>0</v>
      </c>
      <c r="O662">
        <v>8</v>
      </c>
      <c r="P662">
        <v>8</v>
      </c>
      <c r="S662" t="str">
        <f>IF(Dataset_A[[#This Row],[Hr]]&gt;=19,"Evening Time",IF(Dataset_A[[#This Row],[Hr]]&gt;=9,"Day Time",IF(Dataset_A[[#This Row],[Hr]]&gt;=0,"Night Time","")))</f>
        <v>Night Time</v>
      </c>
    </row>
    <row r="663" spans="1:19" x14ac:dyDescent="0.2">
      <c r="A663">
        <v>662</v>
      </c>
      <c r="B663" s="3">
        <v>40574</v>
      </c>
      <c r="C663">
        <v>1</v>
      </c>
      <c r="D663">
        <v>2011</v>
      </c>
      <c r="E663" t="s">
        <v>10</v>
      </c>
      <c r="F663">
        <v>6</v>
      </c>
      <c r="G663" t="b">
        <v>0</v>
      </c>
      <c r="H663" t="s">
        <v>13</v>
      </c>
      <c r="I663">
        <v>1</v>
      </c>
      <c r="J663">
        <v>0.16</v>
      </c>
      <c r="K663">
        <v>0.13639999999999999</v>
      </c>
      <c r="L663">
        <v>0.69</v>
      </c>
      <c r="M663">
        <v>0.32840000000000003</v>
      </c>
      <c r="N663">
        <v>0</v>
      </c>
      <c r="O663">
        <v>37</v>
      </c>
      <c r="P663">
        <v>37</v>
      </c>
      <c r="S663" t="str">
        <f>IF(Dataset_A[[#This Row],[Hr]]&gt;=19,"Evening Time",IF(Dataset_A[[#This Row],[Hr]]&gt;=9,"Day Time",IF(Dataset_A[[#This Row],[Hr]]&gt;=0,"Night Time","")))</f>
        <v>Night Time</v>
      </c>
    </row>
    <row r="664" spans="1:19" x14ac:dyDescent="0.2">
      <c r="A664">
        <v>663</v>
      </c>
      <c r="B664" s="3">
        <v>40574</v>
      </c>
      <c r="C664">
        <v>1</v>
      </c>
      <c r="D664">
        <v>2011</v>
      </c>
      <c r="E664" t="s">
        <v>10</v>
      </c>
      <c r="F664">
        <v>7</v>
      </c>
      <c r="G664" t="b">
        <v>0</v>
      </c>
      <c r="H664" t="s">
        <v>13</v>
      </c>
      <c r="I664">
        <v>2</v>
      </c>
      <c r="J664">
        <v>0.16</v>
      </c>
      <c r="K664">
        <v>0.13639999999999999</v>
      </c>
      <c r="L664">
        <v>0.64</v>
      </c>
      <c r="M664">
        <v>0.28360000000000002</v>
      </c>
      <c r="N664">
        <v>1</v>
      </c>
      <c r="O664">
        <v>71</v>
      </c>
      <c r="P664">
        <v>72</v>
      </c>
      <c r="S664" t="str">
        <f>IF(Dataset_A[[#This Row],[Hr]]&gt;=19,"Evening Time",IF(Dataset_A[[#This Row],[Hr]]&gt;=9,"Day Time",IF(Dataset_A[[#This Row],[Hr]]&gt;=0,"Night Time","")))</f>
        <v>Night Time</v>
      </c>
    </row>
    <row r="665" spans="1:19" x14ac:dyDescent="0.2">
      <c r="A665">
        <v>664</v>
      </c>
      <c r="B665" s="3">
        <v>40574</v>
      </c>
      <c r="C665">
        <v>1</v>
      </c>
      <c r="D665">
        <v>2011</v>
      </c>
      <c r="E665" t="s">
        <v>10</v>
      </c>
      <c r="F665">
        <v>8</v>
      </c>
      <c r="G665" t="b">
        <v>0</v>
      </c>
      <c r="H665" t="s">
        <v>13</v>
      </c>
      <c r="I665">
        <v>2</v>
      </c>
      <c r="J665">
        <v>0.16</v>
      </c>
      <c r="K665">
        <v>0.13639999999999999</v>
      </c>
      <c r="L665">
        <v>0.59</v>
      </c>
      <c r="M665">
        <v>0.28360000000000002</v>
      </c>
      <c r="N665">
        <v>3</v>
      </c>
      <c r="O665">
        <v>182</v>
      </c>
      <c r="P665">
        <v>185</v>
      </c>
      <c r="S665" t="str">
        <f>IF(Dataset_A[[#This Row],[Hr]]&gt;=19,"Evening Time",IF(Dataset_A[[#This Row],[Hr]]&gt;=9,"Day Time",IF(Dataset_A[[#This Row],[Hr]]&gt;=0,"Night Time","")))</f>
        <v>Night Time</v>
      </c>
    </row>
    <row r="666" spans="1:19" x14ac:dyDescent="0.2">
      <c r="A666">
        <v>665</v>
      </c>
      <c r="B666" s="3">
        <v>40574</v>
      </c>
      <c r="C666">
        <v>1</v>
      </c>
      <c r="D666">
        <v>2011</v>
      </c>
      <c r="E666" t="s">
        <v>10</v>
      </c>
      <c r="F666">
        <v>9</v>
      </c>
      <c r="G666" t="b">
        <v>0</v>
      </c>
      <c r="H666" t="s">
        <v>13</v>
      </c>
      <c r="I666">
        <v>2</v>
      </c>
      <c r="J666">
        <v>0.16</v>
      </c>
      <c r="K666">
        <v>0.13639999999999999</v>
      </c>
      <c r="L666">
        <v>0.59</v>
      </c>
      <c r="M666">
        <v>0.29849999999999999</v>
      </c>
      <c r="N666">
        <v>0</v>
      </c>
      <c r="O666">
        <v>112</v>
      </c>
      <c r="P666">
        <v>112</v>
      </c>
      <c r="S666" t="str">
        <f>IF(Dataset_A[[#This Row],[Hr]]&gt;=19,"Evening Time",IF(Dataset_A[[#This Row],[Hr]]&gt;=9,"Day Time",IF(Dataset_A[[#This Row],[Hr]]&gt;=0,"Night Time","")))</f>
        <v>Day Time</v>
      </c>
    </row>
    <row r="667" spans="1:19" x14ac:dyDescent="0.2">
      <c r="A667">
        <v>666</v>
      </c>
      <c r="B667" s="3">
        <v>40574</v>
      </c>
      <c r="C667">
        <v>1</v>
      </c>
      <c r="D667">
        <v>2011</v>
      </c>
      <c r="E667" t="s">
        <v>10</v>
      </c>
      <c r="F667">
        <v>10</v>
      </c>
      <c r="G667" t="b">
        <v>0</v>
      </c>
      <c r="H667" t="s">
        <v>13</v>
      </c>
      <c r="I667">
        <v>2</v>
      </c>
      <c r="J667">
        <v>0.16</v>
      </c>
      <c r="K667">
        <v>0.1515</v>
      </c>
      <c r="L667">
        <v>0.59</v>
      </c>
      <c r="M667">
        <v>0.19400000000000001</v>
      </c>
      <c r="N667">
        <v>1</v>
      </c>
      <c r="O667">
        <v>68</v>
      </c>
      <c r="P667">
        <v>69</v>
      </c>
      <c r="S667" t="str">
        <f>IF(Dataset_A[[#This Row],[Hr]]&gt;=19,"Evening Time",IF(Dataset_A[[#This Row],[Hr]]&gt;=9,"Day Time",IF(Dataset_A[[#This Row],[Hr]]&gt;=0,"Night Time","")))</f>
        <v>Day Time</v>
      </c>
    </row>
    <row r="668" spans="1:19" x14ac:dyDescent="0.2">
      <c r="A668">
        <v>667</v>
      </c>
      <c r="B668" s="3">
        <v>40574</v>
      </c>
      <c r="C668">
        <v>1</v>
      </c>
      <c r="D668">
        <v>2011</v>
      </c>
      <c r="E668" t="s">
        <v>10</v>
      </c>
      <c r="F668">
        <v>11</v>
      </c>
      <c r="G668" t="b">
        <v>0</v>
      </c>
      <c r="H668" t="s">
        <v>13</v>
      </c>
      <c r="I668">
        <v>2</v>
      </c>
      <c r="J668">
        <v>0.16</v>
      </c>
      <c r="K668">
        <v>0.1515</v>
      </c>
      <c r="L668">
        <v>0.59</v>
      </c>
      <c r="M668">
        <v>0.19400000000000001</v>
      </c>
      <c r="N668">
        <v>2</v>
      </c>
      <c r="O668">
        <v>46</v>
      </c>
      <c r="P668">
        <v>48</v>
      </c>
      <c r="S668" t="str">
        <f>IF(Dataset_A[[#This Row],[Hr]]&gt;=19,"Evening Time",IF(Dataset_A[[#This Row],[Hr]]&gt;=9,"Day Time",IF(Dataset_A[[#This Row],[Hr]]&gt;=0,"Night Time","")))</f>
        <v>Day Time</v>
      </c>
    </row>
    <row r="669" spans="1:19" x14ac:dyDescent="0.2">
      <c r="A669">
        <v>668</v>
      </c>
      <c r="B669" s="3">
        <v>40574</v>
      </c>
      <c r="C669">
        <v>1</v>
      </c>
      <c r="D669">
        <v>2011</v>
      </c>
      <c r="E669" t="s">
        <v>10</v>
      </c>
      <c r="F669">
        <v>12</v>
      </c>
      <c r="G669" t="b">
        <v>0</v>
      </c>
      <c r="H669" t="s">
        <v>13</v>
      </c>
      <c r="I669">
        <v>2</v>
      </c>
      <c r="J669">
        <v>0.18</v>
      </c>
      <c r="K669">
        <v>0.21210000000000001</v>
      </c>
      <c r="L669">
        <v>0.55000000000000004</v>
      </c>
      <c r="M669">
        <v>0.1045</v>
      </c>
      <c r="N669">
        <v>6</v>
      </c>
      <c r="O669">
        <v>62</v>
      </c>
      <c r="P669">
        <v>68</v>
      </c>
      <c r="S669" t="str">
        <f>IF(Dataset_A[[#This Row],[Hr]]&gt;=19,"Evening Time",IF(Dataset_A[[#This Row],[Hr]]&gt;=9,"Day Time",IF(Dataset_A[[#This Row],[Hr]]&gt;=0,"Night Time","")))</f>
        <v>Day Time</v>
      </c>
    </row>
    <row r="670" spans="1:19" x14ac:dyDescent="0.2">
      <c r="A670">
        <v>669</v>
      </c>
      <c r="B670" s="3">
        <v>40574</v>
      </c>
      <c r="C670">
        <v>1</v>
      </c>
      <c r="D670">
        <v>2011</v>
      </c>
      <c r="E670" t="s">
        <v>10</v>
      </c>
      <c r="F670">
        <v>13</v>
      </c>
      <c r="G670" t="b">
        <v>0</v>
      </c>
      <c r="H670" t="s">
        <v>13</v>
      </c>
      <c r="I670">
        <v>2</v>
      </c>
      <c r="J670">
        <v>0.16</v>
      </c>
      <c r="K670">
        <v>0.2273</v>
      </c>
      <c r="L670">
        <v>0.59</v>
      </c>
      <c r="M670">
        <v>0</v>
      </c>
      <c r="N670">
        <v>2</v>
      </c>
      <c r="O670">
        <v>52</v>
      </c>
      <c r="P670">
        <v>54</v>
      </c>
      <c r="S670" t="str">
        <f>IF(Dataset_A[[#This Row],[Hr]]&gt;=19,"Evening Time",IF(Dataset_A[[#This Row],[Hr]]&gt;=9,"Day Time",IF(Dataset_A[[#This Row],[Hr]]&gt;=0,"Night Time","")))</f>
        <v>Day Time</v>
      </c>
    </row>
    <row r="671" spans="1:19" x14ac:dyDescent="0.2">
      <c r="A671">
        <v>670</v>
      </c>
      <c r="B671" s="3">
        <v>40574</v>
      </c>
      <c r="C671">
        <v>1</v>
      </c>
      <c r="D671">
        <v>2011</v>
      </c>
      <c r="E671" t="s">
        <v>10</v>
      </c>
      <c r="F671">
        <v>14</v>
      </c>
      <c r="G671" t="b">
        <v>0</v>
      </c>
      <c r="H671" t="s">
        <v>13</v>
      </c>
      <c r="I671">
        <v>2</v>
      </c>
      <c r="J671">
        <v>0.18</v>
      </c>
      <c r="K671">
        <v>0.19700000000000001</v>
      </c>
      <c r="L671">
        <v>0.55000000000000004</v>
      </c>
      <c r="M671">
        <v>0.1343</v>
      </c>
      <c r="N671">
        <v>1</v>
      </c>
      <c r="O671">
        <v>85</v>
      </c>
      <c r="P671">
        <v>86</v>
      </c>
      <c r="S671" t="str">
        <f>IF(Dataset_A[[#This Row],[Hr]]&gt;=19,"Evening Time",IF(Dataset_A[[#This Row],[Hr]]&gt;=9,"Day Time",IF(Dataset_A[[#This Row],[Hr]]&gt;=0,"Night Time","")))</f>
        <v>Day Time</v>
      </c>
    </row>
    <row r="672" spans="1:19" x14ac:dyDescent="0.2">
      <c r="A672">
        <v>671</v>
      </c>
      <c r="B672" s="3">
        <v>40574</v>
      </c>
      <c r="C672">
        <v>1</v>
      </c>
      <c r="D672">
        <v>2011</v>
      </c>
      <c r="E672" t="s">
        <v>10</v>
      </c>
      <c r="F672">
        <v>15</v>
      </c>
      <c r="G672" t="b">
        <v>0</v>
      </c>
      <c r="H672" t="s">
        <v>13</v>
      </c>
      <c r="I672">
        <v>2</v>
      </c>
      <c r="J672">
        <v>0.16</v>
      </c>
      <c r="K672">
        <v>0.18179999999999999</v>
      </c>
      <c r="L672">
        <v>0.59</v>
      </c>
      <c r="M672">
        <v>0.1343</v>
      </c>
      <c r="N672">
        <v>3</v>
      </c>
      <c r="O672">
        <v>41</v>
      </c>
      <c r="P672">
        <v>44</v>
      </c>
      <c r="S672" t="str">
        <f>IF(Dataset_A[[#This Row],[Hr]]&gt;=19,"Evening Time",IF(Dataset_A[[#This Row],[Hr]]&gt;=9,"Day Time",IF(Dataset_A[[#This Row],[Hr]]&gt;=0,"Night Time","")))</f>
        <v>Day Time</v>
      </c>
    </row>
    <row r="673" spans="1:19" x14ac:dyDescent="0.2">
      <c r="A673">
        <v>672</v>
      </c>
      <c r="B673" s="3">
        <v>40574</v>
      </c>
      <c r="C673">
        <v>1</v>
      </c>
      <c r="D673">
        <v>2011</v>
      </c>
      <c r="E673" t="s">
        <v>10</v>
      </c>
      <c r="F673">
        <v>16</v>
      </c>
      <c r="G673" t="b">
        <v>0</v>
      </c>
      <c r="H673" t="s">
        <v>13</v>
      </c>
      <c r="I673">
        <v>2</v>
      </c>
      <c r="J673">
        <v>0.16</v>
      </c>
      <c r="K673">
        <v>0.18179999999999999</v>
      </c>
      <c r="L673">
        <v>0.56000000000000005</v>
      </c>
      <c r="M673">
        <v>0.19400000000000001</v>
      </c>
      <c r="N673">
        <v>3</v>
      </c>
      <c r="O673">
        <v>83</v>
      </c>
      <c r="P673">
        <v>86</v>
      </c>
      <c r="S673" t="str">
        <f>IF(Dataset_A[[#This Row],[Hr]]&gt;=19,"Evening Time",IF(Dataset_A[[#This Row],[Hr]]&gt;=9,"Day Time",IF(Dataset_A[[#This Row],[Hr]]&gt;=0,"Night Time","")))</f>
        <v>Day Time</v>
      </c>
    </row>
    <row r="674" spans="1:19" x14ac:dyDescent="0.2">
      <c r="A674">
        <v>673</v>
      </c>
      <c r="B674" s="3">
        <v>40574</v>
      </c>
      <c r="C674">
        <v>1</v>
      </c>
      <c r="D674">
        <v>2011</v>
      </c>
      <c r="E674" t="s">
        <v>10</v>
      </c>
      <c r="F674">
        <v>17</v>
      </c>
      <c r="G674" t="b">
        <v>0</v>
      </c>
      <c r="H674" t="s">
        <v>13</v>
      </c>
      <c r="I674">
        <v>2</v>
      </c>
      <c r="J674">
        <v>0.16</v>
      </c>
      <c r="K674">
        <v>0.1515</v>
      </c>
      <c r="L674">
        <v>0.59</v>
      </c>
      <c r="M674">
        <v>0.19400000000000001</v>
      </c>
      <c r="N674">
        <v>6</v>
      </c>
      <c r="O674">
        <v>155</v>
      </c>
      <c r="P674">
        <v>161</v>
      </c>
      <c r="S674" t="str">
        <f>IF(Dataset_A[[#This Row],[Hr]]&gt;=19,"Evening Time",IF(Dataset_A[[#This Row],[Hr]]&gt;=9,"Day Time",IF(Dataset_A[[#This Row],[Hr]]&gt;=0,"Night Time","")))</f>
        <v>Day Time</v>
      </c>
    </row>
    <row r="675" spans="1:19" x14ac:dyDescent="0.2">
      <c r="A675">
        <v>674</v>
      </c>
      <c r="B675" s="3">
        <v>40574</v>
      </c>
      <c r="C675">
        <v>1</v>
      </c>
      <c r="D675">
        <v>2011</v>
      </c>
      <c r="E675" t="s">
        <v>10</v>
      </c>
      <c r="F675">
        <v>18</v>
      </c>
      <c r="G675" t="b">
        <v>0</v>
      </c>
      <c r="H675" t="s">
        <v>13</v>
      </c>
      <c r="I675">
        <v>2</v>
      </c>
      <c r="J675">
        <v>0.16</v>
      </c>
      <c r="K675">
        <v>0.1515</v>
      </c>
      <c r="L675">
        <v>0.55000000000000004</v>
      </c>
      <c r="M675">
        <v>0.22389999999999999</v>
      </c>
      <c r="N675">
        <v>3</v>
      </c>
      <c r="O675">
        <v>153</v>
      </c>
      <c r="P675">
        <v>156</v>
      </c>
      <c r="S675" t="str">
        <f>IF(Dataset_A[[#This Row],[Hr]]&gt;=19,"Evening Time",IF(Dataset_A[[#This Row],[Hr]]&gt;=9,"Day Time",IF(Dataset_A[[#This Row],[Hr]]&gt;=0,"Night Time","")))</f>
        <v>Day Time</v>
      </c>
    </row>
    <row r="676" spans="1:19" x14ac:dyDescent="0.2">
      <c r="A676">
        <v>675</v>
      </c>
      <c r="B676" s="3">
        <v>40574</v>
      </c>
      <c r="C676">
        <v>1</v>
      </c>
      <c r="D676">
        <v>2011</v>
      </c>
      <c r="E676" t="s">
        <v>10</v>
      </c>
      <c r="F676">
        <v>19</v>
      </c>
      <c r="G676" t="b">
        <v>0</v>
      </c>
      <c r="H676" t="s">
        <v>13</v>
      </c>
      <c r="I676">
        <v>1</v>
      </c>
      <c r="J676">
        <v>0.3</v>
      </c>
      <c r="K676">
        <v>0.31819999999999998</v>
      </c>
      <c r="L676">
        <v>0.61</v>
      </c>
      <c r="M676">
        <v>0.1045</v>
      </c>
      <c r="N676">
        <v>3</v>
      </c>
      <c r="O676">
        <v>108</v>
      </c>
      <c r="P676">
        <v>111</v>
      </c>
      <c r="S676" t="str">
        <f>IF(Dataset_A[[#This Row],[Hr]]&gt;=19,"Evening Time",IF(Dataset_A[[#This Row],[Hr]]&gt;=9,"Day Time",IF(Dataset_A[[#This Row],[Hr]]&gt;=0,"Night Time","")))</f>
        <v>Evening Time</v>
      </c>
    </row>
    <row r="677" spans="1:19" x14ac:dyDescent="0.2">
      <c r="A677">
        <v>676</v>
      </c>
      <c r="B677" s="3">
        <v>40574</v>
      </c>
      <c r="C677">
        <v>1</v>
      </c>
      <c r="D677">
        <v>2011</v>
      </c>
      <c r="E677" t="s">
        <v>10</v>
      </c>
      <c r="F677">
        <v>20</v>
      </c>
      <c r="G677" t="b">
        <v>0</v>
      </c>
      <c r="H677" t="s">
        <v>13</v>
      </c>
      <c r="I677">
        <v>3</v>
      </c>
      <c r="J677">
        <v>0.16</v>
      </c>
      <c r="K677">
        <v>0.16669999999999999</v>
      </c>
      <c r="L677">
        <v>0.59</v>
      </c>
      <c r="M677">
        <v>0.16420000000000001</v>
      </c>
      <c r="N677">
        <v>0</v>
      </c>
      <c r="O677">
        <v>78</v>
      </c>
      <c r="P677">
        <v>78</v>
      </c>
      <c r="S677" t="str">
        <f>IF(Dataset_A[[#This Row],[Hr]]&gt;=19,"Evening Time",IF(Dataset_A[[#This Row],[Hr]]&gt;=9,"Day Time",IF(Dataset_A[[#This Row],[Hr]]&gt;=0,"Night Time","")))</f>
        <v>Evening Time</v>
      </c>
    </row>
    <row r="678" spans="1:19" x14ac:dyDescent="0.2">
      <c r="A678">
        <v>677</v>
      </c>
      <c r="B678" s="3">
        <v>40574</v>
      </c>
      <c r="C678">
        <v>1</v>
      </c>
      <c r="D678">
        <v>2011</v>
      </c>
      <c r="E678" t="s">
        <v>10</v>
      </c>
      <c r="F678">
        <v>21</v>
      </c>
      <c r="G678" t="b">
        <v>0</v>
      </c>
      <c r="H678" t="s">
        <v>13</v>
      </c>
      <c r="I678">
        <v>3</v>
      </c>
      <c r="J678">
        <v>0.16</v>
      </c>
      <c r="K678">
        <v>0.19700000000000001</v>
      </c>
      <c r="L678">
        <v>0.59</v>
      </c>
      <c r="M678">
        <v>8.9599999999999999E-2</v>
      </c>
      <c r="N678">
        <v>3</v>
      </c>
      <c r="O678">
        <v>53</v>
      </c>
      <c r="P678">
        <v>56</v>
      </c>
      <c r="S678" t="str">
        <f>IF(Dataset_A[[#This Row],[Hr]]&gt;=19,"Evening Time",IF(Dataset_A[[#This Row],[Hr]]&gt;=9,"Day Time",IF(Dataset_A[[#This Row],[Hr]]&gt;=0,"Night Time","")))</f>
        <v>Evening Time</v>
      </c>
    </row>
    <row r="679" spans="1:19" x14ac:dyDescent="0.2">
      <c r="A679">
        <v>678</v>
      </c>
      <c r="B679" s="3">
        <v>40574</v>
      </c>
      <c r="C679">
        <v>1</v>
      </c>
      <c r="D679">
        <v>2011</v>
      </c>
      <c r="E679" t="s">
        <v>10</v>
      </c>
      <c r="F679">
        <v>22</v>
      </c>
      <c r="G679" t="b">
        <v>0</v>
      </c>
      <c r="H679" t="s">
        <v>13</v>
      </c>
      <c r="I679">
        <v>2</v>
      </c>
      <c r="J679">
        <v>0.16</v>
      </c>
      <c r="K679">
        <v>0.18179999999999999</v>
      </c>
      <c r="L679">
        <v>0.59</v>
      </c>
      <c r="M679">
        <v>0.1045</v>
      </c>
      <c r="N679">
        <v>0</v>
      </c>
      <c r="O679">
        <v>34</v>
      </c>
      <c r="P679">
        <v>34</v>
      </c>
      <c r="S679" t="str">
        <f>IF(Dataset_A[[#This Row],[Hr]]&gt;=19,"Evening Time",IF(Dataset_A[[#This Row],[Hr]]&gt;=9,"Day Time",IF(Dataset_A[[#This Row],[Hr]]&gt;=0,"Night Time","")))</f>
        <v>Evening Time</v>
      </c>
    </row>
    <row r="680" spans="1:19" x14ac:dyDescent="0.2">
      <c r="A680">
        <v>679</v>
      </c>
      <c r="B680" s="3">
        <v>40574</v>
      </c>
      <c r="C680">
        <v>1</v>
      </c>
      <c r="D680">
        <v>2011</v>
      </c>
      <c r="E680" t="s">
        <v>10</v>
      </c>
      <c r="F680">
        <v>23</v>
      </c>
      <c r="G680" t="b">
        <v>0</v>
      </c>
      <c r="H680" t="s">
        <v>13</v>
      </c>
      <c r="I680">
        <v>2</v>
      </c>
      <c r="J680">
        <v>0.16</v>
      </c>
      <c r="K680">
        <v>0.19700000000000001</v>
      </c>
      <c r="L680">
        <v>0.64</v>
      </c>
      <c r="M680">
        <v>8.9599999999999999E-2</v>
      </c>
      <c r="N680">
        <v>2</v>
      </c>
      <c r="O680">
        <v>15</v>
      </c>
      <c r="P680">
        <v>17</v>
      </c>
      <c r="S680" t="str">
        <f>IF(Dataset_A[[#This Row],[Hr]]&gt;=19,"Evening Time",IF(Dataset_A[[#This Row],[Hr]]&gt;=9,"Day Time",IF(Dataset_A[[#This Row],[Hr]]&gt;=0,"Night Time","")))</f>
        <v>Evening Time</v>
      </c>
    </row>
    <row r="681" spans="1:19" x14ac:dyDescent="0.2">
      <c r="A681">
        <v>680</v>
      </c>
      <c r="B681" s="3">
        <v>40575</v>
      </c>
      <c r="C681">
        <v>1</v>
      </c>
      <c r="D681">
        <v>2011</v>
      </c>
      <c r="E681" t="s">
        <v>25</v>
      </c>
      <c r="F681">
        <v>0</v>
      </c>
      <c r="G681" t="b">
        <v>0</v>
      </c>
      <c r="H681" t="s">
        <v>14</v>
      </c>
      <c r="I681">
        <v>2</v>
      </c>
      <c r="J681">
        <v>0.16</v>
      </c>
      <c r="K681">
        <v>0.18179999999999999</v>
      </c>
      <c r="L681">
        <v>0.64</v>
      </c>
      <c r="M681">
        <v>0.1045</v>
      </c>
      <c r="N681">
        <v>2</v>
      </c>
      <c r="O681">
        <v>6</v>
      </c>
      <c r="P681">
        <v>8</v>
      </c>
      <c r="S681" t="str">
        <f>IF(Dataset_A[[#This Row],[Hr]]&gt;=19,"Evening Time",IF(Dataset_A[[#This Row],[Hr]]&gt;=9,"Day Time",IF(Dataset_A[[#This Row],[Hr]]&gt;=0,"Night Time","")))</f>
        <v>Night Time</v>
      </c>
    </row>
    <row r="682" spans="1:19" x14ac:dyDescent="0.2">
      <c r="A682">
        <v>681</v>
      </c>
      <c r="B682" s="3">
        <v>40575</v>
      </c>
      <c r="C682">
        <v>1</v>
      </c>
      <c r="D682">
        <v>2011</v>
      </c>
      <c r="E682" t="s">
        <v>25</v>
      </c>
      <c r="F682">
        <v>1</v>
      </c>
      <c r="G682" t="b">
        <v>0</v>
      </c>
      <c r="H682" t="s">
        <v>14</v>
      </c>
      <c r="I682">
        <v>2</v>
      </c>
      <c r="J682">
        <v>0.16</v>
      </c>
      <c r="K682">
        <v>0.18179999999999999</v>
      </c>
      <c r="L682">
        <v>0.69</v>
      </c>
      <c r="M682">
        <v>0.1045</v>
      </c>
      <c r="N682">
        <v>0</v>
      </c>
      <c r="O682">
        <v>3</v>
      </c>
      <c r="P682">
        <v>3</v>
      </c>
      <c r="S682" t="str">
        <f>IF(Dataset_A[[#This Row],[Hr]]&gt;=19,"Evening Time",IF(Dataset_A[[#This Row],[Hr]]&gt;=9,"Day Time",IF(Dataset_A[[#This Row],[Hr]]&gt;=0,"Night Time","")))</f>
        <v>Night Time</v>
      </c>
    </row>
    <row r="683" spans="1:19" x14ac:dyDescent="0.2">
      <c r="A683">
        <v>682</v>
      </c>
      <c r="B683" s="3">
        <v>40575</v>
      </c>
      <c r="C683">
        <v>1</v>
      </c>
      <c r="D683">
        <v>2011</v>
      </c>
      <c r="E683" t="s">
        <v>25</v>
      </c>
      <c r="F683">
        <v>2</v>
      </c>
      <c r="G683" t="b">
        <v>0</v>
      </c>
      <c r="H683" t="s">
        <v>14</v>
      </c>
      <c r="I683">
        <v>2</v>
      </c>
      <c r="J683">
        <v>0.16</v>
      </c>
      <c r="K683">
        <v>0.2273</v>
      </c>
      <c r="L683">
        <v>0.69</v>
      </c>
      <c r="M683">
        <v>0</v>
      </c>
      <c r="N683">
        <v>0</v>
      </c>
      <c r="O683">
        <v>2</v>
      </c>
      <c r="P683">
        <v>2</v>
      </c>
      <c r="S683" t="str">
        <f>IF(Dataset_A[[#This Row],[Hr]]&gt;=19,"Evening Time",IF(Dataset_A[[#This Row],[Hr]]&gt;=9,"Day Time",IF(Dataset_A[[#This Row],[Hr]]&gt;=0,"Night Time","")))</f>
        <v>Night Time</v>
      </c>
    </row>
    <row r="684" spans="1:19" x14ac:dyDescent="0.2">
      <c r="A684">
        <v>683</v>
      </c>
      <c r="B684" s="3">
        <v>40575</v>
      </c>
      <c r="C684">
        <v>1</v>
      </c>
      <c r="D684">
        <v>2011</v>
      </c>
      <c r="E684" t="s">
        <v>25</v>
      </c>
      <c r="F684">
        <v>3</v>
      </c>
      <c r="G684" t="b">
        <v>0</v>
      </c>
      <c r="H684" t="s">
        <v>14</v>
      </c>
      <c r="I684">
        <v>2</v>
      </c>
      <c r="J684">
        <v>0.16</v>
      </c>
      <c r="K684">
        <v>0.2273</v>
      </c>
      <c r="L684">
        <v>0.69</v>
      </c>
      <c r="M684">
        <v>0</v>
      </c>
      <c r="N684">
        <v>0</v>
      </c>
      <c r="O684">
        <v>2</v>
      </c>
      <c r="P684">
        <v>2</v>
      </c>
      <c r="S684" t="str">
        <f>IF(Dataset_A[[#This Row],[Hr]]&gt;=19,"Evening Time",IF(Dataset_A[[#This Row],[Hr]]&gt;=9,"Day Time",IF(Dataset_A[[#This Row],[Hr]]&gt;=0,"Night Time","")))</f>
        <v>Night Time</v>
      </c>
    </row>
    <row r="685" spans="1:19" x14ac:dyDescent="0.2">
      <c r="A685">
        <v>684</v>
      </c>
      <c r="B685" s="3">
        <v>40575</v>
      </c>
      <c r="C685">
        <v>1</v>
      </c>
      <c r="D685">
        <v>2011</v>
      </c>
      <c r="E685" t="s">
        <v>25</v>
      </c>
      <c r="F685">
        <v>5</v>
      </c>
      <c r="G685" t="b">
        <v>0</v>
      </c>
      <c r="H685" t="s">
        <v>14</v>
      </c>
      <c r="I685">
        <v>3</v>
      </c>
      <c r="J685">
        <v>0.14000000000000001</v>
      </c>
      <c r="K685">
        <v>0.21210000000000001</v>
      </c>
      <c r="L685">
        <v>0.93</v>
      </c>
      <c r="M685">
        <v>0</v>
      </c>
      <c r="N685">
        <v>0</v>
      </c>
      <c r="O685">
        <v>3</v>
      </c>
      <c r="P685">
        <v>3</v>
      </c>
      <c r="S685" t="str">
        <f>IF(Dataset_A[[#This Row],[Hr]]&gt;=19,"Evening Time",IF(Dataset_A[[#This Row],[Hr]]&gt;=9,"Day Time",IF(Dataset_A[[#This Row],[Hr]]&gt;=0,"Night Time","")))</f>
        <v>Night Time</v>
      </c>
    </row>
    <row r="686" spans="1:19" x14ac:dyDescent="0.2">
      <c r="A686">
        <v>685</v>
      </c>
      <c r="B686" s="3">
        <v>40575</v>
      </c>
      <c r="C686">
        <v>1</v>
      </c>
      <c r="D686">
        <v>2011</v>
      </c>
      <c r="E686" t="s">
        <v>25</v>
      </c>
      <c r="F686">
        <v>6</v>
      </c>
      <c r="G686" t="b">
        <v>0</v>
      </c>
      <c r="H686" t="s">
        <v>14</v>
      </c>
      <c r="I686">
        <v>3</v>
      </c>
      <c r="J686">
        <v>0.14000000000000001</v>
      </c>
      <c r="K686">
        <v>0.21210000000000001</v>
      </c>
      <c r="L686">
        <v>0.93</v>
      </c>
      <c r="M686">
        <v>0</v>
      </c>
      <c r="N686">
        <v>0</v>
      </c>
      <c r="O686">
        <v>22</v>
      </c>
      <c r="P686">
        <v>22</v>
      </c>
      <c r="S686" t="str">
        <f>IF(Dataset_A[[#This Row],[Hr]]&gt;=19,"Evening Time",IF(Dataset_A[[#This Row],[Hr]]&gt;=9,"Day Time",IF(Dataset_A[[#This Row],[Hr]]&gt;=0,"Night Time","")))</f>
        <v>Night Time</v>
      </c>
    </row>
    <row r="687" spans="1:19" x14ac:dyDescent="0.2">
      <c r="A687">
        <v>686</v>
      </c>
      <c r="B687" s="3">
        <v>40575</v>
      </c>
      <c r="C687">
        <v>1</v>
      </c>
      <c r="D687">
        <v>2011</v>
      </c>
      <c r="E687" t="s">
        <v>25</v>
      </c>
      <c r="F687">
        <v>7</v>
      </c>
      <c r="G687" t="b">
        <v>0</v>
      </c>
      <c r="H687" t="s">
        <v>14</v>
      </c>
      <c r="I687">
        <v>3</v>
      </c>
      <c r="J687">
        <v>0.16</v>
      </c>
      <c r="K687">
        <v>0.2273</v>
      </c>
      <c r="L687">
        <v>0.93</v>
      </c>
      <c r="M687">
        <v>0</v>
      </c>
      <c r="N687">
        <v>0</v>
      </c>
      <c r="O687">
        <v>52</v>
      </c>
      <c r="P687">
        <v>52</v>
      </c>
      <c r="S687" t="str">
        <f>IF(Dataset_A[[#This Row],[Hr]]&gt;=19,"Evening Time",IF(Dataset_A[[#This Row],[Hr]]&gt;=9,"Day Time",IF(Dataset_A[[#This Row],[Hr]]&gt;=0,"Night Time","")))</f>
        <v>Night Time</v>
      </c>
    </row>
    <row r="688" spans="1:19" x14ac:dyDescent="0.2">
      <c r="A688">
        <v>687</v>
      </c>
      <c r="B688" s="3">
        <v>40575</v>
      </c>
      <c r="C688">
        <v>1</v>
      </c>
      <c r="D688">
        <v>2011</v>
      </c>
      <c r="E688" t="s">
        <v>25</v>
      </c>
      <c r="F688">
        <v>8</v>
      </c>
      <c r="G688" t="b">
        <v>0</v>
      </c>
      <c r="H688" t="s">
        <v>14</v>
      </c>
      <c r="I688">
        <v>3</v>
      </c>
      <c r="J688">
        <v>0.16</v>
      </c>
      <c r="K688">
        <v>0.2273</v>
      </c>
      <c r="L688">
        <v>0.93</v>
      </c>
      <c r="M688">
        <v>0</v>
      </c>
      <c r="N688">
        <v>3</v>
      </c>
      <c r="O688">
        <v>132</v>
      </c>
      <c r="P688">
        <v>135</v>
      </c>
      <c r="S688" t="str">
        <f>IF(Dataset_A[[#This Row],[Hr]]&gt;=19,"Evening Time",IF(Dataset_A[[#This Row],[Hr]]&gt;=9,"Day Time",IF(Dataset_A[[#This Row],[Hr]]&gt;=0,"Night Time","")))</f>
        <v>Night Time</v>
      </c>
    </row>
    <row r="689" spans="1:19" x14ac:dyDescent="0.2">
      <c r="A689">
        <v>688</v>
      </c>
      <c r="B689" s="3">
        <v>40575</v>
      </c>
      <c r="C689">
        <v>1</v>
      </c>
      <c r="D689">
        <v>2011</v>
      </c>
      <c r="E689" t="s">
        <v>25</v>
      </c>
      <c r="F689">
        <v>9</v>
      </c>
      <c r="G689" t="b">
        <v>0</v>
      </c>
      <c r="H689" t="s">
        <v>14</v>
      </c>
      <c r="I689">
        <v>2</v>
      </c>
      <c r="J689">
        <v>0.16</v>
      </c>
      <c r="K689">
        <v>0.2273</v>
      </c>
      <c r="L689">
        <v>0.93</v>
      </c>
      <c r="M689">
        <v>0</v>
      </c>
      <c r="N689">
        <v>2</v>
      </c>
      <c r="O689">
        <v>114</v>
      </c>
      <c r="P689">
        <v>116</v>
      </c>
      <c r="S689" t="str">
        <f>IF(Dataset_A[[#This Row],[Hr]]&gt;=19,"Evening Time",IF(Dataset_A[[#This Row],[Hr]]&gt;=9,"Day Time",IF(Dataset_A[[#This Row],[Hr]]&gt;=0,"Night Time","")))</f>
        <v>Day Time</v>
      </c>
    </row>
    <row r="690" spans="1:19" x14ac:dyDescent="0.2">
      <c r="A690">
        <v>689</v>
      </c>
      <c r="B690" s="3">
        <v>40575</v>
      </c>
      <c r="C690">
        <v>1</v>
      </c>
      <c r="D690">
        <v>2011</v>
      </c>
      <c r="E690" t="s">
        <v>25</v>
      </c>
      <c r="F690">
        <v>10</v>
      </c>
      <c r="G690" t="b">
        <v>0</v>
      </c>
      <c r="H690" t="s">
        <v>14</v>
      </c>
      <c r="I690">
        <v>2</v>
      </c>
      <c r="J690">
        <v>0.16</v>
      </c>
      <c r="K690">
        <v>0.2273</v>
      </c>
      <c r="L690">
        <v>0.93</v>
      </c>
      <c r="M690">
        <v>0</v>
      </c>
      <c r="N690">
        <v>0</v>
      </c>
      <c r="O690">
        <v>47</v>
      </c>
      <c r="P690">
        <v>47</v>
      </c>
      <c r="S690" t="str">
        <f>IF(Dataset_A[[#This Row],[Hr]]&gt;=19,"Evening Time",IF(Dataset_A[[#This Row],[Hr]]&gt;=9,"Day Time",IF(Dataset_A[[#This Row],[Hr]]&gt;=0,"Night Time","")))</f>
        <v>Day Time</v>
      </c>
    </row>
    <row r="691" spans="1:19" x14ac:dyDescent="0.2">
      <c r="A691">
        <v>690</v>
      </c>
      <c r="B691" s="3">
        <v>40575</v>
      </c>
      <c r="C691">
        <v>1</v>
      </c>
      <c r="D691">
        <v>2011</v>
      </c>
      <c r="E691" t="s">
        <v>25</v>
      </c>
      <c r="F691">
        <v>11</v>
      </c>
      <c r="G691" t="b">
        <v>0</v>
      </c>
      <c r="H691" t="s">
        <v>14</v>
      </c>
      <c r="I691">
        <v>2</v>
      </c>
      <c r="J691">
        <v>0.18</v>
      </c>
      <c r="K691">
        <v>0.2424</v>
      </c>
      <c r="L691">
        <v>0.86</v>
      </c>
      <c r="M691">
        <v>0</v>
      </c>
      <c r="N691">
        <v>2</v>
      </c>
      <c r="O691">
        <v>49</v>
      </c>
      <c r="P691">
        <v>51</v>
      </c>
      <c r="S691" t="str">
        <f>IF(Dataset_A[[#This Row],[Hr]]&gt;=19,"Evening Time",IF(Dataset_A[[#This Row],[Hr]]&gt;=9,"Day Time",IF(Dataset_A[[#This Row],[Hr]]&gt;=0,"Night Time","")))</f>
        <v>Day Time</v>
      </c>
    </row>
    <row r="692" spans="1:19" x14ac:dyDescent="0.2">
      <c r="A692">
        <v>691</v>
      </c>
      <c r="B692" s="3">
        <v>40575</v>
      </c>
      <c r="C692">
        <v>1</v>
      </c>
      <c r="D692">
        <v>2011</v>
      </c>
      <c r="E692" t="s">
        <v>25</v>
      </c>
      <c r="F692">
        <v>12</v>
      </c>
      <c r="G692" t="b">
        <v>0</v>
      </c>
      <c r="H692" t="s">
        <v>14</v>
      </c>
      <c r="I692">
        <v>2</v>
      </c>
      <c r="J692">
        <v>0.2</v>
      </c>
      <c r="K692">
        <v>0.2576</v>
      </c>
      <c r="L692">
        <v>0.86</v>
      </c>
      <c r="M692">
        <v>0</v>
      </c>
      <c r="N692">
        <v>2</v>
      </c>
      <c r="O692">
        <v>53</v>
      </c>
      <c r="P692">
        <v>55</v>
      </c>
      <c r="S692" t="str">
        <f>IF(Dataset_A[[#This Row],[Hr]]&gt;=19,"Evening Time",IF(Dataset_A[[#This Row],[Hr]]&gt;=9,"Day Time",IF(Dataset_A[[#This Row],[Hr]]&gt;=0,"Night Time","")))</f>
        <v>Day Time</v>
      </c>
    </row>
    <row r="693" spans="1:19" x14ac:dyDescent="0.2">
      <c r="A693">
        <v>692</v>
      </c>
      <c r="B693" s="3">
        <v>40575</v>
      </c>
      <c r="C693">
        <v>1</v>
      </c>
      <c r="D693">
        <v>2011</v>
      </c>
      <c r="E693" t="s">
        <v>25</v>
      </c>
      <c r="F693">
        <v>13</v>
      </c>
      <c r="G693" t="b">
        <v>0</v>
      </c>
      <c r="H693" t="s">
        <v>14</v>
      </c>
      <c r="I693">
        <v>2</v>
      </c>
      <c r="J693">
        <v>0.2</v>
      </c>
      <c r="K693">
        <v>0.2576</v>
      </c>
      <c r="L693">
        <v>0.86</v>
      </c>
      <c r="M693">
        <v>0</v>
      </c>
      <c r="N693">
        <v>3</v>
      </c>
      <c r="O693">
        <v>49</v>
      </c>
      <c r="P693">
        <v>52</v>
      </c>
      <c r="S693" t="str">
        <f>IF(Dataset_A[[#This Row],[Hr]]&gt;=19,"Evening Time",IF(Dataset_A[[#This Row],[Hr]]&gt;=9,"Day Time",IF(Dataset_A[[#This Row],[Hr]]&gt;=0,"Night Time","")))</f>
        <v>Day Time</v>
      </c>
    </row>
    <row r="694" spans="1:19" x14ac:dyDescent="0.2">
      <c r="A694">
        <v>693</v>
      </c>
      <c r="B694" s="3">
        <v>40575</v>
      </c>
      <c r="C694">
        <v>1</v>
      </c>
      <c r="D694">
        <v>2011</v>
      </c>
      <c r="E694" t="s">
        <v>25</v>
      </c>
      <c r="F694">
        <v>14</v>
      </c>
      <c r="G694" t="b">
        <v>0</v>
      </c>
      <c r="H694" t="s">
        <v>14</v>
      </c>
      <c r="I694">
        <v>2</v>
      </c>
      <c r="J694">
        <v>0.22</v>
      </c>
      <c r="K694">
        <v>0.2576</v>
      </c>
      <c r="L694">
        <v>0.8</v>
      </c>
      <c r="M694">
        <v>8.9599999999999999E-2</v>
      </c>
      <c r="N694">
        <v>5</v>
      </c>
      <c r="O694">
        <v>49</v>
      </c>
      <c r="P694">
        <v>54</v>
      </c>
      <c r="S694" t="str">
        <f>IF(Dataset_A[[#This Row],[Hr]]&gt;=19,"Evening Time",IF(Dataset_A[[#This Row],[Hr]]&gt;=9,"Day Time",IF(Dataset_A[[#This Row],[Hr]]&gt;=0,"Night Time","")))</f>
        <v>Day Time</v>
      </c>
    </row>
    <row r="695" spans="1:19" x14ac:dyDescent="0.2">
      <c r="A695">
        <v>694</v>
      </c>
      <c r="B695" s="3">
        <v>40575</v>
      </c>
      <c r="C695">
        <v>1</v>
      </c>
      <c r="D695">
        <v>2011</v>
      </c>
      <c r="E695" t="s">
        <v>25</v>
      </c>
      <c r="F695">
        <v>15</v>
      </c>
      <c r="G695" t="b">
        <v>0</v>
      </c>
      <c r="H695" t="s">
        <v>14</v>
      </c>
      <c r="I695">
        <v>2</v>
      </c>
      <c r="J695">
        <v>0.24</v>
      </c>
      <c r="K695">
        <v>0.28789999999999999</v>
      </c>
      <c r="L695">
        <v>0.75</v>
      </c>
      <c r="M695">
        <v>0</v>
      </c>
      <c r="N695">
        <v>7</v>
      </c>
      <c r="O695">
        <v>45</v>
      </c>
      <c r="P695">
        <v>52</v>
      </c>
      <c r="S695" t="str">
        <f>IF(Dataset_A[[#This Row],[Hr]]&gt;=19,"Evening Time",IF(Dataset_A[[#This Row],[Hr]]&gt;=9,"Day Time",IF(Dataset_A[[#This Row],[Hr]]&gt;=0,"Night Time","")))</f>
        <v>Day Time</v>
      </c>
    </row>
    <row r="696" spans="1:19" x14ac:dyDescent="0.2">
      <c r="A696">
        <v>695</v>
      </c>
      <c r="B696" s="3">
        <v>40575</v>
      </c>
      <c r="C696">
        <v>1</v>
      </c>
      <c r="D696">
        <v>2011</v>
      </c>
      <c r="E696" t="s">
        <v>25</v>
      </c>
      <c r="F696">
        <v>16</v>
      </c>
      <c r="G696" t="b">
        <v>0</v>
      </c>
      <c r="H696" t="s">
        <v>14</v>
      </c>
      <c r="I696">
        <v>2</v>
      </c>
      <c r="J696">
        <v>0.24</v>
      </c>
      <c r="K696">
        <v>0.2424</v>
      </c>
      <c r="L696">
        <v>0.75</v>
      </c>
      <c r="M696">
        <v>0.1343</v>
      </c>
      <c r="N696">
        <v>3</v>
      </c>
      <c r="O696">
        <v>61</v>
      </c>
      <c r="P696">
        <v>64</v>
      </c>
      <c r="S696" t="str">
        <f>IF(Dataset_A[[#This Row],[Hr]]&gt;=19,"Evening Time",IF(Dataset_A[[#This Row],[Hr]]&gt;=9,"Day Time",IF(Dataset_A[[#This Row],[Hr]]&gt;=0,"Night Time","")))</f>
        <v>Day Time</v>
      </c>
    </row>
    <row r="697" spans="1:19" x14ac:dyDescent="0.2">
      <c r="A697">
        <v>696</v>
      </c>
      <c r="B697" s="3">
        <v>40575</v>
      </c>
      <c r="C697">
        <v>1</v>
      </c>
      <c r="D697">
        <v>2011</v>
      </c>
      <c r="E697" t="s">
        <v>25</v>
      </c>
      <c r="F697">
        <v>17</v>
      </c>
      <c r="G697" t="b">
        <v>0</v>
      </c>
      <c r="H697" t="s">
        <v>14</v>
      </c>
      <c r="I697">
        <v>2</v>
      </c>
      <c r="J697">
        <v>0.24</v>
      </c>
      <c r="K697">
        <v>0.28789999999999999</v>
      </c>
      <c r="L697">
        <v>0.75</v>
      </c>
      <c r="M697">
        <v>0</v>
      </c>
      <c r="N697">
        <v>4</v>
      </c>
      <c r="O697">
        <v>172</v>
      </c>
      <c r="P697">
        <v>176</v>
      </c>
      <c r="S697" t="str">
        <f>IF(Dataset_A[[#This Row],[Hr]]&gt;=19,"Evening Time",IF(Dataset_A[[#This Row],[Hr]]&gt;=9,"Day Time",IF(Dataset_A[[#This Row],[Hr]]&gt;=0,"Night Time","")))</f>
        <v>Day Time</v>
      </c>
    </row>
    <row r="698" spans="1:19" x14ac:dyDescent="0.2">
      <c r="A698">
        <v>697</v>
      </c>
      <c r="B698" s="3">
        <v>40575</v>
      </c>
      <c r="C698">
        <v>1</v>
      </c>
      <c r="D698">
        <v>2011</v>
      </c>
      <c r="E698" t="s">
        <v>25</v>
      </c>
      <c r="F698">
        <v>18</v>
      </c>
      <c r="G698" t="b">
        <v>0</v>
      </c>
      <c r="H698" t="s">
        <v>14</v>
      </c>
      <c r="I698">
        <v>2</v>
      </c>
      <c r="J698">
        <v>0.24</v>
      </c>
      <c r="K698">
        <v>0.2576</v>
      </c>
      <c r="L698">
        <v>0.81</v>
      </c>
      <c r="M698">
        <v>0.1045</v>
      </c>
      <c r="N698">
        <v>3</v>
      </c>
      <c r="O698">
        <v>165</v>
      </c>
      <c r="P698">
        <v>168</v>
      </c>
      <c r="S698" t="str">
        <f>IF(Dataset_A[[#This Row],[Hr]]&gt;=19,"Evening Time",IF(Dataset_A[[#This Row],[Hr]]&gt;=9,"Day Time",IF(Dataset_A[[#This Row],[Hr]]&gt;=0,"Night Time","")))</f>
        <v>Day Time</v>
      </c>
    </row>
    <row r="699" spans="1:19" x14ac:dyDescent="0.2">
      <c r="A699">
        <v>698</v>
      </c>
      <c r="B699" s="3">
        <v>40575</v>
      </c>
      <c r="C699">
        <v>1</v>
      </c>
      <c r="D699">
        <v>2011</v>
      </c>
      <c r="E699" t="s">
        <v>25</v>
      </c>
      <c r="F699">
        <v>19</v>
      </c>
      <c r="G699" t="b">
        <v>0</v>
      </c>
      <c r="H699" t="s">
        <v>14</v>
      </c>
      <c r="I699">
        <v>2</v>
      </c>
      <c r="J699">
        <v>0.24</v>
      </c>
      <c r="K699">
        <v>0.2424</v>
      </c>
      <c r="L699">
        <v>0.81</v>
      </c>
      <c r="M699">
        <v>0.1343</v>
      </c>
      <c r="N699">
        <v>3</v>
      </c>
      <c r="O699">
        <v>105</v>
      </c>
      <c r="P699">
        <v>108</v>
      </c>
      <c r="S699" t="str">
        <f>IF(Dataset_A[[#This Row],[Hr]]&gt;=19,"Evening Time",IF(Dataset_A[[#This Row],[Hr]]&gt;=9,"Day Time",IF(Dataset_A[[#This Row],[Hr]]&gt;=0,"Night Time","")))</f>
        <v>Evening Time</v>
      </c>
    </row>
    <row r="700" spans="1:19" x14ac:dyDescent="0.2">
      <c r="A700">
        <v>699</v>
      </c>
      <c r="B700" s="3">
        <v>40575</v>
      </c>
      <c r="C700">
        <v>1</v>
      </c>
      <c r="D700">
        <v>2011</v>
      </c>
      <c r="E700" t="s">
        <v>25</v>
      </c>
      <c r="F700">
        <v>20</v>
      </c>
      <c r="G700" t="b">
        <v>0</v>
      </c>
      <c r="H700" t="s">
        <v>14</v>
      </c>
      <c r="I700">
        <v>2</v>
      </c>
      <c r="J700">
        <v>0.22</v>
      </c>
      <c r="K700">
        <v>0.2273</v>
      </c>
      <c r="L700">
        <v>0.87</v>
      </c>
      <c r="M700">
        <v>0.1343</v>
      </c>
      <c r="N700">
        <v>5</v>
      </c>
      <c r="O700">
        <v>69</v>
      </c>
      <c r="P700">
        <v>74</v>
      </c>
      <c r="S700" t="str">
        <f>IF(Dataset_A[[#This Row],[Hr]]&gt;=19,"Evening Time",IF(Dataset_A[[#This Row],[Hr]]&gt;=9,"Day Time",IF(Dataset_A[[#This Row],[Hr]]&gt;=0,"Night Time","")))</f>
        <v>Evening Time</v>
      </c>
    </row>
    <row r="701" spans="1:19" x14ac:dyDescent="0.2">
      <c r="A701">
        <v>700</v>
      </c>
      <c r="B701" s="3">
        <v>40575</v>
      </c>
      <c r="C701">
        <v>1</v>
      </c>
      <c r="D701">
        <v>2011</v>
      </c>
      <c r="E701" t="s">
        <v>25</v>
      </c>
      <c r="F701">
        <v>21</v>
      </c>
      <c r="G701" t="b">
        <v>0</v>
      </c>
      <c r="H701" t="s">
        <v>14</v>
      </c>
      <c r="I701">
        <v>2</v>
      </c>
      <c r="J701">
        <v>0.22</v>
      </c>
      <c r="K701">
        <v>0.2273</v>
      </c>
      <c r="L701">
        <v>0.87</v>
      </c>
      <c r="M701">
        <v>0.1343</v>
      </c>
      <c r="N701">
        <v>0</v>
      </c>
      <c r="O701">
        <v>64</v>
      </c>
      <c r="P701">
        <v>64</v>
      </c>
      <c r="S701" t="str">
        <f>IF(Dataset_A[[#This Row],[Hr]]&gt;=19,"Evening Time",IF(Dataset_A[[#This Row],[Hr]]&gt;=9,"Day Time",IF(Dataset_A[[#This Row],[Hr]]&gt;=0,"Night Time","")))</f>
        <v>Evening Time</v>
      </c>
    </row>
    <row r="702" spans="1:19" x14ac:dyDescent="0.2">
      <c r="A702">
        <v>701</v>
      </c>
      <c r="B702" s="3">
        <v>40575</v>
      </c>
      <c r="C702">
        <v>1</v>
      </c>
      <c r="D702">
        <v>2011</v>
      </c>
      <c r="E702" t="s">
        <v>25</v>
      </c>
      <c r="F702">
        <v>22</v>
      </c>
      <c r="G702" t="b">
        <v>0</v>
      </c>
      <c r="H702" t="s">
        <v>14</v>
      </c>
      <c r="I702">
        <v>2</v>
      </c>
      <c r="J702">
        <v>0.22</v>
      </c>
      <c r="K702">
        <v>0.2576</v>
      </c>
      <c r="L702">
        <v>0.87</v>
      </c>
      <c r="M702">
        <v>8.9599999999999999E-2</v>
      </c>
      <c r="N702">
        <v>2</v>
      </c>
      <c r="O702">
        <v>34</v>
      </c>
      <c r="P702">
        <v>36</v>
      </c>
      <c r="S702" t="str">
        <f>IF(Dataset_A[[#This Row],[Hr]]&gt;=19,"Evening Time",IF(Dataset_A[[#This Row],[Hr]]&gt;=9,"Day Time",IF(Dataset_A[[#This Row],[Hr]]&gt;=0,"Night Time","")))</f>
        <v>Evening Time</v>
      </c>
    </row>
    <row r="703" spans="1:19" x14ac:dyDescent="0.2">
      <c r="A703">
        <v>702</v>
      </c>
      <c r="B703" s="3">
        <v>40575</v>
      </c>
      <c r="C703">
        <v>1</v>
      </c>
      <c r="D703">
        <v>2011</v>
      </c>
      <c r="E703" t="s">
        <v>25</v>
      </c>
      <c r="F703">
        <v>23</v>
      </c>
      <c r="G703" t="b">
        <v>0</v>
      </c>
      <c r="H703" t="s">
        <v>14</v>
      </c>
      <c r="I703">
        <v>3</v>
      </c>
      <c r="J703">
        <v>0.2</v>
      </c>
      <c r="K703">
        <v>0.19700000000000001</v>
      </c>
      <c r="L703">
        <v>0.93</v>
      </c>
      <c r="M703">
        <v>0.19400000000000001</v>
      </c>
      <c r="N703">
        <v>1</v>
      </c>
      <c r="O703">
        <v>15</v>
      </c>
      <c r="P703">
        <v>16</v>
      </c>
      <c r="S703" t="str">
        <f>IF(Dataset_A[[#This Row],[Hr]]&gt;=19,"Evening Time",IF(Dataset_A[[#This Row],[Hr]]&gt;=9,"Day Time",IF(Dataset_A[[#This Row],[Hr]]&gt;=0,"Night Time","")))</f>
        <v>Evening Time</v>
      </c>
    </row>
    <row r="704" spans="1:19" x14ac:dyDescent="0.2">
      <c r="A704">
        <v>703</v>
      </c>
      <c r="B704" s="3">
        <v>40576</v>
      </c>
      <c r="C704">
        <v>1</v>
      </c>
      <c r="D704">
        <v>2011</v>
      </c>
      <c r="E704" t="s">
        <v>25</v>
      </c>
      <c r="F704">
        <v>0</v>
      </c>
      <c r="G704" t="b">
        <v>0</v>
      </c>
      <c r="H704" t="s">
        <v>15</v>
      </c>
      <c r="I704">
        <v>3</v>
      </c>
      <c r="J704">
        <v>0.22</v>
      </c>
      <c r="K704">
        <v>0.2424</v>
      </c>
      <c r="L704">
        <v>0.93</v>
      </c>
      <c r="M704">
        <v>0.1045</v>
      </c>
      <c r="N704">
        <v>0</v>
      </c>
      <c r="O704">
        <v>2</v>
      </c>
      <c r="P704">
        <v>2</v>
      </c>
      <c r="S704" t="str">
        <f>IF(Dataset_A[[#This Row],[Hr]]&gt;=19,"Evening Time",IF(Dataset_A[[#This Row],[Hr]]&gt;=9,"Day Time",IF(Dataset_A[[#This Row],[Hr]]&gt;=0,"Night Time","")))</f>
        <v>Night Time</v>
      </c>
    </row>
    <row r="705" spans="1:19" x14ac:dyDescent="0.2">
      <c r="A705">
        <v>704</v>
      </c>
      <c r="B705" s="3">
        <v>40576</v>
      </c>
      <c r="C705">
        <v>1</v>
      </c>
      <c r="D705">
        <v>2011</v>
      </c>
      <c r="E705" t="s">
        <v>25</v>
      </c>
      <c r="F705">
        <v>1</v>
      </c>
      <c r="G705" t="b">
        <v>0</v>
      </c>
      <c r="H705" t="s">
        <v>15</v>
      </c>
      <c r="I705">
        <v>3</v>
      </c>
      <c r="J705">
        <v>0.22</v>
      </c>
      <c r="K705">
        <v>0.2273</v>
      </c>
      <c r="L705">
        <v>0.93</v>
      </c>
      <c r="M705">
        <v>0.19400000000000001</v>
      </c>
      <c r="N705">
        <v>0</v>
      </c>
      <c r="O705">
        <v>3</v>
      </c>
      <c r="P705">
        <v>3</v>
      </c>
      <c r="S705" t="str">
        <f>IF(Dataset_A[[#This Row],[Hr]]&gt;=19,"Evening Time",IF(Dataset_A[[#This Row],[Hr]]&gt;=9,"Day Time",IF(Dataset_A[[#This Row],[Hr]]&gt;=0,"Night Time","")))</f>
        <v>Night Time</v>
      </c>
    </row>
    <row r="706" spans="1:19" x14ac:dyDescent="0.2">
      <c r="A706">
        <v>705</v>
      </c>
      <c r="B706" s="3">
        <v>40576</v>
      </c>
      <c r="C706">
        <v>1</v>
      </c>
      <c r="D706">
        <v>2011</v>
      </c>
      <c r="E706" t="s">
        <v>25</v>
      </c>
      <c r="F706">
        <v>2</v>
      </c>
      <c r="G706" t="b">
        <v>0</v>
      </c>
      <c r="H706" t="s">
        <v>15</v>
      </c>
      <c r="I706">
        <v>3</v>
      </c>
      <c r="J706">
        <v>0.22</v>
      </c>
      <c r="K706">
        <v>0.2273</v>
      </c>
      <c r="L706">
        <v>0.93</v>
      </c>
      <c r="M706">
        <v>0.1343</v>
      </c>
      <c r="N706">
        <v>4</v>
      </c>
      <c r="O706">
        <v>0</v>
      </c>
      <c r="P706">
        <v>4</v>
      </c>
      <c r="S706" t="str">
        <f>IF(Dataset_A[[#This Row],[Hr]]&gt;=19,"Evening Time",IF(Dataset_A[[#This Row],[Hr]]&gt;=9,"Day Time",IF(Dataset_A[[#This Row],[Hr]]&gt;=0,"Night Time","")))</f>
        <v>Night Time</v>
      </c>
    </row>
    <row r="707" spans="1:19" x14ac:dyDescent="0.2">
      <c r="A707">
        <v>706</v>
      </c>
      <c r="B707" s="3">
        <v>40576</v>
      </c>
      <c r="C707">
        <v>1</v>
      </c>
      <c r="D707">
        <v>2011</v>
      </c>
      <c r="E707" t="s">
        <v>25</v>
      </c>
      <c r="F707">
        <v>3</v>
      </c>
      <c r="G707" t="b">
        <v>0</v>
      </c>
      <c r="H707" t="s">
        <v>15</v>
      </c>
      <c r="I707">
        <v>3</v>
      </c>
      <c r="J707">
        <v>0.22</v>
      </c>
      <c r="K707">
        <v>0.2273</v>
      </c>
      <c r="L707">
        <v>0.93</v>
      </c>
      <c r="M707">
        <v>0.1343</v>
      </c>
      <c r="N707">
        <v>0</v>
      </c>
      <c r="O707">
        <v>1</v>
      </c>
      <c r="P707">
        <v>1</v>
      </c>
      <c r="S707" t="str">
        <f>IF(Dataset_A[[#This Row],[Hr]]&gt;=19,"Evening Time",IF(Dataset_A[[#This Row],[Hr]]&gt;=9,"Day Time",IF(Dataset_A[[#This Row],[Hr]]&gt;=0,"Night Time","")))</f>
        <v>Night Time</v>
      </c>
    </row>
    <row r="708" spans="1:19" x14ac:dyDescent="0.2">
      <c r="A708">
        <v>707</v>
      </c>
      <c r="B708" s="3">
        <v>40576</v>
      </c>
      <c r="C708">
        <v>1</v>
      </c>
      <c r="D708">
        <v>2011</v>
      </c>
      <c r="E708" t="s">
        <v>25</v>
      </c>
      <c r="F708">
        <v>4</v>
      </c>
      <c r="G708" t="b">
        <v>0</v>
      </c>
      <c r="H708" t="s">
        <v>15</v>
      </c>
      <c r="I708">
        <v>3</v>
      </c>
      <c r="J708">
        <v>0.22</v>
      </c>
      <c r="K708">
        <v>0.21210000000000001</v>
      </c>
      <c r="L708">
        <v>0.93</v>
      </c>
      <c r="M708">
        <v>0.28360000000000002</v>
      </c>
      <c r="N708">
        <v>0</v>
      </c>
      <c r="O708">
        <v>1</v>
      </c>
      <c r="P708">
        <v>1</v>
      </c>
      <c r="S708" t="str">
        <f>IF(Dataset_A[[#This Row],[Hr]]&gt;=19,"Evening Time",IF(Dataset_A[[#This Row],[Hr]]&gt;=9,"Day Time",IF(Dataset_A[[#This Row],[Hr]]&gt;=0,"Night Time","")))</f>
        <v>Night Time</v>
      </c>
    </row>
    <row r="709" spans="1:19" x14ac:dyDescent="0.2">
      <c r="A709">
        <v>708</v>
      </c>
      <c r="B709" s="3">
        <v>40576</v>
      </c>
      <c r="C709">
        <v>1</v>
      </c>
      <c r="D709">
        <v>2011</v>
      </c>
      <c r="E709" t="s">
        <v>25</v>
      </c>
      <c r="F709">
        <v>5</v>
      </c>
      <c r="G709" t="b">
        <v>0</v>
      </c>
      <c r="H709" t="s">
        <v>15</v>
      </c>
      <c r="I709">
        <v>3</v>
      </c>
      <c r="J709">
        <v>0.22</v>
      </c>
      <c r="K709">
        <v>0.2424</v>
      </c>
      <c r="L709">
        <v>0.93</v>
      </c>
      <c r="M709">
        <v>0.1045</v>
      </c>
      <c r="N709">
        <v>0</v>
      </c>
      <c r="O709">
        <v>3</v>
      </c>
      <c r="P709">
        <v>3</v>
      </c>
      <c r="S709" t="str">
        <f>IF(Dataset_A[[#This Row],[Hr]]&gt;=19,"Evening Time",IF(Dataset_A[[#This Row],[Hr]]&gt;=9,"Day Time",IF(Dataset_A[[#This Row],[Hr]]&gt;=0,"Night Time","")))</f>
        <v>Night Time</v>
      </c>
    </row>
    <row r="710" spans="1:19" x14ac:dyDescent="0.2">
      <c r="A710">
        <v>709</v>
      </c>
      <c r="B710" s="3">
        <v>40576</v>
      </c>
      <c r="C710">
        <v>1</v>
      </c>
      <c r="D710">
        <v>2011</v>
      </c>
      <c r="E710" t="s">
        <v>25</v>
      </c>
      <c r="F710">
        <v>6</v>
      </c>
      <c r="G710" t="b">
        <v>0</v>
      </c>
      <c r="H710" t="s">
        <v>15</v>
      </c>
      <c r="I710">
        <v>3</v>
      </c>
      <c r="J710">
        <v>0.22</v>
      </c>
      <c r="K710">
        <v>0.2424</v>
      </c>
      <c r="L710">
        <v>0.93</v>
      </c>
      <c r="M710">
        <v>0.1045</v>
      </c>
      <c r="N710">
        <v>1</v>
      </c>
      <c r="O710">
        <v>17</v>
      </c>
      <c r="P710">
        <v>18</v>
      </c>
      <c r="S710" t="str">
        <f>IF(Dataset_A[[#This Row],[Hr]]&gt;=19,"Evening Time",IF(Dataset_A[[#This Row],[Hr]]&gt;=9,"Day Time",IF(Dataset_A[[#This Row],[Hr]]&gt;=0,"Night Time","")))</f>
        <v>Night Time</v>
      </c>
    </row>
    <row r="711" spans="1:19" x14ac:dyDescent="0.2">
      <c r="A711">
        <v>710</v>
      </c>
      <c r="B711" s="3">
        <v>40576</v>
      </c>
      <c r="C711">
        <v>1</v>
      </c>
      <c r="D711">
        <v>2011</v>
      </c>
      <c r="E711" t="s">
        <v>25</v>
      </c>
      <c r="F711">
        <v>7</v>
      </c>
      <c r="G711" t="b">
        <v>0</v>
      </c>
      <c r="H711" t="s">
        <v>15</v>
      </c>
      <c r="I711">
        <v>3</v>
      </c>
      <c r="J711">
        <v>0.22</v>
      </c>
      <c r="K711">
        <v>0.21210000000000001</v>
      </c>
      <c r="L711">
        <v>0.93</v>
      </c>
      <c r="M711">
        <v>0.22389999999999999</v>
      </c>
      <c r="N711">
        <v>1</v>
      </c>
      <c r="O711">
        <v>48</v>
      </c>
      <c r="P711">
        <v>49</v>
      </c>
      <c r="S711" t="str">
        <f>IF(Dataset_A[[#This Row],[Hr]]&gt;=19,"Evening Time",IF(Dataset_A[[#This Row],[Hr]]&gt;=9,"Day Time",IF(Dataset_A[[#This Row],[Hr]]&gt;=0,"Night Time","")))</f>
        <v>Night Time</v>
      </c>
    </row>
    <row r="712" spans="1:19" x14ac:dyDescent="0.2">
      <c r="A712">
        <v>711</v>
      </c>
      <c r="B712" s="3">
        <v>40576</v>
      </c>
      <c r="C712">
        <v>1</v>
      </c>
      <c r="D712">
        <v>2011</v>
      </c>
      <c r="E712" t="s">
        <v>25</v>
      </c>
      <c r="F712">
        <v>8</v>
      </c>
      <c r="G712" t="b">
        <v>0</v>
      </c>
      <c r="H712" t="s">
        <v>15</v>
      </c>
      <c r="I712">
        <v>3</v>
      </c>
      <c r="J712">
        <v>0.22</v>
      </c>
      <c r="K712">
        <v>0.21210000000000001</v>
      </c>
      <c r="L712">
        <v>0.93</v>
      </c>
      <c r="M712">
        <v>0.22389999999999999</v>
      </c>
      <c r="N712">
        <v>1</v>
      </c>
      <c r="O712">
        <v>154</v>
      </c>
      <c r="P712">
        <v>155</v>
      </c>
      <c r="S712" t="str">
        <f>IF(Dataset_A[[#This Row],[Hr]]&gt;=19,"Evening Time",IF(Dataset_A[[#This Row],[Hr]]&gt;=9,"Day Time",IF(Dataset_A[[#This Row],[Hr]]&gt;=0,"Night Time","")))</f>
        <v>Night Time</v>
      </c>
    </row>
    <row r="713" spans="1:19" x14ac:dyDescent="0.2">
      <c r="A713">
        <v>712</v>
      </c>
      <c r="B713" s="3">
        <v>40576</v>
      </c>
      <c r="C713">
        <v>1</v>
      </c>
      <c r="D713">
        <v>2011</v>
      </c>
      <c r="E713" t="s">
        <v>25</v>
      </c>
      <c r="F713">
        <v>9</v>
      </c>
      <c r="G713" t="b">
        <v>0</v>
      </c>
      <c r="H713" t="s">
        <v>15</v>
      </c>
      <c r="I713">
        <v>2</v>
      </c>
      <c r="J713">
        <v>0.24</v>
      </c>
      <c r="K713">
        <v>0.2576</v>
      </c>
      <c r="L713">
        <v>0.93</v>
      </c>
      <c r="M713">
        <v>8.9599999999999999E-2</v>
      </c>
      <c r="N713">
        <v>4</v>
      </c>
      <c r="O713">
        <v>119</v>
      </c>
      <c r="P713">
        <v>123</v>
      </c>
      <c r="S713" t="str">
        <f>IF(Dataset_A[[#This Row],[Hr]]&gt;=19,"Evening Time",IF(Dataset_A[[#This Row],[Hr]]&gt;=9,"Day Time",IF(Dataset_A[[#This Row],[Hr]]&gt;=0,"Night Time","")))</f>
        <v>Day Time</v>
      </c>
    </row>
    <row r="714" spans="1:19" x14ac:dyDescent="0.2">
      <c r="A714">
        <v>713</v>
      </c>
      <c r="B714" s="3">
        <v>40576</v>
      </c>
      <c r="C714">
        <v>1</v>
      </c>
      <c r="D714">
        <v>2011</v>
      </c>
      <c r="E714" t="s">
        <v>25</v>
      </c>
      <c r="F714">
        <v>10</v>
      </c>
      <c r="G714" t="b">
        <v>0</v>
      </c>
      <c r="H714" t="s">
        <v>15</v>
      </c>
      <c r="I714">
        <v>2</v>
      </c>
      <c r="J714">
        <v>0.22</v>
      </c>
      <c r="K714">
        <v>0.2727</v>
      </c>
      <c r="L714">
        <v>1</v>
      </c>
      <c r="M714">
        <v>0</v>
      </c>
      <c r="N714">
        <v>2</v>
      </c>
      <c r="O714">
        <v>59</v>
      </c>
      <c r="P714">
        <v>61</v>
      </c>
      <c r="S714" t="str">
        <f>IF(Dataset_A[[#This Row],[Hr]]&gt;=19,"Evening Time",IF(Dataset_A[[#This Row],[Hr]]&gt;=9,"Day Time",IF(Dataset_A[[#This Row],[Hr]]&gt;=0,"Night Time","")))</f>
        <v>Day Time</v>
      </c>
    </row>
    <row r="715" spans="1:19" x14ac:dyDescent="0.2">
      <c r="A715">
        <v>714</v>
      </c>
      <c r="B715" s="3">
        <v>40576</v>
      </c>
      <c r="C715">
        <v>1</v>
      </c>
      <c r="D715">
        <v>2011</v>
      </c>
      <c r="E715" t="s">
        <v>25</v>
      </c>
      <c r="F715">
        <v>11</v>
      </c>
      <c r="G715" t="b">
        <v>0</v>
      </c>
      <c r="H715" t="s">
        <v>15</v>
      </c>
      <c r="I715">
        <v>2</v>
      </c>
      <c r="J715">
        <v>0.24</v>
      </c>
      <c r="K715">
        <v>0.2273</v>
      </c>
      <c r="L715">
        <v>0.93</v>
      </c>
      <c r="M715">
        <v>0.19400000000000001</v>
      </c>
      <c r="N715">
        <v>5</v>
      </c>
      <c r="O715">
        <v>47</v>
      </c>
      <c r="P715">
        <v>52</v>
      </c>
      <c r="S715" t="str">
        <f>IF(Dataset_A[[#This Row],[Hr]]&gt;=19,"Evening Time",IF(Dataset_A[[#This Row],[Hr]]&gt;=9,"Day Time",IF(Dataset_A[[#This Row],[Hr]]&gt;=0,"Night Time","")))</f>
        <v>Day Time</v>
      </c>
    </row>
    <row r="716" spans="1:19" x14ac:dyDescent="0.2">
      <c r="A716">
        <v>715</v>
      </c>
      <c r="B716" s="3">
        <v>40576</v>
      </c>
      <c r="C716">
        <v>1</v>
      </c>
      <c r="D716">
        <v>2011</v>
      </c>
      <c r="E716" t="s">
        <v>25</v>
      </c>
      <c r="F716">
        <v>12</v>
      </c>
      <c r="G716" t="b">
        <v>0</v>
      </c>
      <c r="H716" t="s">
        <v>15</v>
      </c>
      <c r="I716">
        <v>2</v>
      </c>
      <c r="J716">
        <v>0.24</v>
      </c>
      <c r="K716">
        <v>0.2273</v>
      </c>
      <c r="L716">
        <v>0.93</v>
      </c>
      <c r="M716">
        <v>0.22389999999999999</v>
      </c>
      <c r="N716">
        <v>3</v>
      </c>
      <c r="O716">
        <v>61</v>
      </c>
      <c r="P716">
        <v>64</v>
      </c>
      <c r="S716" t="str">
        <f>IF(Dataset_A[[#This Row],[Hr]]&gt;=19,"Evening Time",IF(Dataset_A[[#This Row],[Hr]]&gt;=9,"Day Time",IF(Dataset_A[[#This Row],[Hr]]&gt;=0,"Night Time","")))</f>
        <v>Day Time</v>
      </c>
    </row>
    <row r="717" spans="1:19" x14ac:dyDescent="0.2">
      <c r="A717">
        <v>716</v>
      </c>
      <c r="B717" s="3">
        <v>40576</v>
      </c>
      <c r="C717">
        <v>1</v>
      </c>
      <c r="D717">
        <v>2011</v>
      </c>
      <c r="E717" t="s">
        <v>25</v>
      </c>
      <c r="F717">
        <v>13</v>
      </c>
      <c r="G717" t="b">
        <v>0</v>
      </c>
      <c r="H717" t="s">
        <v>15</v>
      </c>
      <c r="I717">
        <v>1</v>
      </c>
      <c r="J717">
        <v>0.34</v>
      </c>
      <c r="K717">
        <v>0.33329999999999999</v>
      </c>
      <c r="L717">
        <v>0.93</v>
      </c>
      <c r="M717">
        <v>0.16420000000000001</v>
      </c>
      <c r="N717">
        <v>1</v>
      </c>
      <c r="O717">
        <v>74</v>
      </c>
      <c r="P717">
        <v>75</v>
      </c>
      <c r="S717" t="str">
        <f>IF(Dataset_A[[#This Row],[Hr]]&gt;=19,"Evening Time",IF(Dataset_A[[#This Row],[Hr]]&gt;=9,"Day Time",IF(Dataset_A[[#This Row],[Hr]]&gt;=0,"Night Time","")))</f>
        <v>Day Time</v>
      </c>
    </row>
    <row r="718" spans="1:19" x14ac:dyDescent="0.2">
      <c r="A718">
        <v>717</v>
      </c>
      <c r="B718" s="3">
        <v>40576</v>
      </c>
      <c r="C718">
        <v>1</v>
      </c>
      <c r="D718">
        <v>2011</v>
      </c>
      <c r="E718" t="s">
        <v>25</v>
      </c>
      <c r="F718">
        <v>14</v>
      </c>
      <c r="G718" t="b">
        <v>0</v>
      </c>
      <c r="H718" t="s">
        <v>15</v>
      </c>
      <c r="I718">
        <v>1</v>
      </c>
      <c r="J718">
        <v>0.38</v>
      </c>
      <c r="K718">
        <v>0.39389999999999997</v>
      </c>
      <c r="L718">
        <v>0.82</v>
      </c>
      <c r="M718">
        <v>0.3881</v>
      </c>
      <c r="N718">
        <v>2</v>
      </c>
      <c r="O718">
        <v>61</v>
      </c>
      <c r="P718">
        <v>63</v>
      </c>
      <c r="S718" t="str">
        <f>IF(Dataset_A[[#This Row],[Hr]]&gt;=19,"Evening Time",IF(Dataset_A[[#This Row],[Hr]]&gt;=9,"Day Time",IF(Dataset_A[[#This Row],[Hr]]&gt;=0,"Night Time","")))</f>
        <v>Day Time</v>
      </c>
    </row>
    <row r="719" spans="1:19" x14ac:dyDescent="0.2">
      <c r="A719">
        <v>718</v>
      </c>
      <c r="B719" s="3">
        <v>40576</v>
      </c>
      <c r="C719">
        <v>1</v>
      </c>
      <c r="D719">
        <v>2011</v>
      </c>
      <c r="E719" t="s">
        <v>25</v>
      </c>
      <c r="F719">
        <v>15</v>
      </c>
      <c r="G719" t="b">
        <v>0</v>
      </c>
      <c r="H719" t="s">
        <v>15</v>
      </c>
      <c r="I719">
        <v>1</v>
      </c>
      <c r="J719">
        <v>0.38</v>
      </c>
      <c r="K719">
        <v>0.39389999999999997</v>
      </c>
      <c r="L719">
        <v>0.76</v>
      </c>
      <c r="M719">
        <v>0.32840000000000003</v>
      </c>
      <c r="N719">
        <v>10</v>
      </c>
      <c r="O719">
        <v>66</v>
      </c>
      <c r="P719">
        <v>76</v>
      </c>
      <c r="S719" t="str">
        <f>IF(Dataset_A[[#This Row],[Hr]]&gt;=19,"Evening Time",IF(Dataset_A[[#This Row],[Hr]]&gt;=9,"Day Time",IF(Dataset_A[[#This Row],[Hr]]&gt;=0,"Night Time","")))</f>
        <v>Day Time</v>
      </c>
    </row>
    <row r="720" spans="1:19" x14ac:dyDescent="0.2">
      <c r="A720">
        <v>719</v>
      </c>
      <c r="B720" s="3">
        <v>40576</v>
      </c>
      <c r="C720">
        <v>1</v>
      </c>
      <c r="D720">
        <v>2011</v>
      </c>
      <c r="E720" t="s">
        <v>25</v>
      </c>
      <c r="F720">
        <v>16</v>
      </c>
      <c r="G720" t="b">
        <v>0</v>
      </c>
      <c r="H720" t="s">
        <v>15</v>
      </c>
      <c r="I720">
        <v>1</v>
      </c>
      <c r="J720">
        <v>0.36</v>
      </c>
      <c r="K720">
        <v>0.33329999999999999</v>
      </c>
      <c r="L720">
        <v>0.71</v>
      </c>
      <c r="M720">
        <v>0.29849999999999999</v>
      </c>
      <c r="N720">
        <v>8</v>
      </c>
      <c r="O720">
        <v>95</v>
      </c>
      <c r="P720">
        <v>103</v>
      </c>
      <c r="S720" t="str">
        <f>IF(Dataset_A[[#This Row],[Hr]]&gt;=19,"Evening Time",IF(Dataset_A[[#This Row],[Hr]]&gt;=9,"Day Time",IF(Dataset_A[[#This Row],[Hr]]&gt;=0,"Night Time","")))</f>
        <v>Day Time</v>
      </c>
    </row>
    <row r="721" spans="1:19" x14ac:dyDescent="0.2">
      <c r="A721">
        <v>720</v>
      </c>
      <c r="B721" s="3">
        <v>40576</v>
      </c>
      <c r="C721">
        <v>1</v>
      </c>
      <c r="D721">
        <v>2011</v>
      </c>
      <c r="E721" t="s">
        <v>25</v>
      </c>
      <c r="F721">
        <v>17</v>
      </c>
      <c r="G721" t="b">
        <v>0</v>
      </c>
      <c r="H721" t="s">
        <v>15</v>
      </c>
      <c r="I721">
        <v>1</v>
      </c>
      <c r="J721">
        <v>0.36</v>
      </c>
      <c r="K721">
        <v>0.31819999999999998</v>
      </c>
      <c r="L721">
        <v>0.53</v>
      </c>
      <c r="M721">
        <v>0.52239999999999998</v>
      </c>
      <c r="N721">
        <v>7</v>
      </c>
      <c r="O721">
        <v>183</v>
      </c>
      <c r="P721">
        <v>190</v>
      </c>
      <c r="S721" t="str">
        <f>IF(Dataset_A[[#This Row],[Hr]]&gt;=19,"Evening Time",IF(Dataset_A[[#This Row],[Hr]]&gt;=9,"Day Time",IF(Dataset_A[[#This Row],[Hr]]&gt;=0,"Night Time","")))</f>
        <v>Day Time</v>
      </c>
    </row>
    <row r="722" spans="1:19" x14ac:dyDescent="0.2">
      <c r="A722">
        <v>721</v>
      </c>
      <c r="B722" s="3">
        <v>40576</v>
      </c>
      <c r="C722">
        <v>1</v>
      </c>
      <c r="D722">
        <v>2011</v>
      </c>
      <c r="E722" t="s">
        <v>25</v>
      </c>
      <c r="F722">
        <v>18</v>
      </c>
      <c r="G722" t="b">
        <v>0</v>
      </c>
      <c r="H722" t="s">
        <v>15</v>
      </c>
      <c r="I722">
        <v>1</v>
      </c>
      <c r="J722">
        <v>0.34</v>
      </c>
      <c r="K722">
        <v>0.28789999999999999</v>
      </c>
      <c r="L722">
        <v>0.42</v>
      </c>
      <c r="M722">
        <v>0.55220000000000002</v>
      </c>
      <c r="N722">
        <v>7</v>
      </c>
      <c r="O722">
        <v>175</v>
      </c>
      <c r="P722">
        <v>182</v>
      </c>
      <c r="S722" t="str">
        <f>IF(Dataset_A[[#This Row],[Hr]]&gt;=19,"Evening Time",IF(Dataset_A[[#This Row],[Hr]]&gt;=9,"Day Time",IF(Dataset_A[[#This Row],[Hr]]&gt;=0,"Night Time","")))</f>
        <v>Day Time</v>
      </c>
    </row>
    <row r="723" spans="1:19" x14ac:dyDescent="0.2">
      <c r="A723">
        <v>722</v>
      </c>
      <c r="B723" s="3">
        <v>40576</v>
      </c>
      <c r="C723">
        <v>1</v>
      </c>
      <c r="D723">
        <v>2011</v>
      </c>
      <c r="E723" t="s">
        <v>25</v>
      </c>
      <c r="F723">
        <v>19</v>
      </c>
      <c r="G723" t="b">
        <v>0</v>
      </c>
      <c r="H723" t="s">
        <v>15</v>
      </c>
      <c r="I723">
        <v>1</v>
      </c>
      <c r="J723">
        <v>0.28000000000000003</v>
      </c>
      <c r="K723">
        <v>0.2424</v>
      </c>
      <c r="L723">
        <v>0.45</v>
      </c>
      <c r="M723">
        <v>0.49249999999999999</v>
      </c>
      <c r="N723">
        <v>3</v>
      </c>
      <c r="O723">
        <v>88</v>
      </c>
      <c r="P723">
        <v>91</v>
      </c>
      <c r="S723" t="str">
        <f>IF(Dataset_A[[#This Row],[Hr]]&gt;=19,"Evening Time",IF(Dataset_A[[#This Row],[Hr]]&gt;=9,"Day Time",IF(Dataset_A[[#This Row],[Hr]]&gt;=0,"Night Time","")))</f>
        <v>Evening Time</v>
      </c>
    </row>
    <row r="724" spans="1:19" x14ac:dyDescent="0.2">
      <c r="A724">
        <v>723</v>
      </c>
      <c r="B724" s="3">
        <v>40576</v>
      </c>
      <c r="C724">
        <v>1</v>
      </c>
      <c r="D724">
        <v>2011</v>
      </c>
      <c r="E724" t="s">
        <v>25</v>
      </c>
      <c r="F724">
        <v>20</v>
      </c>
      <c r="G724" t="b">
        <v>0</v>
      </c>
      <c r="H724" t="s">
        <v>15</v>
      </c>
      <c r="I724">
        <v>1</v>
      </c>
      <c r="J724">
        <v>0.24</v>
      </c>
      <c r="K724">
        <v>0.19700000000000001</v>
      </c>
      <c r="L724">
        <v>0.48</v>
      </c>
      <c r="M724">
        <v>0.55220000000000002</v>
      </c>
      <c r="N724">
        <v>4</v>
      </c>
      <c r="O724">
        <v>71</v>
      </c>
      <c r="P724">
        <v>75</v>
      </c>
      <c r="S724" t="str">
        <f>IF(Dataset_A[[#This Row],[Hr]]&gt;=19,"Evening Time",IF(Dataset_A[[#This Row],[Hr]]&gt;=9,"Day Time",IF(Dataset_A[[#This Row],[Hr]]&gt;=0,"Night Time","")))</f>
        <v>Evening Time</v>
      </c>
    </row>
    <row r="725" spans="1:19" x14ac:dyDescent="0.2">
      <c r="A725">
        <v>724</v>
      </c>
      <c r="B725" s="3">
        <v>40576</v>
      </c>
      <c r="C725">
        <v>1</v>
      </c>
      <c r="D725">
        <v>2011</v>
      </c>
      <c r="E725" t="s">
        <v>25</v>
      </c>
      <c r="F725">
        <v>21</v>
      </c>
      <c r="G725" t="b">
        <v>0</v>
      </c>
      <c r="H725" t="s">
        <v>15</v>
      </c>
      <c r="I725">
        <v>1</v>
      </c>
      <c r="J725">
        <v>0.22</v>
      </c>
      <c r="K725">
        <v>0.19700000000000001</v>
      </c>
      <c r="L725">
        <v>0.47</v>
      </c>
      <c r="M725">
        <v>0.32840000000000003</v>
      </c>
      <c r="N725">
        <v>1</v>
      </c>
      <c r="O725">
        <v>62</v>
      </c>
      <c r="P725">
        <v>63</v>
      </c>
      <c r="S725" t="str">
        <f>IF(Dataset_A[[#This Row],[Hr]]&gt;=19,"Evening Time",IF(Dataset_A[[#This Row],[Hr]]&gt;=9,"Day Time",IF(Dataset_A[[#This Row],[Hr]]&gt;=0,"Night Time","")))</f>
        <v>Evening Time</v>
      </c>
    </row>
    <row r="726" spans="1:19" x14ac:dyDescent="0.2">
      <c r="A726">
        <v>725</v>
      </c>
      <c r="B726" s="3">
        <v>40576</v>
      </c>
      <c r="C726">
        <v>1</v>
      </c>
      <c r="D726">
        <v>2011</v>
      </c>
      <c r="E726" t="s">
        <v>25</v>
      </c>
      <c r="F726">
        <v>22</v>
      </c>
      <c r="G726" t="b">
        <v>0</v>
      </c>
      <c r="H726" t="s">
        <v>15</v>
      </c>
      <c r="I726">
        <v>1</v>
      </c>
      <c r="J726">
        <v>0.22</v>
      </c>
      <c r="K726">
        <v>0.21210000000000001</v>
      </c>
      <c r="L726">
        <v>0.44</v>
      </c>
      <c r="M726">
        <v>0.25369999999999998</v>
      </c>
      <c r="N726">
        <v>5</v>
      </c>
      <c r="O726">
        <v>35</v>
      </c>
      <c r="P726">
        <v>40</v>
      </c>
      <c r="S726" t="str">
        <f>IF(Dataset_A[[#This Row],[Hr]]&gt;=19,"Evening Time",IF(Dataset_A[[#This Row],[Hr]]&gt;=9,"Day Time",IF(Dataset_A[[#This Row],[Hr]]&gt;=0,"Night Time","")))</f>
        <v>Evening Time</v>
      </c>
    </row>
    <row r="727" spans="1:19" x14ac:dyDescent="0.2">
      <c r="A727">
        <v>726</v>
      </c>
      <c r="B727" s="3">
        <v>40576</v>
      </c>
      <c r="C727">
        <v>1</v>
      </c>
      <c r="D727">
        <v>2011</v>
      </c>
      <c r="E727" t="s">
        <v>25</v>
      </c>
      <c r="F727">
        <v>23</v>
      </c>
      <c r="G727" t="b">
        <v>0</v>
      </c>
      <c r="H727" t="s">
        <v>15</v>
      </c>
      <c r="I727">
        <v>1</v>
      </c>
      <c r="J727">
        <v>0.2</v>
      </c>
      <c r="K727">
        <v>0.16669999999999999</v>
      </c>
      <c r="L727">
        <v>0.44</v>
      </c>
      <c r="M727">
        <v>0.44779999999999998</v>
      </c>
      <c r="N727">
        <v>3</v>
      </c>
      <c r="O727">
        <v>29</v>
      </c>
      <c r="P727">
        <v>32</v>
      </c>
      <c r="S727" t="str">
        <f>IF(Dataset_A[[#This Row],[Hr]]&gt;=19,"Evening Time",IF(Dataset_A[[#This Row],[Hr]]&gt;=9,"Day Time",IF(Dataset_A[[#This Row],[Hr]]&gt;=0,"Night Time","")))</f>
        <v>Evening Time</v>
      </c>
    </row>
    <row r="728" spans="1:19" x14ac:dyDescent="0.2">
      <c r="A728">
        <v>727</v>
      </c>
      <c r="B728" s="3">
        <v>40577</v>
      </c>
      <c r="C728">
        <v>1</v>
      </c>
      <c r="D728">
        <v>2011</v>
      </c>
      <c r="E728" t="s">
        <v>25</v>
      </c>
      <c r="F728">
        <v>0</v>
      </c>
      <c r="G728" t="b">
        <v>0</v>
      </c>
      <c r="H728" t="s">
        <v>16</v>
      </c>
      <c r="I728">
        <v>1</v>
      </c>
      <c r="J728">
        <v>0.2</v>
      </c>
      <c r="K728">
        <v>0.16669999999999999</v>
      </c>
      <c r="L728">
        <v>0.4</v>
      </c>
      <c r="M728">
        <v>0.44779999999999998</v>
      </c>
      <c r="N728">
        <v>1</v>
      </c>
      <c r="O728">
        <v>11</v>
      </c>
      <c r="P728">
        <v>12</v>
      </c>
      <c r="S728" t="str">
        <f>IF(Dataset_A[[#This Row],[Hr]]&gt;=19,"Evening Time",IF(Dataset_A[[#This Row],[Hr]]&gt;=9,"Day Time",IF(Dataset_A[[#This Row],[Hr]]&gt;=0,"Night Time","")))</f>
        <v>Night Time</v>
      </c>
    </row>
    <row r="729" spans="1:19" x14ac:dyDescent="0.2">
      <c r="A729">
        <v>728</v>
      </c>
      <c r="B729" s="3">
        <v>40577</v>
      </c>
      <c r="C729">
        <v>1</v>
      </c>
      <c r="D729">
        <v>2011</v>
      </c>
      <c r="E729" t="s">
        <v>25</v>
      </c>
      <c r="F729">
        <v>1</v>
      </c>
      <c r="G729" t="b">
        <v>0</v>
      </c>
      <c r="H729" t="s">
        <v>16</v>
      </c>
      <c r="I729">
        <v>1</v>
      </c>
      <c r="J729">
        <v>0.2</v>
      </c>
      <c r="K729">
        <v>0.1515</v>
      </c>
      <c r="L729">
        <v>0.44</v>
      </c>
      <c r="M729">
        <v>0.52239999999999998</v>
      </c>
      <c r="N729">
        <v>0</v>
      </c>
      <c r="O729">
        <v>5</v>
      </c>
      <c r="P729">
        <v>5</v>
      </c>
      <c r="S729" t="str">
        <f>IF(Dataset_A[[#This Row],[Hr]]&gt;=19,"Evening Time",IF(Dataset_A[[#This Row],[Hr]]&gt;=9,"Day Time",IF(Dataset_A[[#This Row],[Hr]]&gt;=0,"Night Time","")))</f>
        <v>Night Time</v>
      </c>
    </row>
    <row r="730" spans="1:19" x14ac:dyDescent="0.2">
      <c r="A730">
        <v>729</v>
      </c>
      <c r="B730" s="3">
        <v>40577</v>
      </c>
      <c r="C730">
        <v>1</v>
      </c>
      <c r="D730">
        <v>2011</v>
      </c>
      <c r="E730" t="s">
        <v>25</v>
      </c>
      <c r="F730">
        <v>2</v>
      </c>
      <c r="G730" t="b">
        <v>0</v>
      </c>
      <c r="H730" t="s">
        <v>16</v>
      </c>
      <c r="I730">
        <v>1</v>
      </c>
      <c r="J730">
        <v>0.18</v>
      </c>
      <c r="K730">
        <v>0.16669999999999999</v>
      </c>
      <c r="L730">
        <v>0.43</v>
      </c>
      <c r="M730">
        <v>0.25369999999999998</v>
      </c>
      <c r="N730">
        <v>0</v>
      </c>
      <c r="O730">
        <v>2</v>
      </c>
      <c r="P730">
        <v>2</v>
      </c>
      <c r="S730" t="str">
        <f>IF(Dataset_A[[#This Row],[Hr]]&gt;=19,"Evening Time",IF(Dataset_A[[#This Row],[Hr]]&gt;=9,"Day Time",IF(Dataset_A[[#This Row],[Hr]]&gt;=0,"Night Time","")))</f>
        <v>Night Time</v>
      </c>
    </row>
    <row r="731" spans="1:19" x14ac:dyDescent="0.2">
      <c r="A731">
        <v>730</v>
      </c>
      <c r="B731" s="3">
        <v>40577</v>
      </c>
      <c r="C731">
        <v>1</v>
      </c>
      <c r="D731">
        <v>2011</v>
      </c>
      <c r="E731" t="s">
        <v>25</v>
      </c>
      <c r="F731">
        <v>3</v>
      </c>
      <c r="G731" t="b">
        <v>0</v>
      </c>
      <c r="H731" t="s">
        <v>16</v>
      </c>
      <c r="I731">
        <v>1</v>
      </c>
      <c r="J731">
        <v>0.18</v>
      </c>
      <c r="K731">
        <v>0.16669999999999999</v>
      </c>
      <c r="L731">
        <v>0.43</v>
      </c>
      <c r="M731">
        <v>0.25369999999999998</v>
      </c>
      <c r="N731">
        <v>0</v>
      </c>
      <c r="O731">
        <v>1</v>
      </c>
      <c r="P731">
        <v>1</v>
      </c>
      <c r="S731" t="str">
        <f>IF(Dataset_A[[#This Row],[Hr]]&gt;=19,"Evening Time",IF(Dataset_A[[#This Row],[Hr]]&gt;=9,"Day Time",IF(Dataset_A[[#This Row],[Hr]]&gt;=0,"Night Time","")))</f>
        <v>Night Time</v>
      </c>
    </row>
    <row r="732" spans="1:19" x14ac:dyDescent="0.2">
      <c r="A732">
        <v>731</v>
      </c>
      <c r="B732" s="3">
        <v>40577</v>
      </c>
      <c r="C732">
        <v>1</v>
      </c>
      <c r="D732">
        <v>2011</v>
      </c>
      <c r="E732" t="s">
        <v>25</v>
      </c>
      <c r="F732">
        <v>5</v>
      </c>
      <c r="G732" t="b">
        <v>0</v>
      </c>
      <c r="H732" t="s">
        <v>16</v>
      </c>
      <c r="I732">
        <v>1</v>
      </c>
      <c r="J732">
        <v>0.16</v>
      </c>
      <c r="K732">
        <v>0.13639999999999999</v>
      </c>
      <c r="L732">
        <v>0.5</v>
      </c>
      <c r="M732">
        <v>0.29849999999999999</v>
      </c>
      <c r="N732">
        <v>0</v>
      </c>
      <c r="O732">
        <v>2</v>
      </c>
      <c r="P732">
        <v>2</v>
      </c>
      <c r="S732" t="str">
        <f>IF(Dataset_A[[#This Row],[Hr]]&gt;=19,"Evening Time",IF(Dataset_A[[#This Row],[Hr]]&gt;=9,"Day Time",IF(Dataset_A[[#This Row],[Hr]]&gt;=0,"Night Time","")))</f>
        <v>Night Time</v>
      </c>
    </row>
    <row r="733" spans="1:19" x14ac:dyDescent="0.2">
      <c r="A733">
        <v>732</v>
      </c>
      <c r="B733" s="3">
        <v>40577</v>
      </c>
      <c r="C733">
        <v>1</v>
      </c>
      <c r="D733">
        <v>2011</v>
      </c>
      <c r="E733" t="s">
        <v>25</v>
      </c>
      <c r="F733">
        <v>6</v>
      </c>
      <c r="G733" t="b">
        <v>0</v>
      </c>
      <c r="H733" t="s">
        <v>16</v>
      </c>
      <c r="I733">
        <v>1</v>
      </c>
      <c r="J733">
        <v>0.16</v>
      </c>
      <c r="K733">
        <v>0.13639999999999999</v>
      </c>
      <c r="L733">
        <v>0.43</v>
      </c>
      <c r="M733">
        <v>0.35820000000000002</v>
      </c>
      <c r="N733">
        <v>0</v>
      </c>
      <c r="O733">
        <v>39</v>
      </c>
      <c r="P733">
        <v>39</v>
      </c>
      <c r="S733" t="str">
        <f>IF(Dataset_A[[#This Row],[Hr]]&gt;=19,"Evening Time",IF(Dataset_A[[#This Row],[Hr]]&gt;=9,"Day Time",IF(Dataset_A[[#This Row],[Hr]]&gt;=0,"Night Time","")))</f>
        <v>Night Time</v>
      </c>
    </row>
    <row r="734" spans="1:19" x14ac:dyDescent="0.2">
      <c r="A734">
        <v>733</v>
      </c>
      <c r="B734" s="3">
        <v>40577</v>
      </c>
      <c r="C734">
        <v>1</v>
      </c>
      <c r="D734">
        <v>2011</v>
      </c>
      <c r="E734" t="s">
        <v>25</v>
      </c>
      <c r="F734">
        <v>7</v>
      </c>
      <c r="G734" t="b">
        <v>0</v>
      </c>
      <c r="H734" t="s">
        <v>16</v>
      </c>
      <c r="I734">
        <v>1</v>
      </c>
      <c r="J734">
        <v>0.14000000000000001</v>
      </c>
      <c r="K734">
        <v>0.1212</v>
      </c>
      <c r="L734">
        <v>0.5</v>
      </c>
      <c r="M734">
        <v>0.32840000000000003</v>
      </c>
      <c r="N734">
        <v>1</v>
      </c>
      <c r="O734">
        <v>86</v>
      </c>
      <c r="P734">
        <v>87</v>
      </c>
      <c r="S734" t="str">
        <f>IF(Dataset_A[[#This Row],[Hr]]&gt;=19,"Evening Time",IF(Dataset_A[[#This Row],[Hr]]&gt;=9,"Day Time",IF(Dataset_A[[#This Row],[Hr]]&gt;=0,"Night Time","")))</f>
        <v>Night Time</v>
      </c>
    </row>
    <row r="735" spans="1:19" x14ac:dyDescent="0.2">
      <c r="A735">
        <v>734</v>
      </c>
      <c r="B735" s="3">
        <v>40577</v>
      </c>
      <c r="C735">
        <v>1</v>
      </c>
      <c r="D735">
        <v>2011</v>
      </c>
      <c r="E735" t="s">
        <v>25</v>
      </c>
      <c r="F735">
        <v>8</v>
      </c>
      <c r="G735" t="b">
        <v>0</v>
      </c>
      <c r="H735" t="s">
        <v>16</v>
      </c>
      <c r="I735">
        <v>1</v>
      </c>
      <c r="J735">
        <v>0.14000000000000001</v>
      </c>
      <c r="K735">
        <v>0.1212</v>
      </c>
      <c r="L735">
        <v>0.5</v>
      </c>
      <c r="M735">
        <v>0.35820000000000002</v>
      </c>
      <c r="N735">
        <v>4</v>
      </c>
      <c r="O735">
        <v>184</v>
      </c>
      <c r="P735">
        <v>188</v>
      </c>
      <c r="S735" t="str">
        <f>IF(Dataset_A[[#This Row],[Hr]]&gt;=19,"Evening Time",IF(Dataset_A[[#This Row],[Hr]]&gt;=9,"Day Time",IF(Dataset_A[[#This Row],[Hr]]&gt;=0,"Night Time","")))</f>
        <v>Night Time</v>
      </c>
    </row>
    <row r="736" spans="1:19" x14ac:dyDescent="0.2">
      <c r="A736">
        <v>735</v>
      </c>
      <c r="B736" s="3">
        <v>40577</v>
      </c>
      <c r="C736">
        <v>1</v>
      </c>
      <c r="D736">
        <v>2011</v>
      </c>
      <c r="E736" t="s">
        <v>25</v>
      </c>
      <c r="F736">
        <v>9</v>
      </c>
      <c r="G736" t="b">
        <v>0</v>
      </c>
      <c r="H736" t="s">
        <v>16</v>
      </c>
      <c r="I736">
        <v>1</v>
      </c>
      <c r="J736">
        <v>0.16</v>
      </c>
      <c r="K736">
        <v>0.13639999999999999</v>
      </c>
      <c r="L736">
        <v>0.47</v>
      </c>
      <c r="M736">
        <v>0.29849999999999999</v>
      </c>
      <c r="N736">
        <v>6</v>
      </c>
      <c r="O736">
        <v>127</v>
      </c>
      <c r="P736">
        <v>133</v>
      </c>
      <c r="S736" t="str">
        <f>IF(Dataset_A[[#This Row],[Hr]]&gt;=19,"Evening Time",IF(Dataset_A[[#This Row],[Hr]]&gt;=9,"Day Time",IF(Dataset_A[[#This Row],[Hr]]&gt;=0,"Night Time","")))</f>
        <v>Day Time</v>
      </c>
    </row>
    <row r="737" spans="1:19" x14ac:dyDescent="0.2">
      <c r="A737">
        <v>736</v>
      </c>
      <c r="B737" s="3">
        <v>40577</v>
      </c>
      <c r="C737">
        <v>1</v>
      </c>
      <c r="D737">
        <v>2011</v>
      </c>
      <c r="E737" t="s">
        <v>25</v>
      </c>
      <c r="F737">
        <v>10</v>
      </c>
      <c r="G737" t="b">
        <v>0</v>
      </c>
      <c r="H737" t="s">
        <v>16</v>
      </c>
      <c r="I737">
        <v>1</v>
      </c>
      <c r="J737">
        <v>0.18</v>
      </c>
      <c r="K737">
        <v>0.1515</v>
      </c>
      <c r="L737">
        <v>0.43</v>
      </c>
      <c r="M737">
        <v>0.32840000000000003</v>
      </c>
      <c r="N737">
        <v>2</v>
      </c>
      <c r="O737">
        <v>50</v>
      </c>
      <c r="P737">
        <v>52</v>
      </c>
      <c r="S737" t="str">
        <f>IF(Dataset_A[[#This Row],[Hr]]&gt;=19,"Evening Time",IF(Dataset_A[[#This Row],[Hr]]&gt;=9,"Day Time",IF(Dataset_A[[#This Row],[Hr]]&gt;=0,"Night Time","")))</f>
        <v>Day Time</v>
      </c>
    </row>
    <row r="738" spans="1:19" x14ac:dyDescent="0.2">
      <c r="A738">
        <v>737</v>
      </c>
      <c r="B738" s="3">
        <v>40577</v>
      </c>
      <c r="C738">
        <v>1</v>
      </c>
      <c r="D738">
        <v>2011</v>
      </c>
      <c r="E738" t="s">
        <v>25</v>
      </c>
      <c r="F738">
        <v>11</v>
      </c>
      <c r="G738" t="b">
        <v>0</v>
      </c>
      <c r="H738" t="s">
        <v>16</v>
      </c>
      <c r="I738">
        <v>1</v>
      </c>
      <c r="J738">
        <v>0.18</v>
      </c>
      <c r="K738">
        <v>0.13639999999999999</v>
      </c>
      <c r="L738">
        <v>0.43</v>
      </c>
      <c r="M738">
        <v>0.44779999999999998</v>
      </c>
      <c r="N738">
        <v>9</v>
      </c>
      <c r="O738">
        <v>55</v>
      </c>
      <c r="P738">
        <v>64</v>
      </c>
      <c r="S738" t="str">
        <f>IF(Dataset_A[[#This Row],[Hr]]&gt;=19,"Evening Time",IF(Dataset_A[[#This Row],[Hr]]&gt;=9,"Day Time",IF(Dataset_A[[#This Row],[Hr]]&gt;=0,"Night Time","")))</f>
        <v>Day Time</v>
      </c>
    </row>
    <row r="739" spans="1:19" x14ac:dyDescent="0.2">
      <c r="A739">
        <v>738</v>
      </c>
      <c r="B739" s="3">
        <v>40577</v>
      </c>
      <c r="C739">
        <v>1</v>
      </c>
      <c r="D739">
        <v>2011</v>
      </c>
      <c r="E739" t="s">
        <v>25</v>
      </c>
      <c r="F739">
        <v>12</v>
      </c>
      <c r="G739" t="b">
        <v>0</v>
      </c>
      <c r="H739" t="s">
        <v>16</v>
      </c>
      <c r="I739">
        <v>1</v>
      </c>
      <c r="J739">
        <v>0.2</v>
      </c>
      <c r="K739">
        <v>0.18179999999999999</v>
      </c>
      <c r="L739">
        <v>0.4</v>
      </c>
      <c r="M739">
        <v>0.35820000000000002</v>
      </c>
      <c r="N739">
        <v>2</v>
      </c>
      <c r="O739">
        <v>67</v>
      </c>
      <c r="P739">
        <v>69</v>
      </c>
      <c r="S739" t="str">
        <f>IF(Dataset_A[[#This Row],[Hr]]&gt;=19,"Evening Time",IF(Dataset_A[[#This Row],[Hr]]&gt;=9,"Day Time",IF(Dataset_A[[#This Row],[Hr]]&gt;=0,"Night Time","")))</f>
        <v>Day Time</v>
      </c>
    </row>
    <row r="740" spans="1:19" x14ac:dyDescent="0.2">
      <c r="A740">
        <v>739</v>
      </c>
      <c r="B740" s="3">
        <v>40577</v>
      </c>
      <c r="C740">
        <v>1</v>
      </c>
      <c r="D740">
        <v>2011</v>
      </c>
      <c r="E740" t="s">
        <v>25</v>
      </c>
      <c r="F740">
        <v>13</v>
      </c>
      <c r="G740" t="b">
        <v>0</v>
      </c>
      <c r="H740" t="s">
        <v>16</v>
      </c>
      <c r="I740">
        <v>1</v>
      </c>
      <c r="J740">
        <v>0.2</v>
      </c>
      <c r="K740">
        <v>0.16669999999999999</v>
      </c>
      <c r="L740">
        <v>0.4</v>
      </c>
      <c r="M740">
        <v>0.41789999999999999</v>
      </c>
      <c r="N740">
        <v>4</v>
      </c>
      <c r="O740">
        <v>47</v>
      </c>
      <c r="P740">
        <v>51</v>
      </c>
      <c r="S740" t="str">
        <f>IF(Dataset_A[[#This Row],[Hr]]&gt;=19,"Evening Time",IF(Dataset_A[[#This Row],[Hr]]&gt;=9,"Day Time",IF(Dataset_A[[#This Row],[Hr]]&gt;=0,"Night Time","")))</f>
        <v>Day Time</v>
      </c>
    </row>
    <row r="741" spans="1:19" x14ac:dyDescent="0.2">
      <c r="A741">
        <v>740</v>
      </c>
      <c r="B741" s="3">
        <v>40577</v>
      </c>
      <c r="C741">
        <v>1</v>
      </c>
      <c r="D741">
        <v>2011</v>
      </c>
      <c r="E741" t="s">
        <v>25</v>
      </c>
      <c r="F741">
        <v>14</v>
      </c>
      <c r="G741" t="b">
        <v>0</v>
      </c>
      <c r="H741" t="s">
        <v>16</v>
      </c>
      <c r="I741">
        <v>1</v>
      </c>
      <c r="J741">
        <v>0.22</v>
      </c>
      <c r="K741">
        <v>0.19700000000000001</v>
      </c>
      <c r="L741">
        <v>0.37</v>
      </c>
      <c r="M741">
        <v>0.3881</v>
      </c>
      <c r="N741">
        <v>4</v>
      </c>
      <c r="O741">
        <v>43</v>
      </c>
      <c r="P741">
        <v>47</v>
      </c>
      <c r="S741" t="str">
        <f>IF(Dataset_A[[#This Row],[Hr]]&gt;=19,"Evening Time",IF(Dataset_A[[#This Row],[Hr]]&gt;=9,"Day Time",IF(Dataset_A[[#This Row],[Hr]]&gt;=0,"Night Time","")))</f>
        <v>Day Time</v>
      </c>
    </row>
    <row r="742" spans="1:19" x14ac:dyDescent="0.2">
      <c r="A742">
        <v>741</v>
      </c>
      <c r="B742" s="3">
        <v>40577</v>
      </c>
      <c r="C742">
        <v>1</v>
      </c>
      <c r="D742">
        <v>2011</v>
      </c>
      <c r="E742" t="s">
        <v>25</v>
      </c>
      <c r="F742">
        <v>15</v>
      </c>
      <c r="G742" t="b">
        <v>0</v>
      </c>
      <c r="H742" t="s">
        <v>16</v>
      </c>
      <c r="I742">
        <v>1</v>
      </c>
      <c r="J742">
        <v>0.22</v>
      </c>
      <c r="K742">
        <v>0.19700000000000001</v>
      </c>
      <c r="L742">
        <v>0.37</v>
      </c>
      <c r="M742">
        <v>0.32840000000000003</v>
      </c>
      <c r="N742">
        <v>4</v>
      </c>
      <c r="O742">
        <v>56</v>
      </c>
      <c r="P742">
        <v>60</v>
      </c>
      <c r="S742" t="str">
        <f>IF(Dataset_A[[#This Row],[Hr]]&gt;=19,"Evening Time",IF(Dataset_A[[#This Row],[Hr]]&gt;=9,"Day Time",IF(Dataset_A[[#This Row],[Hr]]&gt;=0,"Night Time","")))</f>
        <v>Day Time</v>
      </c>
    </row>
    <row r="743" spans="1:19" x14ac:dyDescent="0.2">
      <c r="A743">
        <v>742</v>
      </c>
      <c r="B743" s="3">
        <v>40577</v>
      </c>
      <c r="C743">
        <v>1</v>
      </c>
      <c r="D743">
        <v>2011</v>
      </c>
      <c r="E743" t="s">
        <v>25</v>
      </c>
      <c r="F743">
        <v>16</v>
      </c>
      <c r="G743" t="b">
        <v>0</v>
      </c>
      <c r="H743" t="s">
        <v>16</v>
      </c>
      <c r="I743">
        <v>1</v>
      </c>
      <c r="J743">
        <v>0.22</v>
      </c>
      <c r="K743">
        <v>0.21210000000000001</v>
      </c>
      <c r="L743">
        <v>0.37</v>
      </c>
      <c r="M743">
        <v>0.25369999999999998</v>
      </c>
      <c r="N743">
        <v>5</v>
      </c>
      <c r="O743">
        <v>73</v>
      </c>
      <c r="P743">
        <v>78</v>
      </c>
      <c r="S743" t="str">
        <f>IF(Dataset_A[[#This Row],[Hr]]&gt;=19,"Evening Time",IF(Dataset_A[[#This Row],[Hr]]&gt;=9,"Day Time",IF(Dataset_A[[#This Row],[Hr]]&gt;=0,"Night Time","")))</f>
        <v>Day Time</v>
      </c>
    </row>
    <row r="744" spans="1:19" x14ac:dyDescent="0.2">
      <c r="A744">
        <v>743</v>
      </c>
      <c r="B744" s="3">
        <v>40577</v>
      </c>
      <c r="C744">
        <v>1</v>
      </c>
      <c r="D744">
        <v>2011</v>
      </c>
      <c r="E744" t="s">
        <v>25</v>
      </c>
      <c r="F744">
        <v>17</v>
      </c>
      <c r="G744" t="b">
        <v>0</v>
      </c>
      <c r="H744" t="s">
        <v>16</v>
      </c>
      <c r="I744">
        <v>1</v>
      </c>
      <c r="J744">
        <v>0.2</v>
      </c>
      <c r="K744">
        <v>0.19700000000000001</v>
      </c>
      <c r="L744">
        <v>0.4</v>
      </c>
      <c r="M744">
        <v>0.19400000000000001</v>
      </c>
      <c r="N744">
        <v>5</v>
      </c>
      <c r="O744">
        <v>170</v>
      </c>
      <c r="P744">
        <v>175</v>
      </c>
      <c r="S744" t="str">
        <f>IF(Dataset_A[[#This Row],[Hr]]&gt;=19,"Evening Time",IF(Dataset_A[[#This Row],[Hr]]&gt;=9,"Day Time",IF(Dataset_A[[#This Row],[Hr]]&gt;=0,"Night Time","")))</f>
        <v>Day Time</v>
      </c>
    </row>
    <row r="745" spans="1:19" x14ac:dyDescent="0.2">
      <c r="A745">
        <v>744</v>
      </c>
      <c r="B745" s="3">
        <v>40577</v>
      </c>
      <c r="C745">
        <v>1</v>
      </c>
      <c r="D745">
        <v>2011</v>
      </c>
      <c r="E745" t="s">
        <v>25</v>
      </c>
      <c r="F745">
        <v>18</v>
      </c>
      <c r="G745" t="b">
        <v>0</v>
      </c>
      <c r="H745" t="s">
        <v>16</v>
      </c>
      <c r="I745">
        <v>1</v>
      </c>
      <c r="J745">
        <v>0.2</v>
      </c>
      <c r="K745">
        <v>0.21210000000000001</v>
      </c>
      <c r="L745">
        <v>0.4</v>
      </c>
      <c r="M745">
        <v>0.16420000000000001</v>
      </c>
      <c r="N745">
        <v>2</v>
      </c>
      <c r="O745">
        <v>145</v>
      </c>
      <c r="P745">
        <v>147</v>
      </c>
      <c r="S745" t="str">
        <f>IF(Dataset_A[[#This Row],[Hr]]&gt;=19,"Evening Time",IF(Dataset_A[[#This Row],[Hr]]&gt;=9,"Day Time",IF(Dataset_A[[#This Row],[Hr]]&gt;=0,"Night Time","")))</f>
        <v>Day Time</v>
      </c>
    </row>
    <row r="746" spans="1:19" x14ac:dyDescent="0.2">
      <c r="A746">
        <v>745</v>
      </c>
      <c r="B746" s="3">
        <v>40577</v>
      </c>
      <c r="C746">
        <v>1</v>
      </c>
      <c r="D746">
        <v>2011</v>
      </c>
      <c r="E746" t="s">
        <v>25</v>
      </c>
      <c r="F746">
        <v>19</v>
      </c>
      <c r="G746" t="b">
        <v>0</v>
      </c>
      <c r="H746" t="s">
        <v>16</v>
      </c>
      <c r="I746">
        <v>1</v>
      </c>
      <c r="J746">
        <v>0.2</v>
      </c>
      <c r="K746">
        <v>0.2576</v>
      </c>
      <c r="L746">
        <v>0.4</v>
      </c>
      <c r="M746">
        <v>0</v>
      </c>
      <c r="N746">
        <v>4</v>
      </c>
      <c r="O746">
        <v>92</v>
      </c>
      <c r="P746">
        <v>96</v>
      </c>
      <c r="S746" t="str">
        <f>IF(Dataset_A[[#This Row],[Hr]]&gt;=19,"Evening Time",IF(Dataset_A[[#This Row],[Hr]]&gt;=9,"Day Time",IF(Dataset_A[[#This Row],[Hr]]&gt;=0,"Night Time","")))</f>
        <v>Evening Time</v>
      </c>
    </row>
    <row r="747" spans="1:19" x14ac:dyDescent="0.2">
      <c r="A747">
        <v>746</v>
      </c>
      <c r="B747" s="3">
        <v>40577</v>
      </c>
      <c r="C747">
        <v>1</v>
      </c>
      <c r="D747">
        <v>2011</v>
      </c>
      <c r="E747" t="s">
        <v>25</v>
      </c>
      <c r="F747">
        <v>20</v>
      </c>
      <c r="G747" t="b">
        <v>0</v>
      </c>
      <c r="H747" t="s">
        <v>16</v>
      </c>
      <c r="I747">
        <v>1</v>
      </c>
      <c r="J747">
        <v>0.2</v>
      </c>
      <c r="K747">
        <v>0.2273</v>
      </c>
      <c r="L747">
        <v>0.47</v>
      </c>
      <c r="M747">
        <v>8.9599999999999999E-2</v>
      </c>
      <c r="N747">
        <v>1</v>
      </c>
      <c r="O747">
        <v>108</v>
      </c>
      <c r="P747">
        <v>109</v>
      </c>
      <c r="S747" t="str">
        <f>IF(Dataset_A[[#This Row],[Hr]]&gt;=19,"Evening Time",IF(Dataset_A[[#This Row],[Hr]]&gt;=9,"Day Time",IF(Dataset_A[[#This Row],[Hr]]&gt;=0,"Night Time","")))</f>
        <v>Evening Time</v>
      </c>
    </row>
    <row r="748" spans="1:19" x14ac:dyDescent="0.2">
      <c r="A748">
        <v>747</v>
      </c>
      <c r="B748" s="3">
        <v>40577</v>
      </c>
      <c r="C748">
        <v>1</v>
      </c>
      <c r="D748">
        <v>2011</v>
      </c>
      <c r="E748" t="s">
        <v>25</v>
      </c>
      <c r="F748">
        <v>21</v>
      </c>
      <c r="G748" t="b">
        <v>0</v>
      </c>
      <c r="H748" t="s">
        <v>16</v>
      </c>
      <c r="I748">
        <v>1</v>
      </c>
      <c r="J748">
        <v>0.18</v>
      </c>
      <c r="K748">
        <v>0.21210000000000001</v>
      </c>
      <c r="L748">
        <v>0.55000000000000004</v>
      </c>
      <c r="M748">
        <v>0.1045</v>
      </c>
      <c r="N748">
        <v>1</v>
      </c>
      <c r="O748">
        <v>53</v>
      </c>
      <c r="P748">
        <v>54</v>
      </c>
      <c r="S748" t="str">
        <f>IF(Dataset_A[[#This Row],[Hr]]&gt;=19,"Evening Time",IF(Dataset_A[[#This Row],[Hr]]&gt;=9,"Day Time",IF(Dataset_A[[#This Row],[Hr]]&gt;=0,"Night Time","")))</f>
        <v>Evening Time</v>
      </c>
    </row>
    <row r="749" spans="1:19" x14ac:dyDescent="0.2">
      <c r="A749">
        <v>748</v>
      </c>
      <c r="B749" s="3">
        <v>40577</v>
      </c>
      <c r="C749">
        <v>1</v>
      </c>
      <c r="D749">
        <v>2011</v>
      </c>
      <c r="E749" t="s">
        <v>25</v>
      </c>
      <c r="F749">
        <v>22</v>
      </c>
      <c r="G749" t="b">
        <v>0</v>
      </c>
      <c r="H749" t="s">
        <v>16</v>
      </c>
      <c r="I749">
        <v>1</v>
      </c>
      <c r="J749">
        <v>0.18</v>
      </c>
      <c r="K749">
        <v>0.21210000000000001</v>
      </c>
      <c r="L749">
        <v>0.51</v>
      </c>
      <c r="M749">
        <v>8.9599999999999999E-2</v>
      </c>
      <c r="N749">
        <v>2</v>
      </c>
      <c r="O749">
        <v>39</v>
      </c>
      <c r="P749">
        <v>41</v>
      </c>
      <c r="S749" t="str">
        <f>IF(Dataset_A[[#This Row],[Hr]]&gt;=19,"Evening Time",IF(Dataset_A[[#This Row],[Hr]]&gt;=9,"Day Time",IF(Dataset_A[[#This Row],[Hr]]&gt;=0,"Night Time","")))</f>
        <v>Evening Time</v>
      </c>
    </row>
    <row r="750" spans="1:19" x14ac:dyDescent="0.2">
      <c r="A750">
        <v>749</v>
      </c>
      <c r="B750" s="3">
        <v>40577</v>
      </c>
      <c r="C750">
        <v>1</v>
      </c>
      <c r="D750">
        <v>2011</v>
      </c>
      <c r="E750" t="s">
        <v>25</v>
      </c>
      <c r="F750">
        <v>23</v>
      </c>
      <c r="G750" t="b">
        <v>0</v>
      </c>
      <c r="H750" t="s">
        <v>16</v>
      </c>
      <c r="I750">
        <v>1</v>
      </c>
      <c r="J750">
        <v>0.2</v>
      </c>
      <c r="K750">
        <v>0.2273</v>
      </c>
      <c r="L750">
        <v>0.47</v>
      </c>
      <c r="M750">
        <v>0.1045</v>
      </c>
      <c r="N750">
        <v>4</v>
      </c>
      <c r="O750">
        <v>34</v>
      </c>
      <c r="P750">
        <v>38</v>
      </c>
      <c r="S750" t="str">
        <f>IF(Dataset_A[[#This Row],[Hr]]&gt;=19,"Evening Time",IF(Dataset_A[[#This Row],[Hr]]&gt;=9,"Day Time",IF(Dataset_A[[#This Row],[Hr]]&gt;=0,"Night Time","")))</f>
        <v>Evening Time</v>
      </c>
    </row>
    <row r="751" spans="1:19" x14ac:dyDescent="0.2">
      <c r="A751">
        <v>750</v>
      </c>
      <c r="B751" s="3">
        <v>40578</v>
      </c>
      <c r="C751">
        <v>1</v>
      </c>
      <c r="D751">
        <v>2011</v>
      </c>
      <c r="E751" t="s">
        <v>25</v>
      </c>
      <c r="F751">
        <v>0</v>
      </c>
      <c r="G751" t="b">
        <v>0</v>
      </c>
      <c r="H751" t="s">
        <v>17</v>
      </c>
      <c r="I751">
        <v>2</v>
      </c>
      <c r="J751">
        <v>0.2</v>
      </c>
      <c r="K751">
        <v>0.2576</v>
      </c>
      <c r="L751">
        <v>0.44</v>
      </c>
      <c r="M751">
        <v>0</v>
      </c>
      <c r="N751">
        <v>3</v>
      </c>
      <c r="O751">
        <v>10</v>
      </c>
      <c r="P751">
        <v>13</v>
      </c>
      <c r="S751" t="str">
        <f>IF(Dataset_A[[#This Row],[Hr]]&gt;=19,"Evening Time",IF(Dataset_A[[#This Row],[Hr]]&gt;=9,"Day Time",IF(Dataset_A[[#This Row],[Hr]]&gt;=0,"Night Time","")))</f>
        <v>Night Time</v>
      </c>
    </row>
    <row r="752" spans="1:19" x14ac:dyDescent="0.2">
      <c r="A752">
        <v>751</v>
      </c>
      <c r="B752" s="3">
        <v>40578</v>
      </c>
      <c r="C752">
        <v>1</v>
      </c>
      <c r="D752">
        <v>2011</v>
      </c>
      <c r="E752" t="s">
        <v>25</v>
      </c>
      <c r="F752">
        <v>1</v>
      </c>
      <c r="G752" t="b">
        <v>0</v>
      </c>
      <c r="H752" t="s">
        <v>17</v>
      </c>
      <c r="I752">
        <v>2</v>
      </c>
      <c r="J752">
        <v>0.16</v>
      </c>
      <c r="K752">
        <v>0.2273</v>
      </c>
      <c r="L752">
        <v>0.59</v>
      </c>
      <c r="M752">
        <v>0</v>
      </c>
      <c r="N752">
        <v>0</v>
      </c>
      <c r="O752">
        <v>7</v>
      </c>
      <c r="P752">
        <v>7</v>
      </c>
      <c r="S752" t="str">
        <f>IF(Dataset_A[[#This Row],[Hr]]&gt;=19,"Evening Time",IF(Dataset_A[[#This Row],[Hr]]&gt;=9,"Day Time",IF(Dataset_A[[#This Row],[Hr]]&gt;=0,"Night Time","")))</f>
        <v>Night Time</v>
      </c>
    </row>
    <row r="753" spans="1:19" x14ac:dyDescent="0.2">
      <c r="A753">
        <v>752</v>
      </c>
      <c r="B753" s="3">
        <v>40578</v>
      </c>
      <c r="C753">
        <v>1</v>
      </c>
      <c r="D753">
        <v>2011</v>
      </c>
      <c r="E753" t="s">
        <v>25</v>
      </c>
      <c r="F753">
        <v>2</v>
      </c>
      <c r="G753" t="b">
        <v>0</v>
      </c>
      <c r="H753" t="s">
        <v>17</v>
      </c>
      <c r="I753">
        <v>2</v>
      </c>
      <c r="J753">
        <v>0.14000000000000001</v>
      </c>
      <c r="K753">
        <v>0.16669999999999999</v>
      </c>
      <c r="L753">
        <v>0.63</v>
      </c>
      <c r="M753">
        <v>0.1045</v>
      </c>
      <c r="N753">
        <v>0</v>
      </c>
      <c r="O753">
        <v>1</v>
      </c>
      <c r="P753">
        <v>1</v>
      </c>
      <c r="S753" t="str">
        <f>IF(Dataset_A[[#This Row],[Hr]]&gt;=19,"Evening Time",IF(Dataset_A[[#This Row],[Hr]]&gt;=9,"Day Time",IF(Dataset_A[[#This Row],[Hr]]&gt;=0,"Night Time","")))</f>
        <v>Night Time</v>
      </c>
    </row>
    <row r="754" spans="1:19" x14ac:dyDescent="0.2">
      <c r="A754">
        <v>753</v>
      </c>
      <c r="B754" s="3">
        <v>40578</v>
      </c>
      <c r="C754">
        <v>1</v>
      </c>
      <c r="D754">
        <v>2011</v>
      </c>
      <c r="E754" t="s">
        <v>25</v>
      </c>
      <c r="F754">
        <v>3</v>
      </c>
      <c r="G754" t="b">
        <v>0</v>
      </c>
      <c r="H754" t="s">
        <v>17</v>
      </c>
      <c r="I754">
        <v>2</v>
      </c>
      <c r="J754">
        <v>0.14000000000000001</v>
      </c>
      <c r="K754">
        <v>0.16669999999999999</v>
      </c>
      <c r="L754">
        <v>0.63</v>
      </c>
      <c r="M754">
        <v>0.1045</v>
      </c>
      <c r="N754">
        <v>0</v>
      </c>
      <c r="O754">
        <v>1</v>
      </c>
      <c r="P754">
        <v>1</v>
      </c>
      <c r="S754" t="str">
        <f>IF(Dataset_A[[#This Row],[Hr]]&gt;=19,"Evening Time",IF(Dataset_A[[#This Row],[Hr]]&gt;=9,"Day Time",IF(Dataset_A[[#This Row],[Hr]]&gt;=0,"Night Time","")))</f>
        <v>Night Time</v>
      </c>
    </row>
    <row r="755" spans="1:19" x14ac:dyDescent="0.2">
      <c r="A755">
        <v>754</v>
      </c>
      <c r="B755" s="3">
        <v>40578</v>
      </c>
      <c r="C755">
        <v>1</v>
      </c>
      <c r="D755">
        <v>2011</v>
      </c>
      <c r="E755" t="s">
        <v>25</v>
      </c>
      <c r="F755">
        <v>5</v>
      </c>
      <c r="G755" t="b">
        <v>0</v>
      </c>
      <c r="H755" t="s">
        <v>17</v>
      </c>
      <c r="I755">
        <v>2</v>
      </c>
      <c r="J755">
        <v>0.14000000000000001</v>
      </c>
      <c r="K755">
        <v>0.1515</v>
      </c>
      <c r="L755">
        <v>0.63</v>
      </c>
      <c r="M755">
        <v>0.1343</v>
      </c>
      <c r="N755">
        <v>0</v>
      </c>
      <c r="O755">
        <v>7</v>
      </c>
      <c r="P755">
        <v>7</v>
      </c>
      <c r="S755" t="str">
        <f>IF(Dataset_A[[#This Row],[Hr]]&gt;=19,"Evening Time",IF(Dataset_A[[#This Row],[Hr]]&gt;=9,"Day Time",IF(Dataset_A[[#This Row],[Hr]]&gt;=0,"Night Time","")))</f>
        <v>Night Time</v>
      </c>
    </row>
    <row r="756" spans="1:19" x14ac:dyDescent="0.2">
      <c r="A756">
        <v>755</v>
      </c>
      <c r="B756" s="3">
        <v>40578</v>
      </c>
      <c r="C756">
        <v>1</v>
      </c>
      <c r="D756">
        <v>2011</v>
      </c>
      <c r="E756" t="s">
        <v>25</v>
      </c>
      <c r="F756">
        <v>6</v>
      </c>
      <c r="G756" t="b">
        <v>0</v>
      </c>
      <c r="H756" t="s">
        <v>17</v>
      </c>
      <c r="I756">
        <v>2</v>
      </c>
      <c r="J756">
        <v>0.16</v>
      </c>
      <c r="K756">
        <v>0.2273</v>
      </c>
      <c r="L756">
        <v>0.55000000000000004</v>
      </c>
      <c r="M756">
        <v>0</v>
      </c>
      <c r="N756">
        <v>2</v>
      </c>
      <c r="O756">
        <v>26</v>
      </c>
      <c r="P756">
        <v>28</v>
      </c>
      <c r="S756" t="str">
        <f>IF(Dataset_A[[#This Row],[Hr]]&gt;=19,"Evening Time",IF(Dataset_A[[#This Row],[Hr]]&gt;=9,"Day Time",IF(Dataset_A[[#This Row],[Hr]]&gt;=0,"Night Time","")))</f>
        <v>Night Time</v>
      </c>
    </row>
    <row r="757" spans="1:19" x14ac:dyDescent="0.2">
      <c r="A757">
        <v>756</v>
      </c>
      <c r="B757" s="3">
        <v>40578</v>
      </c>
      <c r="C757">
        <v>1</v>
      </c>
      <c r="D757">
        <v>2011</v>
      </c>
      <c r="E757" t="s">
        <v>25</v>
      </c>
      <c r="F757">
        <v>7</v>
      </c>
      <c r="G757" t="b">
        <v>0</v>
      </c>
      <c r="H757" t="s">
        <v>17</v>
      </c>
      <c r="I757">
        <v>1</v>
      </c>
      <c r="J757">
        <v>0.14000000000000001</v>
      </c>
      <c r="K757">
        <v>0.21210000000000001</v>
      </c>
      <c r="L757">
        <v>0.59</v>
      </c>
      <c r="M757">
        <v>0</v>
      </c>
      <c r="N757">
        <v>0</v>
      </c>
      <c r="O757">
        <v>87</v>
      </c>
      <c r="P757">
        <v>87</v>
      </c>
      <c r="S757" t="str">
        <f>IF(Dataset_A[[#This Row],[Hr]]&gt;=19,"Evening Time",IF(Dataset_A[[#This Row],[Hr]]&gt;=9,"Day Time",IF(Dataset_A[[#This Row],[Hr]]&gt;=0,"Night Time","")))</f>
        <v>Night Time</v>
      </c>
    </row>
    <row r="758" spans="1:19" x14ac:dyDescent="0.2">
      <c r="A758">
        <v>757</v>
      </c>
      <c r="B758" s="3">
        <v>40578</v>
      </c>
      <c r="C758">
        <v>1</v>
      </c>
      <c r="D758">
        <v>2011</v>
      </c>
      <c r="E758" t="s">
        <v>25</v>
      </c>
      <c r="F758">
        <v>8</v>
      </c>
      <c r="G758" t="b">
        <v>0</v>
      </c>
      <c r="H758" t="s">
        <v>17</v>
      </c>
      <c r="I758">
        <v>1</v>
      </c>
      <c r="J758">
        <v>0.14000000000000001</v>
      </c>
      <c r="K758">
        <v>0.1515</v>
      </c>
      <c r="L758">
        <v>0.74</v>
      </c>
      <c r="M758">
        <v>0.1343</v>
      </c>
      <c r="N758">
        <v>3</v>
      </c>
      <c r="O758">
        <v>217</v>
      </c>
      <c r="P758">
        <v>220</v>
      </c>
      <c r="S758" t="str">
        <f>IF(Dataset_A[[#This Row],[Hr]]&gt;=19,"Evening Time",IF(Dataset_A[[#This Row],[Hr]]&gt;=9,"Day Time",IF(Dataset_A[[#This Row],[Hr]]&gt;=0,"Night Time","")))</f>
        <v>Night Time</v>
      </c>
    </row>
    <row r="759" spans="1:19" x14ac:dyDescent="0.2">
      <c r="A759">
        <v>758</v>
      </c>
      <c r="B759" s="3">
        <v>40578</v>
      </c>
      <c r="C759">
        <v>1</v>
      </c>
      <c r="D759">
        <v>2011</v>
      </c>
      <c r="E759" t="s">
        <v>25</v>
      </c>
      <c r="F759">
        <v>9</v>
      </c>
      <c r="G759" t="b">
        <v>0</v>
      </c>
      <c r="H759" t="s">
        <v>17</v>
      </c>
      <c r="I759">
        <v>2</v>
      </c>
      <c r="J759">
        <v>0.16</v>
      </c>
      <c r="K759">
        <v>0.18179999999999999</v>
      </c>
      <c r="L759">
        <v>0.8</v>
      </c>
      <c r="M759">
        <v>0.1343</v>
      </c>
      <c r="N759">
        <v>3</v>
      </c>
      <c r="O759">
        <v>124</v>
      </c>
      <c r="P759">
        <v>127</v>
      </c>
      <c r="S759" t="str">
        <f>IF(Dataset_A[[#This Row],[Hr]]&gt;=19,"Evening Time",IF(Dataset_A[[#This Row],[Hr]]&gt;=9,"Day Time",IF(Dataset_A[[#This Row],[Hr]]&gt;=0,"Night Time","")))</f>
        <v>Day Time</v>
      </c>
    </row>
    <row r="760" spans="1:19" x14ac:dyDescent="0.2">
      <c r="A760">
        <v>759</v>
      </c>
      <c r="B760" s="3">
        <v>40578</v>
      </c>
      <c r="C760">
        <v>1</v>
      </c>
      <c r="D760">
        <v>2011</v>
      </c>
      <c r="E760" t="s">
        <v>25</v>
      </c>
      <c r="F760">
        <v>10</v>
      </c>
      <c r="G760" t="b">
        <v>0</v>
      </c>
      <c r="H760" t="s">
        <v>17</v>
      </c>
      <c r="I760">
        <v>2</v>
      </c>
      <c r="J760">
        <v>0.2</v>
      </c>
      <c r="K760">
        <v>0.21210000000000001</v>
      </c>
      <c r="L760">
        <v>0.51</v>
      </c>
      <c r="M760">
        <v>0.1343</v>
      </c>
      <c r="N760">
        <v>5</v>
      </c>
      <c r="O760">
        <v>46</v>
      </c>
      <c r="P760">
        <v>51</v>
      </c>
      <c r="S760" t="str">
        <f>IF(Dataset_A[[#This Row],[Hr]]&gt;=19,"Evening Time",IF(Dataset_A[[#This Row],[Hr]]&gt;=9,"Day Time",IF(Dataset_A[[#This Row],[Hr]]&gt;=0,"Night Time","")))</f>
        <v>Day Time</v>
      </c>
    </row>
    <row r="761" spans="1:19" x14ac:dyDescent="0.2">
      <c r="A761">
        <v>760</v>
      </c>
      <c r="B761" s="3">
        <v>40578</v>
      </c>
      <c r="C761">
        <v>1</v>
      </c>
      <c r="D761">
        <v>2011</v>
      </c>
      <c r="E761" t="s">
        <v>25</v>
      </c>
      <c r="F761">
        <v>11</v>
      </c>
      <c r="G761" t="b">
        <v>0</v>
      </c>
      <c r="H761" t="s">
        <v>17</v>
      </c>
      <c r="I761">
        <v>1</v>
      </c>
      <c r="J761">
        <v>0.22</v>
      </c>
      <c r="K761">
        <v>0.2273</v>
      </c>
      <c r="L761">
        <v>0.51</v>
      </c>
      <c r="M761">
        <v>0.16420000000000001</v>
      </c>
      <c r="N761">
        <v>3</v>
      </c>
      <c r="O761">
        <v>61</v>
      </c>
      <c r="P761">
        <v>64</v>
      </c>
      <c r="S761" t="str">
        <f>IF(Dataset_A[[#This Row],[Hr]]&gt;=19,"Evening Time",IF(Dataset_A[[#This Row],[Hr]]&gt;=9,"Day Time",IF(Dataset_A[[#This Row],[Hr]]&gt;=0,"Night Time","")))</f>
        <v>Day Time</v>
      </c>
    </row>
    <row r="762" spans="1:19" x14ac:dyDescent="0.2">
      <c r="A762">
        <v>761</v>
      </c>
      <c r="B762" s="3">
        <v>40578</v>
      </c>
      <c r="C762">
        <v>1</v>
      </c>
      <c r="D762">
        <v>2011</v>
      </c>
      <c r="E762" t="s">
        <v>25</v>
      </c>
      <c r="F762">
        <v>12</v>
      </c>
      <c r="G762" t="b">
        <v>0</v>
      </c>
      <c r="H762" t="s">
        <v>17</v>
      </c>
      <c r="I762">
        <v>2</v>
      </c>
      <c r="J762">
        <v>0.24</v>
      </c>
      <c r="K762">
        <v>0.2424</v>
      </c>
      <c r="L762">
        <v>0.48</v>
      </c>
      <c r="M762">
        <v>0.16420000000000001</v>
      </c>
      <c r="N762">
        <v>8</v>
      </c>
      <c r="O762">
        <v>78</v>
      </c>
      <c r="P762">
        <v>86</v>
      </c>
      <c r="S762" t="str">
        <f>IF(Dataset_A[[#This Row],[Hr]]&gt;=19,"Evening Time",IF(Dataset_A[[#This Row],[Hr]]&gt;=9,"Day Time",IF(Dataset_A[[#This Row],[Hr]]&gt;=0,"Night Time","")))</f>
        <v>Day Time</v>
      </c>
    </row>
    <row r="763" spans="1:19" x14ac:dyDescent="0.2">
      <c r="A763">
        <v>762</v>
      </c>
      <c r="B763" s="3">
        <v>40578</v>
      </c>
      <c r="C763">
        <v>1</v>
      </c>
      <c r="D763">
        <v>2011</v>
      </c>
      <c r="E763" t="s">
        <v>25</v>
      </c>
      <c r="F763">
        <v>13</v>
      </c>
      <c r="G763" t="b">
        <v>0</v>
      </c>
      <c r="H763" t="s">
        <v>17</v>
      </c>
      <c r="I763">
        <v>2</v>
      </c>
      <c r="J763">
        <v>0.26</v>
      </c>
      <c r="K763">
        <v>0.2576</v>
      </c>
      <c r="L763">
        <v>0.5</v>
      </c>
      <c r="M763">
        <v>0.22389999999999999</v>
      </c>
      <c r="N763">
        <v>9</v>
      </c>
      <c r="O763">
        <v>73</v>
      </c>
      <c r="P763">
        <v>82</v>
      </c>
      <c r="S763" t="str">
        <f>IF(Dataset_A[[#This Row],[Hr]]&gt;=19,"Evening Time",IF(Dataset_A[[#This Row],[Hr]]&gt;=9,"Day Time",IF(Dataset_A[[#This Row],[Hr]]&gt;=0,"Night Time","")))</f>
        <v>Day Time</v>
      </c>
    </row>
    <row r="764" spans="1:19" x14ac:dyDescent="0.2">
      <c r="A764">
        <v>763</v>
      </c>
      <c r="B764" s="3">
        <v>40578</v>
      </c>
      <c r="C764">
        <v>1</v>
      </c>
      <c r="D764">
        <v>2011</v>
      </c>
      <c r="E764" t="s">
        <v>25</v>
      </c>
      <c r="F764">
        <v>14</v>
      </c>
      <c r="G764" t="b">
        <v>0</v>
      </c>
      <c r="H764" t="s">
        <v>17</v>
      </c>
      <c r="I764">
        <v>2</v>
      </c>
      <c r="J764">
        <v>0.28000000000000003</v>
      </c>
      <c r="K764">
        <v>0.2727</v>
      </c>
      <c r="L764">
        <v>0.45</v>
      </c>
      <c r="M764">
        <v>0.16420000000000001</v>
      </c>
      <c r="N764">
        <v>15</v>
      </c>
      <c r="O764">
        <v>76</v>
      </c>
      <c r="P764">
        <v>91</v>
      </c>
      <c r="S764" t="str">
        <f>IF(Dataset_A[[#This Row],[Hr]]&gt;=19,"Evening Time",IF(Dataset_A[[#This Row],[Hr]]&gt;=9,"Day Time",IF(Dataset_A[[#This Row],[Hr]]&gt;=0,"Night Time","")))</f>
        <v>Day Time</v>
      </c>
    </row>
    <row r="765" spans="1:19" x14ac:dyDescent="0.2">
      <c r="A765">
        <v>764</v>
      </c>
      <c r="B765" s="3">
        <v>40578</v>
      </c>
      <c r="C765">
        <v>1</v>
      </c>
      <c r="D765">
        <v>2011</v>
      </c>
      <c r="E765" t="s">
        <v>25</v>
      </c>
      <c r="F765">
        <v>15</v>
      </c>
      <c r="G765" t="b">
        <v>0</v>
      </c>
      <c r="H765" t="s">
        <v>17</v>
      </c>
      <c r="I765">
        <v>2</v>
      </c>
      <c r="J765">
        <v>0.28000000000000003</v>
      </c>
      <c r="K765">
        <v>0.2727</v>
      </c>
      <c r="L765">
        <v>0.48</v>
      </c>
      <c r="M765">
        <v>0.25369999999999998</v>
      </c>
      <c r="N765">
        <v>9</v>
      </c>
      <c r="O765">
        <v>81</v>
      </c>
      <c r="P765">
        <v>90</v>
      </c>
      <c r="S765" t="str">
        <f>IF(Dataset_A[[#This Row],[Hr]]&gt;=19,"Evening Time",IF(Dataset_A[[#This Row],[Hr]]&gt;=9,"Day Time",IF(Dataset_A[[#This Row],[Hr]]&gt;=0,"Night Time","")))</f>
        <v>Day Time</v>
      </c>
    </row>
    <row r="766" spans="1:19" x14ac:dyDescent="0.2">
      <c r="A766">
        <v>765</v>
      </c>
      <c r="B766" s="3">
        <v>40578</v>
      </c>
      <c r="C766">
        <v>1</v>
      </c>
      <c r="D766">
        <v>2011</v>
      </c>
      <c r="E766" t="s">
        <v>25</v>
      </c>
      <c r="F766">
        <v>16</v>
      </c>
      <c r="G766" t="b">
        <v>0</v>
      </c>
      <c r="H766" t="s">
        <v>17</v>
      </c>
      <c r="I766">
        <v>2</v>
      </c>
      <c r="J766">
        <v>0.3</v>
      </c>
      <c r="K766">
        <v>0.28789999999999999</v>
      </c>
      <c r="L766">
        <v>0.42</v>
      </c>
      <c r="M766">
        <v>0.22389999999999999</v>
      </c>
      <c r="N766">
        <v>8</v>
      </c>
      <c r="O766">
        <v>91</v>
      </c>
      <c r="P766">
        <v>99</v>
      </c>
      <c r="S766" t="str">
        <f>IF(Dataset_A[[#This Row],[Hr]]&gt;=19,"Evening Time",IF(Dataset_A[[#This Row],[Hr]]&gt;=9,"Day Time",IF(Dataset_A[[#This Row],[Hr]]&gt;=0,"Night Time","")))</f>
        <v>Day Time</v>
      </c>
    </row>
    <row r="767" spans="1:19" x14ac:dyDescent="0.2">
      <c r="A767">
        <v>766</v>
      </c>
      <c r="B767" s="3">
        <v>40578</v>
      </c>
      <c r="C767">
        <v>1</v>
      </c>
      <c r="D767">
        <v>2011</v>
      </c>
      <c r="E767" t="s">
        <v>25</v>
      </c>
      <c r="F767">
        <v>17</v>
      </c>
      <c r="G767" t="b">
        <v>0</v>
      </c>
      <c r="H767" t="s">
        <v>17</v>
      </c>
      <c r="I767">
        <v>2</v>
      </c>
      <c r="J767">
        <v>0.26</v>
      </c>
      <c r="K767">
        <v>0.2727</v>
      </c>
      <c r="L767">
        <v>0.56000000000000005</v>
      </c>
      <c r="M767">
        <v>0.1343</v>
      </c>
      <c r="N767">
        <v>10</v>
      </c>
      <c r="O767">
        <v>195</v>
      </c>
      <c r="P767">
        <v>205</v>
      </c>
      <c r="S767" t="str">
        <f>IF(Dataset_A[[#This Row],[Hr]]&gt;=19,"Evening Time",IF(Dataset_A[[#This Row],[Hr]]&gt;=9,"Day Time",IF(Dataset_A[[#This Row],[Hr]]&gt;=0,"Night Time","")))</f>
        <v>Day Time</v>
      </c>
    </row>
    <row r="768" spans="1:19" x14ac:dyDescent="0.2">
      <c r="A768">
        <v>767</v>
      </c>
      <c r="B768" s="3">
        <v>40578</v>
      </c>
      <c r="C768">
        <v>1</v>
      </c>
      <c r="D768">
        <v>2011</v>
      </c>
      <c r="E768" t="s">
        <v>25</v>
      </c>
      <c r="F768">
        <v>18</v>
      </c>
      <c r="G768" t="b">
        <v>0</v>
      </c>
      <c r="H768" t="s">
        <v>17</v>
      </c>
      <c r="I768">
        <v>2</v>
      </c>
      <c r="J768">
        <v>0.24</v>
      </c>
      <c r="K768">
        <v>0.2576</v>
      </c>
      <c r="L768">
        <v>0.6</v>
      </c>
      <c r="M768">
        <v>0.1045</v>
      </c>
      <c r="N768">
        <v>3</v>
      </c>
      <c r="O768">
        <v>152</v>
      </c>
      <c r="P768">
        <v>155</v>
      </c>
      <c r="S768" t="str">
        <f>IF(Dataset_A[[#This Row],[Hr]]&gt;=19,"Evening Time",IF(Dataset_A[[#This Row],[Hr]]&gt;=9,"Day Time",IF(Dataset_A[[#This Row],[Hr]]&gt;=0,"Night Time","")))</f>
        <v>Day Time</v>
      </c>
    </row>
    <row r="769" spans="1:19" x14ac:dyDescent="0.2">
      <c r="A769">
        <v>768</v>
      </c>
      <c r="B769" s="3">
        <v>40578</v>
      </c>
      <c r="C769">
        <v>1</v>
      </c>
      <c r="D769">
        <v>2011</v>
      </c>
      <c r="E769" t="s">
        <v>25</v>
      </c>
      <c r="F769">
        <v>19</v>
      </c>
      <c r="G769" t="b">
        <v>0</v>
      </c>
      <c r="H769" t="s">
        <v>17</v>
      </c>
      <c r="I769">
        <v>2</v>
      </c>
      <c r="J769">
        <v>0.24</v>
      </c>
      <c r="K769">
        <v>0.2424</v>
      </c>
      <c r="L769">
        <v>0.65</v>
      </c>
      <c r="M769">
        <v>0.1343</v>
      </c>
      <c r="N769">
        <v>1</v>
      </c>
      <c r="O769">
        <v>102</v>
      </c>
      <c r="P769">
        <v>103</v>
      </c>
      <c r="S769" t="str">
        <f>IF(Dataset_A[[#This Row],[Hr]]&gt;=19,"Evening Time",IF(Dataset_A[[#This Row],[Hr]]&gt;=9,"Day Time",IF(Dataset_A[[#This Row],[Hr]]&gt;=0,"Night Time","")))</f>
        <v>Evening Time</v>
      </c>
    </row>
    <row r="770" spans="1:19" x14ac:dyDescent="0.2">
      <c r="A770">
        <v>769</v>
      </c>
      <c r="B770" s="3">
        <v>40578</v>
      </c>
      <c r="C770">
        <v>1</v>
      </c>
      <c r="D770">
        <v>2011</v>
      </c>
      <c r="E770" t="s">
        <v>25</v>
      </c>
      <c r="F770">
        <v>20</v>
      </c>
      <c r="G770" t="b">
        <v>0</v>
      </c>
      <c r="H770" t="s">
        <v>17</v>
      </c>
      <c r="I770">
        <v>2</v>
      </c>
      <c r="J770">
        <v>0.24</v>
      </c>
      <c r="K770">
        <v>0.2424</v>
      </c>
      <c r="L770">
        <v>0.65</v>
      </c>
      <c r="M770">
        <v>0.16420000000000001</v>
      </c>
      <c r="N770">
        <v>2</v>
      </c>
      <c r="O770">
        <v>69</v>
      </c>
      <c r="P770">
        <v>71</v>
      </c>
      <c r="S770" t="str">
        <f>IF(Dataset_A[[#This Row],[Hr]]&gt;=19,"Evening Time",IF(Dataset_A[[#This Row],[Hr]]&gt;=9,"Day Time",IF(Dataset_A[[#This Row],[Hr]]&gt;=0,"Night Time","")))</f>
        <v>Evening Time</v>
      </c>
    </row>
    <row r="771" spans="1:19" x14ac:dyDescent="0.2">
      <c r="A771">
        <v>770</v>
      </c>
      <c r="B771" s="3">
        <v>40578</v>
      </c>
      <c r="C771">
        <v>1</v>
      </c>
      <c r="D771">
        <v>2011</v>
      </c>
      <c r="E771" t="s">
        <v>25</v>
      </c>
      <c r="F771">
        <v>21</v>
      </c>
      <c r="G771" t="b">
        <v>0</v>
      </c>
      <c r="H771" t="s">
        <v>17</v>
      </c>
      <c r="I771">
        <v>2</v>
      </c>
      <c r="J771">
        <v>0.24</v>
      </c>
      <c r="K771">
        <v>0.2424</v>
      </c>
      <c r="L771">
        <v>0.7</v>
      </c>
      <c r="M771">
        <v>0.16420000000000001</v>
      </c>
      <c r="N771">
        <v>2</v>
      </c>
      <c r="O771">
        <v>41</v>
      </c>
      <c r="P771">
        <v>43</v>
      </c>
      <c r="S771" t="str">
        <f>IF(Dataset_A[[#This Row],[Hr]]&gt;=19,"Evening Time",IF(Dataset_A[[#This Row],[Hr]]&gt;=9,"Day Time",IF(Dataset_A[[#This Row],[Hr]]&gt;=0,"Night Time","")))</f>
        <v>Evening Time</v>
      </c>
    </row>
    <row r="772" spans="1:19" x14ac:dyDescent="0.2">
      <c r="A772">
        <v>771</v>
      </c>
      <c r="B772" s="3">
        <v>40578</v>
      </c>
      <c r="C772">
        <v>1</v>
      </c>
      <c r="D772">
        <v>2011</v>
      </c>
      <c r="E772" t="s">
        <v>25</v>
      </c>
      <c r="F772">
        <v>22</v>
      </c>
      <c r="G772" t="b">
        <v>0</v>
      </c>
      <c r="H772" t="s">
        <v>17</v>
      </c>
      <c r="I772">
        <v>2</v>
      </c>
      <c r="J772">
        <v>0.24</v>
      </c>
      <c r="K772">
        <v>0.2424</v>
      </c>
      <c r="L772">
        <v>0.65</v>
      </c>
      <c r="M772">
        <v>0.16420000000000001</v>
      </c>
      <c r="N772">
        <v>1</v>
      </c>
      <c r="O772">
        <v>45</v>
      </c>
      <c r="P772">
        <v>46</v>
      </c>
      <c r="S772" t="str">
        <f>IF(Dataset_A[[#This Row],[Hr]]&gt;=19,"Evening Time",IF(Dataset_A[[#This Row],[Hr]]&gt;=9,"Day Time",IF(Dataset_A[[#This Row],[Hr]]&gt;=0,"Night Time","")))</f>
        <v>Evening Time</v>
      </c>
    </row>
    <row r="773" spans="1:19" x14ac:dyDescent="0.2">
      <c r="A773">
        <v>772</v>
      </c>
      <c r="B773" s="3">
        <v>40578</v>
      </c>
      <c r="C773">
        <v>1</v>
      </c>
      <c r="D773">
        <v>2011</v>
      </c>
      <c r="E773" t="s">
        <v>25</v>
      </c>
      <c r="F773">
        <v>23</v>
      </c>
      <c r="G773" t="b">
        <v>0</v>
      </c>
      <c r="H773" t="s">
        <v>17</v>
      </c>
      <c r="I773">
        <v>2</v>
      </c>
      <c r="J773">
        <v>0.24</v>
      </c>
      <c r="K773">
        <v>0.2424</v>
      </c>
      <c r="L773">
        <v>0.7</v>
      </c>
      <c r="M773">
        <v>0.1343</v>
      </c>
      <c r="N773">
        <v>1</v>
      </c>
      <c r="O773">
        <v>30</v>
      </c>
      <c r="P773">
        <v>31</v>
      </c>
      <c r="S773" t="str">
        <f>IF(Dataset_A[[#This Row],[Hr]]&gt;=19,"Evening Time",IF(Dataset_A[[#This Row],[Hr]]&gt;=9,"Day Time",IF(Dataset_A[[#This Row],[Hr]]&gt;=0,"Night Time","")))</f>
        <v>Evening Time</v>
      </c>
    </row>
    <row r="774" spans="1:19" x14ac:dyDescent="0.2">
      <c r="A774">
        <v>773</v>
      </c>
      <c r="B774" s="3">
        <v>40579</v>
      </c>
      <c r="C774">
        <v>1</v>
      </c>
      <c r="D774">
        <v>2011</v>
      </c>
      <c r="E774" t="s">
        <v>25</v>
      </c>
      <c r="F774">
        <v>0</v>
      </c>
      <c r="G774" t="b">
        <v>0</v>
      </c>
      <c r="H774" t="s">
        <v>11</v>
      </c>
      <c r="I774">
        <v>2</v>
      </c>
      <c r="J774">
        <v>0.24</v>
      </c>
      <c r="K774">
        <v>0.2424</v>
      </c>
      <c r="L774">
        <v>0.7</v>
      </c>
      <c r="M774">
        <v>0.16420000000000001</v>
      </c>
      <c r="N774">
        <v>3</v>
      </c>
      <c r="O774">
        <v>36</v>
      </c>
      <c r="P774">
        <v>39</v>
      </c>
      <c r="S774" t="str">
        <f>IF(Dataset_A[[#This Row],[Hr]]&gt;=19,"Evening Time",IF(Dataset_A[[#This Row],[Hr]]&gt;=9,"Day Time",IF(Dataset_A[[#This Row],[Hr]]&gt;=0,"Night Time","")))</f>
        <v>Night Time</v>
      </c>
    </row>
    <row r="775" spans="1:19" x14ac:dyDescent="0.2">
      <c r="A775">
        <v>774</v>
      </c>
      <c r="B775" s="3">
        <v>40579</v>
      </c>
      <c r="C775">
        <v>1</v>
      </c>
      <c r="D775">
        <v>2011</v>
      </c>
      <c r="E775" t="s">
        <v>25</v>
      </c>
      <c r="F775">
        <v>1</v>
      </c>
      <c r="G775" t="b">
        <v>0</v>
      </c>
      <c r="H775" t="s">
        <v>11</v>
      </c>
      <c r="I775">
        <v>2</v>
      </c>
      <c r="J775">
        <v>0.24</v>
      </c>
      <c r="K775">
        <v>0.2424</v>
      </c>
      <c r="L775">
        <v>0.65</v>
      </c>
      <c r="M775">
        <v>0.16420000000000001</v>
      </c>
      <c r="N775">
        <v>1</v>
      </c>
      <c r="O775">
        <v>17</v>
      </c>
      <c r="P775">
        <v>18</v>
      </c>
      <c r="S775" t="str">
        <f>IF(Dataset_A[[#This Row],[Hr]]&gt;=19,"Evening Time",IF(Dataset_A[[#This Row],[Hr]]&gt;=9,"Day Time",IF(Dataset_A[[#This Row],[Hr]]&gt;=0,"Night Time","")))</f>
        <v>Night Time</v>
      </c>
    </row>
    <row r="776" spans="1:19" x14ac:dyDescent="0.2">
      <c r="A776">
        <v>775</v>
      </c>
      <c r="B776" s="3">
        <v>40579</v>
      </c>
      <c r="C776">
        <v>1</v>
      </c>
      <c r="D776">
        <v>2011</v>
      </c>
      <c r="E776" t="s">
        <v>25</v>
      </c>
      <c r="F776">
        <v>2</v>
      </c>
      <c r="G776" t="b">
        <v>0</v>
      </c>
      <c r="H776" t="s">
        <v>11</v>
      </c>
      <c r="I776">
        <v>2</v>
      </c>
      <c r="J776">
        <v>0.24</v>
      </c>
      <c r="K776">
        <v>0.2424</v>
      </c>
      <c r="L776">
        <v>0.75</v>
      </c>
      <c r="M776">
        <v>0.16420000000000001</v>
      </c>
      <c r="N776">
        <v>5</v>
      </c>
      <c r="O776">
        <v>12</v>
      </c>
      <c r="P776">
        <v>17</v>
      </c>
      <c r="S776" t="str">
        <f>IF(Dataset_A[[#This Row],[Hr]]&gt;=19,"Evening Time",IF(Dataset_A[[#This Row],[Hr]]&gt;=9,"Day Time",IF(Dataset_A[[#This Row],[Hr]]&gt;=0,"Night Time","")))</f>
        <v>Night Time</v>
      </c>
    </row>
    <row r="777" spans="1:19" x14ac:dyDescent="0.2">
      <c r="A777">
        <v>776</v>
      </c>
      <c r="B777" s="3">
        <v>40579</v>
      </c>
      <c r="C777">
        <v>1</v>
      </c>
      <c r="D777">
        <v>2011</v>
      </c>
      <c r="E777" t="s">
        <v>25</v>
      </c>
      <c r="F777">
        <v>3</v>
      </c>
      <c r="G777" t="b">
        <v>0</v>
      </c>
      <c r="H777" t="s">
        <v>11</v>
      </c>
      <c r="I777">
        <v>2</v>
      </c>
      <c r="J777">
        <v>0.24</v>
      </c>
      <c r="K777">
        <v>0.2424</v>
      </c>
      <c r="L777">
        <v>0.75</v>
      </c>
      <c r="M777">
        <v>0.16420000000000001</v>
      </c>
      <c r="N777">
        <v>1</v>
      </c>
      <c r="O777">
        <v>10</v>
      </c>
      <c r="P777">
        <v>11</v>
      </c>
      <c r="S777" t="str">
        <f>IF(Dataset_A[[#This Row],[Hr]]&gt;=19,"Evening Time",IF(Dataset_A[[#This Row],[Hr]]&gt;=9,"Day Time",IF(Dataset_A[[#This Row],[Hr]]&gt;=0,"Night Time","")))</f>
        <v>Night Time</v>
      </c>
    </row>
    <row r="778" spans="1:19" x14ac:dyDescent="0.2">
      <c r="A778">
        <v>777</v>
      </c>
      <c r="B778" s="3">
        <v>40579</v>
      </c>
      <c r="C778">
        <v>1</v>
      </c>
      <c r="D778">
        <v>2011</v>
      </c>
      <c r="E778" t="s">
        <v>25</v>
      </c>
      <c r="F778">
        <v>4</v>
      </c>
      <c r="G778" t="b">
        <v>0</v>
      </c>
      <c r="H778" t="s">
        <v>11</v>
      </c>
      <c r="I778">
        <v>3</v>
      </c>
      <c r="J778">
        <v>0.22</v>
      </c>
      <c r="K778">
        <v>0.2273</v>
      </c>
      <c r="L778">
        <v>0.93</v>
      </c>
      <c r="M778">
        <v>0.1343</v>
      </c>
      <c r="N778">
        <v>0</v>
      </c>
      <c r="O778">
        <v>8</v>
      </c>
      <c r="P778">
        <v>8</v>
      </c>
      <c r="S778" t="str">
        <f>IF(Dataset_A[[#This Row],[Hr]]&gt;=19,"Evening Time",IF(Dataset_A[[#This Row],[Hr]]&gt;=9,"Day Time",IF(Dataset_A[[#This Row],[Hr]]&gt;=0,"Night Time","")))</f>
        <v>Night Time</v>
      </c>
    </row>
    <row r="779" spans="1:19" x14ac:dyDescent="0.2">
      <c r="A779">
        <v>778</v>
      </c>
      <c r="B779" s="3">
        <v>40579</v>
      </c>
      <c r="C779">
        <v>1</v>
      </c>
      <c r="D779">
        <v>2011</v>
      </c>
      <c r="E779" t="s">
        <v>25</v>
      </c>
      <c r="F779">
        <v>5</v>
      </c>
      <c r="G779" t="b">
        <v>0</v>
      </c>
      <c r="H779" t="s">
        <v>11</v>
      </c>
      <c r="I779">
        <v>3</v>
      </c>
      <c r="J779">
        <v>0.2</v>
      </c>
      <c r="K779">
        <v>0.2273</v>
      </c>
      <c r="L779">
        <v>1</v>
      </c>
      <c r="M779">
        <v>8.9599999999999999E-2</v>
      </c>
      <c r="N779">
        <v>0</v>
      </c>
      <c r="O779">
        <v>9</v>
      </c>
      <c r="P779">
        <v>9</v>
      </c>
      <c r="S779" t="str">
        <f>IF(Dataset_A[[#This Row],[Hr]]&gt;=19,"Evening Time",IF(Dataset_A[[#This Row],[Hr]]&gt;=9,"Day Time",IF(Dataset_A[[#This Row],[Hr]]&gt;=0,"Night Time","")))</f>
        <v>Night Time</v>
      </c>
    </row>
    <row r="780" spans="1:19" x14ac:dyDescent="0.2">
      <c r="A780">
        <v>779</v>
      </c>
      <c r="B780" s="3">
        <v>40579</v>
      </c>
      <c r="C780">
        <v>1</v>
      </c>
      <c r="D780">
        <v>2011</v>
      </c>
      <c r="E780" t="s">
        <v>25</v>
      </c>
      <c r="F780">
        <v>6</v>
      </c>
      <c r="G780" t="b">
        <v>0</v>
      </c>
      <c r="H780" t="s">
        <v>11</v>
      </c>
      <c r="I780">
        <v>3</v>
      </c>
      <c r="J780">
        <v>0.2</v>
      </c>
      <c r="K780">
        <v>0.2576</v>
      </c>
      <c r="L780">
        <v>1</v>
      </c>
      <c r="M780">
        <v>0</v>
      </c>
      <c r="N780">
        <v>0</v>
      </c>
      <c r="O780">
        <v>4</v>
      </c>
      <c r="P780">
        <v>4</v>
      </c>
      <c r="S780" t="str">
        <f>IF(Dataset_A[[#This Row],[Hr]]&gt;=19,"Evening Time",IF(Dataset_A[[#This Row],[Hr]]&gt;=9,"Day Time",IF(Dataset_A[[#This Row],[Hr]]&gt;=0,"Night Time","")))</f>
        <v>Night Time</v>
      </c>
    </row>
    <row r="781" spans="1:19" x14ac:dyDescent="0.2">
      <c r="A781">
        <v>780</v>
      </c>
      <c r="B781" s="3">
        <v>40579</v>
      </c>
      <c r="C781">
        <v>1</v>
      </c>
      <c r="D781">
        <v>2011</v>
      </c>
      <c r="E781" t="s">
        <v>25</v>
      </c>
      <c r="F781">
        <v>7</v>
      </c>
      <c r="G781" t="b">
        <v>0</v>
      </c>
      <c r="H781" t="s">
        <v>11</v>
      </c>
      <c r="I781">
        <v>3</v>
      </c>
      <c r="J781">
        <v>0.22</v>
      </c>
      <c r="K781">
        <v>0.2576</v>
      </c>
      <c r="L781">
        <v>0.93</v>
      </c>
      <c r="M781">
        <v>8.9599999999999999E-2</v>
      </c>
      <c r="N781">
        <v>0</v>
      </c>
      <c r="O781">
        <v>4</v>
      </c>
      <c r="P781">
        <v>4</v>
      </c>
      <c r="S781" t="str">
        <f>IF(Dataset_A[[#This Row],[Hr]]&gt;=19,"Evening Time",IF(Dataset_A[[#This Row],[Hr]]&gt;=9,"Day Time",IF(Dataset_A[[#This Row],[Hr]]&gt;=0,"Night Time","")))</f>
        <v>Night Time</v>
      </c>
    </row>
    <row r="782" spans="1:19" x14ac:dyDescent="0.2">
      <c r="A782">
        <v>781</v>
      </c>
      <c r="B782" s="3">
        <v>40579</v>
      </c>
      <c r="C782">
        <v>1</v>
      </c>
      <c r="D782">
        <v>2011</v>
      </c>
      <c r="E782" t="s">
        <v>25</v>
      </c>
      <c r="F782">
        <v>8</v>
      </c>
      <c r="G782" t="b">
        <v>0</v>
      </c>
      <c r="H782" t="s">
        <v>11</v>
      </c>
      <c r="I782">
        <v>3</v>
      </c>
      <c r="J782">
        <v>0.2</v>
      </c>
      <c r="K782">
        <v>0.2273</v>
      </c>
      <c r="L782">
        <v>1</v>
      </c>
      <c r="M782">
        <v>8.9599999999999999E-2</v>
      </c>
      <c r="N782">
        <v>0</v>
      </c>
      <c r="O782">
        <v>10</v>
      </c>
      <c r="P782">
        <v>10</v>
      </c>
      <c r="S782" t="str">
        <f>IF(Dataset_A[[#This Row],[Hr]]&gt;=19,"Evening Time",IF(Dataset_A[[#This Row],[Hr]]&gt;=9,"Day Time",IF(Dataset_A[[#This Row],[Hr]]&gt;=0,"Night Time","")))</f>
        <v>Night Time</v>
      </c>
    </row>
    <row r="783" spans="1:19" x14ac:dyDescent="0.2">
      <c r="A783">
        <v>782</v>
      </c>
      <c r="B783" s="3">
        <v>40579</v>
      </c>
      <c r="C783">
        <v>1</v>
      </c>
      <c r="D783">
        <v>2011</v>
      </c>
      <c r="E783" t="s">
        <v>25</v>
      </c>
      <c r="F783">
        <v>9</v>
      </c>
      <c r="G783" t="b">
        <v>0</v>
      </c>
      <c r="H783" t="s">
        <v>11</v>
      </c>
      <c r="I783">
        <v>3</v>
      </c>
      <c r="J783">
        <v>0.2</v>
      </c>
      <c r="K783">
        <v>0.2273</v>
      </c>
      <c r="L783">
        <v>1</v>
      </c>
      <c r="M783">
        <v>8.9599999999999999E-2</v>
      </c>
      <c r="N783">
        <v>3</v>
      </c>
      <c r="O783">
        <v>17</v>
      </c>
      <c r="P783">
        <v>20</v>
      </c>
      <c r="S783" t="str">
        <f>IF(Dataset_A[[#This Row],[Hr]]&gt;=19,"Evening Time",IF(Dataset_A[[#This Row],[Hr]]&gt;=9,"Day Time",IF(Dataset_A[[#This Row],[Hr]]&gt;=0,"Night Time","")))</f>
        <v>Day Time</v>
      </c>
    </row>
    <row r="784" spans="1:19" x14ac:dyDescent="0.2">
      <c r="A784">
        <v>783</v>
      </c>
      <c r="B784" s="3">
        <v>40579</v>
      </c>
      <c r="C784">
        <v>1</v>
      </c>
      <c r="D784">
        <v>2011</v>
      </c>
      <c r="E784" t="s">
        <v>25</v>
      </c>
      <c r="F784">
        <v>10</v>
      </c>
      <c r="G784" t="b">
        <v>0</v>
      </c>
      <c r="H784" t="s">
        <v>11</v>
      </c>
      <c r="I784">
        <v>3</v>
      </c>
      <c r="J784">
        <v>0.2</v>
      </c>
      <c r="K784">
        <v>0.21210000000000001</v>
      </c>
      <c r="L784">
        <v>1</v>
      </c>
      <c r="M784">
        <v>0.1343</v>
      </c>
      <c r="N784">
        <v>3</v>
      </c>
      <c r="O784">
        <v>31</v>
      </c>
      <c r="P784">
        <v>34</v>
      </c>
      <c r="S784" t="str">
        <f>IF(Dataset_A[[#This Row],[Hr]]&gt;=19,"Evening Time",IF(Dataset_A[[#This Row],[Hr]]&gt;=9,"Day Time",IF(Dataset_A[[#This Row],[Hr]]&gt;=0,"Night Time","")))</f>
        <v>Day Time</v>
      </c>
    </row>
    <row r="785" spans="1:19" x14ac:dyDescent="0.2">
      <c r="A785">
        <v>784</v>
      </c>
      <c r="B785" s="3">
        <v>40579</v>
      </c>
      <c r="C785">
        <v>1</v>
      </c>
      <c r="D785">
        <v>2011</v>
      </c>
      <c r="E785" t="s">
        <v>25</v>
      </c>
      <c r="F785">
        <v>11</v>
      </c>
      <c r="G785" t="b">
        <v>0</v>
      </c>
      <c r="H785" t="s">
        <v>11</v>
      </c>
      <c r="I785">
        <v>3</v>
      </c>
      <c r="J785">
        <v>0.22</v>
      </c>
      <c r="K785">
        <v>0.2273</v>
      </c>
      <c r="L785">
        <v>1</v>
      </c>
      <c r="M785">
        <v>0.1343</v>
      </c>
      <c r="N785">
        <v>1</v>
      </c>
      <c r="O785">
        <v>46</v>
      </c>
      <c r="P785">
        <v>47</v>
      </c>
      <c r="S785" t="str">
        <f>IF(Dataset_A[[#This Row],[Hr]]&gt;=19,"Evening Time",IF(Dataset_A[[#This Row],[Hr]]&gt;=9,"Day Time",IF(Dataset_A[[#This Row],[Hr]]&gt;=0,"Night Time","")))</f>
        <v>Day Time</v>
      </c>
    </row>
    <row r="786" spans="1:19" x14ac:dyDescent="0.2">
      <c r="A786">
        <v>785</v>
      </c>
      <c r="B786" s="3">
        <v>40579</v>
      </c>
      <c r="C786">
        <v>1</v>
      </c>
      <c r="D786">
        <v>2011</v>
      </c>
      <c r="E786" t="s">
        <v>25</v>
      </c>
      <c r="F786">
        <v>12</v>
      </c>
      <c r="G786" t="b">
        <v>0</v>
      </c>
      <c r="H786" t="s">
        <v>11</v>
      </c>
      <c r="I786">
        <v>3</v>
      </c>
      <c r="J786">
        <v>0.22</v>
      </c>
      <c r="K786">
        <v>0.2273</v>
      </c>
      <c r="L786">
        <v>1</v>
      </c>
      <c r="M786">
        <v>0.16420000000000001</v>
      </c>
      <c r="N786">
        <v>10</v>
      </c>
      <c r="O786">
        <v>42</v>
      </c>
      <c r="P786">
        <v>52</v>
      </c>
      <c r="S786" t="str">
        <f>IF(Dataset_A[[#This Row],[Hr]]&gt;=19,"Evening Time",IF(Dataset_A[[#This Row],[Hr]]&gt;=9,"Day Time",IF(Dataset_A[[#This Row],[Hr]]&gt;=0,"Night Time","")))</f>
        <v>Day Time</v>
      </c>
    </row>
    <row r="787" spans="1:19" x14ac:dyDescent="0.2">
      <c r="A787">
        <v>786</v>
      </c>
      <c r="B787" s="3">
        <v>40579</v>
      </c>
      <c r="C787">
        <v>1</v>
      </c>
      <c r="D787">
        <v>2011</v>
      </c>
      <c r="E787" t="s">
        <v>25</v>
      </c>
      <c r="F787">
        <v>13</v>
      </c>
      <c r="G787" t="b">
        <v>0</v>
      </c>
      <c r="H787" t="s">
        <v>11</v>
      </c>
      <c r="I787">
        <v>3</v>
      </c>
      <c r="J787">
        <v>0.22</v>
      </c>
      <c r="K787">
        <v>0.2273</v>
      </c>
      <c r="L787">
        <v>1</v>
      </c>
      <c r="M787">
        <v>0.16420000000000001</v>
      </c>
      <c r="N787">
        <v>10</v>
      </c>
      <c r="O787">
        <v>62</v>
      </c>
      <c r="P787">
        <v>72</v>
      </c>
      <c r="S787" t="str">
        <f>IF(Dataset_A[[#This Row],[Hr]]&gt;=19,"Evening Time",IF(Dataset_A[[#This Row],[Hr]]&gt;=9,"Day Time",IF(Dataset_A[[#This Row],[Hr]]&gt;=0,"Night Time","")))</f>
        <v>Day Time</v>
      </c>
    </row>
    <row r="788" spans="1:19" x14ac:dyDescent="0.2">
      <c r="A788">
        <v>787</v>
      </c>
      <c r="B788" s="3">
        <v>40579</v>
      </c>
      <c r="C788">
        <v>1</v>
      </c>
      <c r="D788">
        <v>2011</v>
      </c>
      <c r="E788" t="s">
        <v>25</v>
      </c>
      <c r="F788">
        <v>14</v>
      </c>
      <c r="G788" t="b">
        <v>0</v>
      </c>
      <c r="H788" t="s">
        <v>11</v>
      </c>
      <c r="I788">
        <v>3</v>
      </c>
      <c r="J788">
        <v>0.22</v>
      </c>
      <c r="K788">
        <v>0.2727</v>
      </c>
      <c r="L788">
        <v>1</v>
      </c>
      <c r="M788">
        <v>0</v>
      </c>
      <c r="N788">
        <v>5</v>
      </c>
      <c r="O788">
        <v>50</v>
      </c>
      <c r="P788">
        <v>55</v>
      </c>
      <c r="S788" t="str">
        <f>IF(Dataset_A[[#This Row],[Hr]]&gt;=19,"Evening Time",IF(Dataset_A[[#This Row],[Hr]]&gt;=9,"Day Time",IF(Dataset_A[[#This Row],[Hr]]&gt;=0,"Night Time","")))</f>
        <v>Day Time</v>
      </c>
    </row>
    <row r="789" spans="1:19" x14ac:dyDescent="0.2">
      <c r="A789">
        <v>788</v>
      </c>
      <c r="B789" s="3">
        <v>40579</v>
      </c>
      <c r="C789">
        <v>1</v>
      </c>
      <c r="D789">
        <v>2011</v>
      </c>
      <c r="E789" t="s">
        <v>25</v>
      </c>
      <c r="F789">
        <v>15</v>
      </c>
      <c r="G789" t="b">
        <v>0</v>
      </c>
      <c r="H789" t="s">
        <v>11</v>
      </c>
      <c r="I789">
        <v>3</v>
      </c>
      <c r="J789">
        <v>0.22</v>
      </c>
      <c r="K789">
        <v>0.2727</v>
      </c>
      <c r="L789">
        <v>1</v>
      </c>
      <c r="M789">
        <v>0</v>
      </c>
      <c r="N789">
        <v>11</v>
      </c>
      <c r="O789">
        <v>49</v>
      </c>
      <c r="P789">
        <v>60</v>
      </c>
      <c r="S789" t="str">
        <f>IF(Dataset_A[[#This Row],[Hr]]&gt;=19,"Evening Time",IF(Dataset_A[[#This Row],[Hr]]&gt;=9,"Day Time",IF(Dataset_A[[#This Row],[Hr]]&gt;=0,"Night Time","")))</f>
        <v>Day Time</v>
      </c>
    </row>
    <row r="790" spans="1:19" x14ac:dyDescent="0.2">
      <c r="A790">
        <v>789</v>
      </c>
      <c r="B790" s="3">
        <v>40579</v>
      </c>
      <c r="C790">
        <v>1</v>
      </c>
      <c r="D790">
        <v>2011</v>
      </c>
      <c r="E790" t="s">
        <v>25</v>
      </c>
      <c r="F790">
        <v>16</v>
      </c>
      <c r="G790" t="b">
        <v>0</v>
      </c>
      <c r="H790" t="s">
        <v>11</v>
      </c>
      <c r="I790">
        <v>3</v>
      </c>
      <c r="J790">
        <v>0.22</v>
      </c>
      <c r="K790">
        <v>0.2273</v>
      </c>
      <c r="L790">
        <v>1</v>
      </c>
      <c r="M790">
        <v>0.1343</v>
      </c>
      <c r="N790">
        <v>8</v>
      </c>
      <c r="O790">
        <v>63</v>
      </c>
      <c r="P790">
        <v>71</v>
      </c>
      <c r="S790" t="str">
        <f>IF(Dataset_A[[#This Row],[Hr]]&gt;=19,"Evening Time",IF(Dataset_A[[#This Row],[Hr]]&gt;=9,"Day Time",IF(Dataset_A[[#This Row],[Hr]]&gt;=0,"Night Time","")))</f>
        <v>Day Time</v>
      </c>
    </row>
    <row r="791" spans="1:19" x14ac:dyDescent="0.2">
      <c r="A791">
        <v>790</v>
      </c>
      <c r="B791" s="3">
        <v>40579</v>
      </c>
      <c r="C791">
        <v>1</v>
      </c>
      <c r="D791">
        <v>2011</v>
      </c>
      <c r="E791" t="s">
        <v>25</v>
      </c>
      <c r="F791">
        <v>17</v>
      </c>
      <c r="G791" t="b">
        <v>0</v>
      </c>
      <c r="H791" t="s">
        <v>11</v>
      </c>
      <c r="I791">
        <v>2</v>
      </c>
      <c r="J791">
        <v>0.24</v>
      </c>
      <c r="K791">
        <v>0.21210000000000001</v>
      </c>
      <c r="L791">
        <v>1</v>
      </c>
      <c r="M791">
        <v>0.28360000000000002</v>
      </c>
      <c r="N791">
        <v>14</v>
      </c>
      <c r="O791">
        <v>64</v>
      </c>
      <c r="P791">
        <v>78</v>
      </c>
      <c r="S791" t="str">
        <f>IF(Dataset_A[[#This Row],[Hr]]&gt;=19,"Evening Time",IF(Dataset_A[[#This Row],[Hr]]&gt;=9,"Day Time",IF(Dataset_A[[#This Row],[Hr]]&gt;=0,"Night Time","")))</f>
        <v>Day Time</v>
      </c>
    </row>
    <row r="792" spans="1:19" x14ac:dyDescent="0.2">
      <c r="A792">
        <v>791</v>
      </c>
      <c r="B792" s="3">
        <v>40579</v>
      </c>
      <c r="C792">
        <v>1</v>
      </c>
      <c r="D792">
        <v>2011</v>
      </c>
      <c r="E792" t="s">
        <v>25</v>
      </c>
      <c r="F792">
        <v>18</v>
      </c>
      <c r="G792" t="b">
        <v>0</v>
      </c>
      <c r="H792" t="s">
        <v>11</v>
      </c>
      <c r="I792">
        <v>2</v>
      </c>
      <c r="J792">
        <v>0.28000000000000003</v>
      </c>
      <c r="K792">
        <v>0.2424</v>
      </c>
      <c r="L792">
        <v>0.93</v>
      </c>
      <c r="M792">
        <v>0.44779999999999998</v>
      </c>
      <c r="N792">
        <v>2</v>
      </c>
      <c r="O792">
        <v>81</v>
      </c>
      <c r="P792">
        <v>83</v>
      </c>
      <c r="S792" t="str">
        <f>IF(Dataset_A[[#This Row],[Hr]]&gt;=19,"Evening Time",IF(Dataset_A[[#This Row],[Hr]]&gt;=9,"Day Time",IF(Dataset_A[[#This Row],[Hr]]&gt;=0,"Night Time","")))</f>
        <v>Day Time</v>
      </c>
    </row>
    <row r="793" spans="1:19" x14ac:dyDescent="0.2">
      <c r="A793">
        <v>792</v>
      </c>
      <c r="B793" s="3">
        <v>40579</v>
      </c>
      <c r="C793">
        <v>1</v>
      </c>
      <c r="D793">
        <v>2011</v>
      </c>
      <c r="E793" t="s">
        <v>25</v>
      </c>
      <c r="F793">
        <v>19</v>
      </c>
      <c r="G793" t="b">
        <v>0</v>
      </c>
      <c r="H793" t="s">
        <v>11</v>
      </c>
      <c r="I793">
        <v>2</v>
      </c>
      <c r="J793">
        <v>0.28000000000000003</v>
      </c>
      <c r="K793">
        <v>0.2424</v>
      </c>
      <c r="L793">
        <v>0.93</v>
      </c>
      <c r="M793">
        <v>0.44779999999999998</v>
      </c>
      <c r="N793">
        <v>6</v>
      </c>
      <c r="O793">
        <v>78</v>
      </c>
      <c r="P793">
        <v>84</v>
      </c>
      <c r="S793" t="str">
        <f>IF(Dataset_A[[#This Row],[Hr]]&gt;=19,"Evening Time",IF(Dataset_A[[#This Row],[Hr]]&gt;=9,"Day Time",IF(Dataset_A[[#This Row],[Hr]]&gt;=0,"Night Time","")))</f>
        <v>Evening Time</v>
      </c>
    </row>
    <row r="794" spans="1:19" x14ac:dyDescent="0.2">
      <c r="A794">
        <v>793</v>
      </c>
      <c r="B794" s="3">
        <v>40579</v>
      </c>
      <c r="C794">
        <v>1</v>
      </c>
      <c r="D794">
        <v>2011</v>
      </c>
      <c r="E794" t="s">
        <v>25</v>
      </c>
      <c r="F794">
        <v>20</v>
      </c>
      <c r="G794" t="b">
        <v>0</v>
      </c>
      <c r="H794" t="s">
        <v>11</v>
      </c>
      <c r="I794">
        <v>1</v>
      </c>
      <c r="J794">
        <v>0.3</v>
      </c>
      <c r="K794">
        <v>0.28789999999999999</v>
      </c>
      <c r="L794">
        <v>0.87</v>
      </c>
      <c r="M794">
        <v>0.25369999999999998</v>
      </c>
      <c r="N794">
        <v>5</v>
      </c>
      <c r="O794">
        <v>64</v>
      </c>
      <c r="P794">
        <v>69</v>
      </c>
      <c r="S794" t="str">
        <f>IF(Dataset_A[[#This Row],[Hr]]&gt;=19,"Evening Time",IF(Dataset_A[[#This Row],[Hr]]&gt;=9,"Day Time",IF(Dataset_A[[#This Row],[Hr]]&gt;=0,"Night Time","")))</f>
        <v>Evening Time</v>
      </c>
    </row>
    <row r="795" spans="1:19" x14ac:dyDescent="0.2">
      <c r="A795">
        <v>794</v>
      </c>
      <c r="B795" s="3">
        <v>40579</v>
      </c>
      <c r="C795">
        <v>1</v>
      </c>
      <c r="D795">
        <v>2011</v>
      </c>
      <c r="E795" t="s">
        <v>25</v>
      </c>
      <c r="F795">
        <v>21</v>
      </c>
      <c r="G795" t="b">
        <v>0</v>
      </c>
      <c r="H795" t="s">
        <v>11</v>
      </c>
      <c r="I795">
        <v>1</v>
      </c>
      <c r="J795">
        <v>0.26</v>
      </c>
      <c r="K795">
        <v>0.2576</v>
      </c>
      <c r="L795">
        <v>1</v>
      </c>
      <c r="M795">
        <v>0.19400000000000001</v>
      </c>
      <c r="N795">
        <v>3</v>
      </c>
      <c r="O795">
        <v>53</v>
      </c>
      <c r="P795">
        <v>56</v>
      </c>
      <c r="S795" t="str">
        <f>IF(Dataset_A[[#This Row],[Hr]]&gt;=19,"Evening Time",IF(Dataset_A[[#This Row],[Hr]]&gt;=9,"Day Time",IF(Dataset_A[[#This Row],[Hr]]&gt;=0,"Night Time","")))</f>
        <v>Evening Time</v>
      </c>
    </row>
    <row r="796" spans="1:19" x14ac:dyDescent="0.2">
      <c r="A796">
        <v>795</v>
      </c>
      <c r="B796" s="3">
        <v>40579</v>
      </c>
      <c r="C796">
        <v>1</v>
      </c>
      <c r="D796">
        <v>2011</v>
      </c>
      <c r="E796" t="s">
        <v>25</v>
      </c>
      <c r="F796">
        <v>22</v>
      </c>
      <c r="G796" t="b">
        <v>0</v>
      </c>
      <c r="H796" t="s">
        <v>11</v>
      </c>
      <c r="I796">
        <v>1</v>
      </c>
      <c r="J796">
        <v>0.26</v>
      </c>
      <c r="K796">
        <v>0.2727</v>
      </c>
      <c r="L796">
        <v>0.93</v>
      </c>
      <c r="M796">
        <v>0.1343</v>
      </c>
      <c r="N796">
        <v>2</v>
      </c>
      <c r="O796">
        <v>43</v>
      </c>
      <c r="P796">
        <v>45</v>
      </c>
      <c r="S796" t="str">
        <f>IF(Dataset_A[[#This Row],[Hr]]&gt;=19,"Evening Time",IF(Dataset_A[[#This Row],[Hr]]&gt;=9,"Day Time",IF(Dataset_A[[#This Row],[Hr]]&gt;=0,"Night Time","")))</f>
        <v>Evening Time</v>
      </c>
    </row>
    <row r="797" spans="1:19" x14ac:dyDescent="0.2">
      <c r="A797">
        <v>796</v>
      </c>
      <c r="B797" s="3">
        <v>40579</v>
      </c>
      <c r="C797">
        <v>1</v>
      </c>
      <c r="D797">
        <v>2011</v>
      </c>
      <c r="E797" t="s">
        <v>25</v>
      </c>
      <c r="F797">
        <v>23</v>
      </c>
      <c r="G797" t="b">
        <v>0</v>
      </c>
      <c r="H797" t="s">
        <v>11</v>
      </c>
      <c r="I797">
        <v>1</v>
      </c>
      <c r="J797">
        <v>0.26</v>
      </c>
      <c r="K797">
        <v>0.2576</v>
      </c>
      <c r="L797">
        <v>0.93</v>
      </c>
      <c r="M797">
        <v>0.22389999999999999</v>
      </c>
      <c r="N797">
        <v>7</v>
      </c>
      <c r="O797">
        <v>52</v>
      </c>
      <c r="P797">
        <v>59</v>
      </c>
      <c r="S797" t="str">
        <f>IF(Dataset_A[[#This Row],[Hr]]&gt;=19,"Evening Time",IF(Dataset_A[[#This Row],[Hr]]&gt;=9,"Day Time",IF(Dataset_A[[#This Row],[Hr]]&gt;=0,"Night Time","")))</f>
        <v>Evening Time</v>
      </c>
    </row>
    <row r="798" spans="1:19" x14ac:dyDescent="0.2">
      <c r="A798">
        <v>797</v>
      </c>
      <c r="B798" s="3">
        <v>40580</v>
      </c>
      <c r="C798">
        <v>1</v>
      </c>
      <c r="D798">
        <v>2011</v>
      </c>
      <c r="E798" t="s">
        <v>25</v>
      </c>
      <c r="F798">
        <v>0</v>
      </c>
      <c r="G798" t="b">
        <v>1</v>
      </c>
      <c r="H798" t="s">
        <v>12</v>
      </c>
      <c r="I798">
        <v>1</v>
      </c>
      <c r="J798">
        <v>0.26</v>
      </c>
      <c r="K798">
        <v>0.2576</v>
      </c>
      <c r="L798">
        <v>0.7</v>
      </c>
      <c r="M798">
        <v>0.19400000000000001</v>
      </c>
      <c r="N798">
        <v>2</v>
      </c>
      <c r="O798">
        <v>37</v>
      </c>
      <c r="P798">
        <v>39</v>
      </c>
      <c r="S798" t="str">
        <f>IF(Dataset_A[[#This Row],[Hr]]&gt;=19,"Evening Time",IF(Dataset_A[[#This Row],[Hr]]&gt;=9,"Day Time",IF(Dataset_A[[#This Row],[Hr]]&gt;=0,"Night Time","")))</f>
        <v>Night Time</v>
      </c>
    </row>
    <row r="799" spans="1:19" x14ac:dyDescent="0.2">
      <c r="A799">
        <v>798</v>
      </c>
      <c r="B799" s="3">
        <v>40580</v>
      </c>
      <c r="C799">
        <v>1</v>
      </c>
      <c r="D799">
        <v>2011</v>
      </c>
      <c r="E799" t="s">
        <v>25</v>
      </c>
      <c r="F799">
        <v>1</v>
      </c>
      <c r="G799" t="b">
        <v>1</v>
      </c>
      <c r="H799" t="s">
        <v>12</v>
      </c>
      <c r="I799">
        <v>1</v>
      </c>
      <c r="J799">
        <v>0.26</v>
      </c>
      <c r="K799">
        <v>0.2273</v>
      </c>
      <c r="L799">
        <v>0.65</v>
      </c>
      <c r="M799">
        <v>0.41789999999999999</v>
      </c>
      <c r="N799">
        <v>4</v>
      </c>
      <c r="O799">
        <v>40</v>
      </c>
      <c r="P799">
        <v>44</v>
      </c>
      <c r="S799" t="str">
        <f>IF(Dataset_A[[#This Row],[Hr]]&gt;=19,"Evening Time",IF(Dataset_A[[#This Row],[Hr]]&gt;=9,"Day Time",IF(Dataset_A[[#This Row],[Hr]]&gt;=0,"Night Time","")))</f>
        <v>Night Time</v>
      </c>
    </row>
    <row r="800" spans="1:19" x14ac:dyDescent="0.2">
      <c r="A800">
        <v>799</v>
      </c>
      <c r="B800" s="3">
        <v>40580</v>
      </c>
      <c r="C800">
        <v>1</v>
      </c>
      <c r="D800">
        <v>2011</v>
      </c>
      <c r="E800" t="s">
        <v>25</v>
      </c>
      <c r="F800">
        <v>2</v>
      </c>
      <c r="G800" t="b">
        <v>1</v>
      </c>
      <c r="H800" t="s">
        <v>12</v>
      </c>
      <c r="I800">
        <v>1</v>
      </c>
      <c r="J800">
        <v>0.26</v>
      </c>
      <c r="K800">
        <v>0.2273</v>
      </c>
      <c r="L800">
        <v>0.6</v>
      </c>
      <c r="M800">
        <v>0.32840000000000003</v>
      </c>
      <c r="N800">
        <v>0</v>
      </c>
      <c r="O800">
        <v>20</v>
      </c>
      <c r="P800">
        <v>20</v>
      </c>
      <c r="S800" t="str">
        <f>IF(Dataset_A[[#This Row],[Hr]]&gt;=19,"Evening Time",IF(Dataset_A[[#This Row],[Hr]]&gt;=9,"Day Time",IF(Dataset_A[[#This Row],[Hr]]&gt;=0,"Night Time","")))</f>
        <v>Night Time</v>
      </c>
    </row>
    <row r="801" spans="1:19" x14ac:dyDescent="0.2">
      <c r="A801">
        <v>800</v>
      </c>
      <c r="B801" s="3">
        <v>40580</v>
      </c>
      <c r="C801">
        <v>1</v>
      </c>
      <c r="D801">
        <v>2011</v>
      </c>
      <c r="E801" t="s">
        <v>25</v>
      </c>
      <c r="F801">
        <v>3</v>
      </c>
      <c r="G801" t="b">
        <v>1</v>
      </c>
      <c r="H801" t="s">
        <v>12</v>
      </c>
      <c r="I801">
        <v>1</v>
      </c>
      <c r="J801">
        <v>0.26</v>
      </c>
      <c r="K801">
        <v>0.28789999999999999</v>
      </c>
      <c r="L801">
        <v>0.6</v>
      </c>
      <c r="M801">
        <v>8.9599999999999999E-2</v>
      </c>
      <c r="N801">
        <v>3</v>
      </c>
      <c r="O801">
        <v>10</v>
      </c>
      <c r="P801">
        <v>13</v>
      </c>
      <c r="S801" t="str">
        <f>IF(Dataset_A[[#This Row],[Hr]]&gt;=19,"Evening Time",IF(Dataset_A[[#This Row],[Hr]]&gt;=9,"Day Time",IF(Dataset_A[[#This Row],[Hr]]&gt;=0,"Night Time","")))</f>
        <v>Night Time</v>
      </c>
    </row>
    <row r="802" spans="1:19" x14ac:dyDescent="0.2">
      <c r="A802">
        <v>801</v>
      </c>
      <c r="B802" s="3">
        <v>40580</v>
      </c>
      <c r="C802">
        <v>1</v>
      </c>
      <c r="D802">
        <v>2011</v>
      </c>
      <c r="E802" t="s">
        <v>25</v>
      </c>
      <c r="F802">
        <v>4</v>
      </c>
      <c r="G802" t="b">
        <v>1</v>
      </c>
      <c r="H802" t="s">
        <v>12</v>
      </c>
      <c r="I802">
        <v>1</v>
      </c>
      <c r="J802">
        <v>0.26</v>
      </c>
      <c r="K802">
        <v>0.2273</v>
      </c>
      <c r="L802">
        <v>0.6</v>
      </c>
      <c r="M802">
        <v>0.35820000000000002</v>
      </c>
      <c r="N802">
        <v>0</v>
      </c>
      <c r="O802">
        <v>2</v>
      </c>
      <c r="P802">
        <v>2</v>
      </c>
      <c r="S802" t="str">
        <f>IF(Dataset_A[[#This Row],[Hr]]&gt;=19,"Evening Time",IF(Dataset_A[[#This Row],[Hr]]&gt;=9,"Day Time",IF(Dataset_A[[#This Row],[Hr]]&gt;=0,"Night Time","")))</f>
        <v>Night Time</v>
      </c>
    </row>
    <row r="803" spans="1:19" x14ac:dyDescent="0.2">
      <c r="A803">
        <v>802</v>
      </c>
      <c r="B803" s="3">
        <v>40580</v>
      </c>
      <c r="C803">
        <v>1</v>
      </c>
      <c r="D803">
        <v>2011</v>
      </c>
      <c r="E803" t="s">
        <v>25</v>
      </c>
      <c r="F803">
        <v>5</v>
      </c>
      <c r="G803" t="b">
        <v>1</v>
      </c>
      <c r="H803" t="s">
        <v>12</v>
      </c>
      <c r="I803">
        <v>1</v>
      </c>
      <c r="J803">
        <v>0.26</v>
      </c>
      <c r="K803">
        <v>0.2576</v>
      </c>
      <c r="L803">
        <v>0.6</v>
      </c>
      <c r="M803">
        <v>0.22389999999999999</v>
      </c>
      <c r="N803">
        <v>0</v>
      </c>
      <c r="O803">
        <v>1</v>
      </c>
      <c r="P803">
        <v>1</v>
      </c>
      <c r="S803" t="str">
        <f>IF(Dataset_A[[#This Row],[Hr]]&gt;=19,"Evening Time",IF(Dataset_A[[#This Row],[Hr]]&gt;=9,"Day Time",IF(Dataset_A[[#This Row],[Hr]]&gt;=0,"Night Time","")))</f>
        <v>Night Time</v>
      </c>
    </row>
    <row r="804" spans="1:19" x14ac:dyDescent="0.2">
      <c r="A804">
        <v>803</v>
      </c>
      <c r="B804" s="3">
        <v>40580</v>
      </c>
      <c r="C804">
        <v>1</v>
      </c>
      <c r="D804">
        <v>2011</v>
      </c>
      <c r="E804" t="s">
        <v>25</v>
      </c>
      <c r="F804">
        <v>6</v>
      </c>
      <c r="G804" t="b">
        <v>1</v>
      </c>
      <c r="H804" t="s">
        <v>12</v>
      </c>
      <c r="I804">
        <v>1</v>
      </c>
      <c r="J804">
        <v>0.26</v>
      </c>
      <c r="K804">
        <v>0.2576</v>
      </c>
      <c r="L804">
        <v>0.6</v>
      </c>
      <c r="M804">
        <v>0.22389999999999999</v>
      </c>
      <c r="N804">
        <v>0</v>
      </c>
      <c r="O804">
        <v>1</v>
      </c>
      <c r="P804">
        <v>1</v>
      </c>
      <c r="S804" t="str">
        <f>IF(Dataset_A[[#This Row],[Hr]]&gt;=19,"Evening Time",IF(Dataset_A[[#This Row],[Hr]]&gt;=9,"Day Time",IF(Dataset_A[[#This Row],[Hr]]&gt;=0,"Night Time","")))</f>
        <v>Night Time</v>
      </c>
    </row>
    <row r="805" spans="1:19" x14ac:dyDescent="0.2">
      <c r="A805">
        <v>804</v>
      </c>
      <c r="B805" s="3">
        <v>40580</v>
      </c>
      <c r="C805">
        <v>1</v>
      </c>
      <c r="D805">
        <v>2011</v>
      </c>
      <c r="E805" t="s">
        <v>25</v>
      </c>
      <c r="F805">
        <v>7</v>
      </c>
      <c r="G805" t="b">
        <v>1</v>
      </c>
      <c r="H805" t="s">
        <v>12</v>
      </c>
      <c r="I805">
        <v>1</v>
      </c>
      <c r="J805">
        <v>0.24</v>
      </c>
      <c r="K805">
        <v>0.2424</v>
      </c>
      <c r="L805">
        <v>0.65</v>
      </c>
      <c r="M805">
        <v>0.16420000000000001</v>
      </c>
      <c r="N805">
        <v>0</v>
      </c>
      <c r="O805">
        <v>8</v>
      </c>
      <c r="P805">
        <v>8</v>
      </c>
      <c r="S805" t="str">
        <f>IF(Dataset_A[[#This Row],[Hr]]&gt;=19,"Evening Time",IF(Dataset_A[[#This Row],[Hr]]&gt;=9,"Day Time",IF(Dataset_A[[#This Row],[Hr]]&gt;=0,"Night Time","")))</f>
        <v>Night Time</v>
      </c>
    </row>
    <row r="806" spans="1:19" x14ac:dyDescent="0.2">
      <c r="A806">
        <v>805</v>
      </c>
      <c r="B806" s="3">
        <v>40580</v>
      </c>
      <c r="C806">
        <v>1</v>
      </c>
      <c r="D806">
        <v>2011</v>
      </c>
      <c r="E806" t="s">
        <v>25</v>
      </c>
      <c r="F806">
        <v>8</v>
      </c>
      <c r="G806" t="b">
        <v>1</v>
      </c>
      <c r="H806" t="s">
        <v>12</v>
      </c>
      <c r="I806">
        <v>1</v>
      </c>
      <c r="J806">
        <v>0.24</v>
      </c>
      <c r="K806">
        <v>0.2576</v>
      </c>
      <c r="L806">
        <v>0.65</v>
      </c>
      <c r="M806">
        <v>0.1045</v>
      </c>
      <c r="N806">
        <v>2</v>
      </c>
      <c r="O806">
        <v>21</v>
      </c>
      <c r="P806">
        <v>23</v>
      </c>
      <c r="S806" t="str">
        <f>IF(Dataset_A[[#This Row],[Hr]]&gt;=19,"Evening Time",IF(Dataset_A[[#This Row],[Hr]]&gt;=9,"Day Time",IF(Dataset_A[[#This Row],[Hr]]&gt;=0,"Night Time","")))</f>
        <v>Night Time</v>
      </c>
    </row>
    <row r="807" spans="1:19" x14ac:dyDescent="0.2">
      <c r="A807">
        <v>806</v>
      </c>
      <c r="B807" s="3">
        <v>40580</v>
      </c>
      <c r="C807">
        <v>1</v>
      </c>
      <c r="D807">
        <v>2011</v>
      </c>
      <c r="E807" t="s">
        <v>25</v>
      </c>
      <c r="F807">
        <v>9</v>
      </c>
      <c r="G807" t="b">
        <v>1</v>
      </c>
      <c r="H807" t="s">
        <v>12</v>
      </c>
      <c r="I807">
        <v>1</v>
      </c>
      <c r="J807">
        <v>0.28000000000000003</v>
      </c>
      <c r="K807">
        <v>0.28789999999999999</v>
      </c>
      <c r="L807">
        <v>0.56000000000000005</v>
      </c>
      <c r="M807">
        <v>0.1045</v>
      </c>
      <c r="N807">
        <v>7</v>
      </c>
      <c r="O807">
        <v>38</v>
      </c>
      <c r="P807">
        <v>45</v>
      </c>
      <c r="S807" t="str">
        <f>IF(Dataset_A[[#This Row],[Hr]]&gt;=19,"Evening Time",IF(Dataset_A[[#This Row],[Hr]]&gt;=9,"Day Time",IF(Dataset_A[[#This Row],[Hr]]&gt;=0,"Night Time","")))</f>
        <v>Day Time</v>
      </c>
    </row>
    <row r="808" spans="1:19" x14ac:dyDescent="0.2">
      <c r="A808">
        <v>807</v>
      </c>
      <c r="B808" s="3">
        <v>40580</v>
      </c>
      <c r="C808">
        <v>1</v>
      </c>
      <c r="D808">
        <v>2011</v>
      </c>
      <c r="E808" t="s">
        <v>25</v>
      </c>
      <c r="F808">
        <v>10</v>
      </c>
      <c r="G808" t="b">
        <v>1</v>
      </c>
      <c r="H808" t="s">
        <v>12</v>
      </c>
      <c r="I808">
        <v>1</v>
      </c>
      <c r="J808">
        <v>0.3</v>
      </c>
      <c r="K808">
        <v>0.28789999999999999</v>
      </c>
      <c r="L808">
        <v>0.52</v>
      </c>
      <c r="M808">
        <v>0.25369999999999998</v>
      </c>
      <c r="N808">
        <v>15</v>
      </c>
      <c r="O808">
        <v>74</v>
      </c>
      <c r="P808">
        <v>89</v>
      </c>
      <c r="S808" t="str">
        <f>IF(Dataset_A[[#This Row],[Hr]]&gt;=19,"Evening Time",IF(Dataset_A[[#This Row],[Hr]]&gt;=9,"Day Time",IF(Dataset_A[[#This Row],[Hr]]&gt;=0,"Night Time","")))</f>
        <v>Day Time</v>
      </c>
    </row>
    <row r="809" spans="1:19" x14ac:dyDescent="0.2">
      <c r="A809">
        <v>808</v>
      </c>
      <c r="B809" s="3">
        <v>40580</v>
      </c>
      <c r="C809">
        <v>1</v>
      </c>
      <c r="D809">
        <v>2011</v>
      </c>
      <c r="E809" t="s">
        <v>25</v>
      </c>
      <c r="F809">
        <v>11</v>
      </c>
      <c r="G809" t="b">
        <v>1</v>
      </c>
      <c r="H809" t="s">
        <v>12</v>
      </c>
      <c r="I809">
        <v>1</v>
      </c>
      <c r="J809">
        <v>0.32</v>
      </c>
      <c r="K809">
        <v>0.30299999999999999</v>
      </c>
      <c r="L809">
        <v>0.49</v>
      </c>
      <c r="M809">
        <v>0.25369999999999998</v>
      </c>
      <c r="N809">
        <v>28</v>
      </c>
      <c r="O809">
        <v>89</v>
      </c>
      <c r="P809">
        <v>117</v>
      </c>
      <c r="S809" t="str">
        <f>IF(Dataset_A[[#This Row],[Hr]]&gt;=19,"Evening Time",IF(Dataset_A[[#This Row],[Hr]]&gt;=9,"Day Time",IF(Dataset_A[[#This Row],[Hr]]&gt;=0,"Night Time","")))</f>
        <v>Day Time</v>
      </c>
    </row>
    <row r="810" spans="1:19" x14ac:dyDescent="0.2">
      <c r="A810">
        <v>809</v>
      </c>
      <c r="B810" s="3">
        <v>40580</v>
      </c>
      <c r="C810">
        <v>1</v>
      </c>
      <c r="D810">
        <v>2011</v>
      </c>
      <c r="E810" t="s">
        <v>25</v>
      </c>
      <c r="F810">
        <v>12</v>
      </c>
      <c r="G810" t="b">
        <v>1</v>
      </c>
      <c r="H810" t="s">
        <v>12</v>
      </c>
      <c r="I810">
        <v>1</v>
      </c>
      <c r="J810">
        <v>0.34</v>
      </c>
      <c r="K810">
        <v>0.33329999999999999</v>
      </c>
      <c r="L810">
        <v>0.46</v>
      </c>
      <c r="M810">
        <v>0</v>
      </c>
      <c r="N810">
        <v>48</v>
      </c>
      <c r="O810">
        <v>126</v>
      </c>
      <c r="P810">
        <v>174</v>
      </c>
      <c r="S810" t="str">
        <f>IF(Dataset_A[[#This Row],[Hr]]&gt;=19,"Evening Time",IF(Dataset_A[[#This Row],[Hr]]&gt;=9,"Day Time",IF(Dataset_A[[#This Row],[Hr]]&gt;=0,"Night Time","")))</f>
        <v>Day Time</v>
      </c>
    </row>
    <row r="811" spans="1:19" x14ac:dyDescent="0.2">
      <c r="A811">
        <v>810</v>
      </c>
      <c r="B811" s="3">
        <v>40580</v>
      </c>
      <c r="C811">
        <v>1</v>
      </c>
      <c r="D811">
        <v>2011</v>
      </c>
      <c r="E811" t="s">
        <v>25</v>
      </c>
      <c r="F811">
        <v>13</v>
      </c>
      <c r="G811" t="b">
        <v>1</v>
      </c>
      <c r="H811" t="s">
        <v>12</v>
      </c>
      <c r="I811">
        <v>1</v>
      </c>
      <c r="J811">
        <v>0.34</v>
      </c>
      <c r="K811">
        <v>0.36359999999999998</v>
      </c>
      <c r="L811">
        <v>0.46</v>
      </c>
      <c r="M811">
        <v>0</v>
      </c>
      <c r="N811">
        <v>47</v>
      </c>
      <c r="O811">
        <v>135</v>
      </c>
      <c r="P811">
        <v>182</v>
      </c>
      <c r="S811" t="str">
        <f>IF(Dataset_A[[#This Row],[Hr]]&gt;=19,"Evening Time",IF(Dataset_A[[#This Row],[Hr]]&gt;=9,"Day Time",IF(Dataset_A[[#This Row],[Hr]]&gt;=0,"Night Time","")))</f>
        <v>Day Time</v>
      </c>
    </row>
    <row r="812" spans="1:19" x14ac:dyDescent="0.2">
      <c r="A812">
        <v>811</v>
      </c>
      <c r="B812" s="3">
        <v>40580</v>
      </c>
      <c r="C812">
        <v>1</v>
      </c>
      <c r="D812">
        <v>2011</v>
      </c>
      <c r="E812" t="s">
        <v>25</v>
      </c>
      <c r="F812">
        <v>14</v>
      </c>
      <c r="G812" t="b">
        <v>1</v>
      </c>
      <c r="H812" t="s">
        <v>12</v>
      </c>
      <c r="I812">
        <v>1</v>
      </c>
      <c r="J812">
        <v>0.34</v>
      </c>
      <c r="K812">
        <v>0.34849999999999998</v>
      </c>
      <c r="L812">
        <v>0.46</v>
      </c>
      <c r="M812">
        <v>8.9599999999999999E-2</v>
      </c>
      <c r="N812">
        <v>47</v>
      </c>
      <c r="O812">
        <v>114</v>
      </c>
      <c r="P812">
        <v>161</v>
      </c>
      <c r="S812" t="str">
        <f>IF(Dataset_A[[#This Row],[Hr]]&gt;=19,"Evening Time",IF(Dataset_A[[#This Row],[Hr]]&gt;=9,"Day Time",IF(Dataset_A[[#This Row],[Hr]]&gt;=0,"Night Time","")))</f>
        <v>Day Time</v>
      </c>
    </row>
    <row r="813" spans="1:19" x14ac:dyDescent="0.2">
      <c r="A813">
        <v>812</v>
      </c>
      <c r="B813" s="3">
        <v>40580</v>
      </c>
      <c r="C813">
        <v>1</v>
      </c>
      <c r="D813">
        <v>2011</v>
      </c>
      <c r="E813" t="s">
        <v>25</v>
      </c>
      <c r="F813">
        <v>15</v>
      </c>
      <c r="G813" t="b">
        <v>1</v>
      </c>
      <c r="H813" t="s">
        <v>12</v>
      </c>
      <c r="I813">
        <v>1</v>
      </c>
      <c r="J813">
        <v>0.34</v>
      </c>
      <c r="K813">
        <v>0.34849999999999998</v>
      </c>
      <c r="L813">
        <v>0.46</v>
      </c>
      <c r="M813">
        <v>8.9599999999999999E-2</v>
      </c>
      <c r="N813">
        <v>52</v>
      </c>
      <c r="O813">
        <v>130</v>
      </c>
      <c r="P813">
        <v>182</v>
      </c>
      <c r="S813" t="str">
        <f>IF(Dataset_A[[#This Row],[Hr]]&gt;=19,"Evening Time",IF(Dataset_A[[#This Row],[Hr]]&gt;=9,"Day Time",IF(Dataset_A[[#This Row],[Hr]]&gt;=0,"Night Time","")))</f>
        <v>Day Time</v>
      </c>
    </row>
    <row r="814" spans="1:19" x14ac:dyDescent="0.2">
      <c r="A814">
        <v>813</v>
      </c>
      <c r="B814" s="3">
        <v>40580</v>
      </c>
      <c r="C814">
        <v>1</v>
      </c>
      <c r="D814">
        <v>2011</v>
      </c>
      <c r="E814" t="s">
        <v>25</v>
      </c>
      <c r="F814">
        <v>16</v>
      </c>
      <c r="G814" t="b">
        <v>1</v>
      </c>
      <c r="H814" t="s">
        <v>12</v>
      </c>
      <c r="I814">
        <v>1</v>
      </c>
      <c r="J814">
        <v>0.34</v>
      </c>
      <c r="K814">
        <v>0.34849999999999998</v>
      </c>
      <c r="L814">
        <v>0.49</v>
      </c>
      <c r="M814">
        <v>0.1045</v>
      </c>
      <c r="N814">
        <v>42</v>
      </c>
      <c r="O814">
        <v>115</v>
      </c>
      <c r="P814">
        <v>157</v>
      </c>
      <c r="S814" t="str">
        <f>IF(Dataset_A[[#This Row],[Hr]]&gt;=19,"Evening Time",IF(Dataset_A[[#This Row],[Hr]]&gt;=9,"Day Time",IF(Dataset_A[[#This Row],[Hr]]&gt;=0,"Night Time","")))</f>
        <v>Day Time</v>
      </c>
    </row>
    <row r="815" spans="1:19" x14ac:dyDescent="0.2">
      <c r="A815">
        <v>814</v>
      </c>
      <c r="B815" s="3">
        <v>40580</v>
      </c>
      <c r="C815">
        <v>1</v>
      </c>
      <c r="D815">
        <v>2011</v>
      </c>
      <c r="E815" t="s">
        <v>25</v>
      </c>
      <c r="F815">
        <v>17</v>
      </c>
      <c r="G815" t="b">
        <v>1</v>
      </c>
      <c r="H815" t="s">
        <v>12</v>
      </c>
      <c r="I815">
        <v>1</v>
      </c>
      <c r="J815">
        <v>0.34</v>
      </c>
      <c r="K815">
        <v>0.36359999999999998</v>
      </c>
      <c r="L815">
        <v>0.46</v>
      </c>
      <c r="M815">
        <v>0</v>
      </c>
      <c r="N815">
        <v>24</v>
      </c>
      <c r="O815">
        <v>97</v>
      </c>
      <c r="P815">
        <v>121</v>
      </c>
      <c r="S815" t="str">
        <f>IF(Dataset_A[[#This Row],[Hr]]&gt;=19,"Evening Time",IF(Dataset_A[[#This Row],[Hr]]&gt;=9,"Day Time",IF(Dataset_A[[#This Row],[Hr]]&gt;=0,"Night Time","")))</f>
        <v>Day Time</v>
      </c>
    </row>
    <row r="816" spans="1:19" x14ac:dyDescent="0.2">
      <c r="A816">
        <v>815</v>
      </c>
      <c r="B816" s="3">
        <v>40580</v>
      </c>
      <c r="C816">
        <v>1</v>
      </c>
      <c r="D816">
        <v>2011</v>
      </c>
      <c r="E816" t="s">
        <v>25</v>
      </c>
      <c r="F816">
        <v>18</v>
      </c>
      <c r="G816" t="b">
        <v>1</v>
      </c>
      <c r="H816" t="s">
        <v>12</v>
      </c>
      <c r="I816">
        <v>1</v>
      </c>
      <c r="J816">
        <v>0.3</v>
      </c>
      <c r="K816">
        <v>0.30299999999999999</v>
      </c>
      <c r="L816">
        <v>0.56000000000000005</v>
      </c>
      <c r="M816">
        <v>0.16420000000000001</v>
      </c>
      <c r="N816">
        <v>13</v>
      </c>
      <c r="O816">
        <v>65</v>
      </c>
      <c r="P816">
        <v>78</v>
      </c>
      <c r="S816" t="str">
        <f>IF(Dataset_A[[#This Row],[Hr]]&gt;=19,"Evening Time",IF(Dataset_A[[#This Row],[Hr]]&gt;=9,"Day Time",IF(Dataset_A[[#This Row],[Hr]]&gt;=0,"Night Time","")))</f>
        <v>Day Time</v>
      </c>
    </row>
    <row r="817" spans="1:19" x14ac:dyDescent="0.2">
      <c r="A817">
        <v>816</v>
      </c>
      <c r="B817" s="3">
        <v>40580</v>
      </c>
      <c r="C817">
        <v>1</v>
      </c>
      <c r="D817">
        <v>2011</v>
      </c>
      <c r="E817" t="s">
        <v>25</v>
      </c>
      <c r="F817">
        <v>19</v>
      </c>
      <c r="G817" t="b">
        <v>1</v>
      </c>
      <c r="H817" t="s">
        <v>12</v>
      </c>
      <c r="I817">
        <v>1</v>
      </c>
      <c r="J817">
        <v>0.28000000000000003</v>
      </c>
      <c r="K817">
        <v>0.28789999999999999</v>
      </c>
      <c r="L817">
        <v>0.61</v>
      </c>
      <c r="M817">
        <v>0.1343</v>
      </c>
      <c r="N817">
        <v>1</v>
      </c>
      <c r="O817">
        <v>20</v>
      </c>
      <c r="P817">
        <v>21</v>
      </c>
      <c r="S817" t="str">
        <f>IF(Dataset_A[[#This Row],[Hr]]&gt;=19,"Evening Time",IF(Dataset_A[[#This Row],[Hr]]&gt;=9,"Day Time",IF(Dataset_A[[#This Row],[Hr]]&gt;=0,"Night Time","")))</f>
        <v>Evening Time</v>
      </c>
    </row>
    <row r="818" spans="1:19" x14ac:dyDescent="0.2">
      <c r="A818">
        <v>817</v>
      </c>
      <c r="B818" s="3">
        <v>40580</v>
      </c>
      <c r="C818">
        <v>1</v>
      </c>
      <c r="D818">
        <v>2011</v>
      </c>
      <c r="E818" t="s">
        <v>25</v>
      </c>
      <c r="F818">
        <v>20</v>
      </c>
      <c r="G818" t="b">
        <v>1</v>
      </c>
      <c r="H818" t="s">
        <v>12</v>
      </c>
      <c r="I818">
        <v>1</v>
      </c>
      <c r="J818">
        <v>0.28000000000000003</v>
      </c>
      <c r="K818">
        <v>0.28789999999999999</v>
      </c>
      <c r="L818">
        <v>0.61</v>
      </c>
      <c r="M818">
        <v>0.1045</v>
      </c>
      <c r="N818">
        <v>5</v>
      </c>
      <c r="O818">
        <v>21</v>
      </c>
      <c r="P818">
        <v>26</v>
      </c>
      <c r="S818" t="str">
        <f>IF(Dataset_A[[#This Row],[Hr]]&gt;=19,"Evening Time",IF(Dataset_A[[#This Row],[Hr]]&gt;=9,"Day Time",IF(Dataset_A[[#This Row],[Hr]]&gt;=0,"Night Time","")))</f>
        <v>Evening Time</v>
      </c>
    </row>
    <row r="819" spans="1:19" x14ac:dyDescent="0.2">
      <c r="A819">
        <v>818</v>
      </c>
      <c r="B819" s="3">
        <v>40580</v>
      </c>
      <c r="C819">
        <v>1</v>
      </c>
      <c r="D819">
        <v>2011</v>
      </c>
      <c r="E819" t="s">
        <v>25</v>
      </c>
      <c r="F819">
        <v>21</v>
      </c>
      <c r="G819" t="b">
        <v>1</v>
      </c>
      <c r="H819" t="s">
        <v>12</v>
      </c>
      <c r="I819">
        <v>1</v>
      </c>
      <c r="J819">
        <v>0.26</v>
      </c>
      <c r="K819">
        <v>0.30299999999999999</v>
      </c>
      <c r="L819">
        <v>0.6</v>
      </c>
      <c r="M819">
        <v>0</v>
      </c>
      <c r="N819">
        <v>5</v>
      </c>
      <c r="O819">
        <v>22</v>
      </c>
      <c r="P819">
        <v>27</v>
      </c>
      <c r="S819" t="str">
        <f>IF(Dataset_A[[#This Row],[Hr]]&gt;=19,"Evening Time",IF(Dataset_A[[#This Row],[Hr]]&gt;=9,"Day Time",IF(Dataset_A[[#This Row],[Hr]]&gt;=0,"Night Time","")))</f>
        <v>Evening Time</v>
      </c>
    </row>
    <row r="820" spans="1:19" x14ac:dyDescent="0.2">
      <c r="A820">
        <v>819</v>
      </c>
      <c r="B820" s="3">
        <v>40580</v>
      </c>
      <c r="C820">
        <v>1</v>
      </c>
      <c r="D820">
        <v>2011</v>
      </c>
      <c r="E820" t="s">
        <v>25</v>
      </c>
      <c r="F820">
        <v>22</v>
      </c>
      <c r="G820" t="b">
        <v>1</v>
      </c>
      <c r="H820" t="s">
        <v>12</v>
      </c>
      <c r="I820">
        <v>1</v>
      </c>
      <c r="J820">
        <v>0.26</v>
      </c>
      <c r="K820">
        <v>0.30299999999999999</v>
      </c>
      <c r="L820">
        <v>0.6</v>
      </c>
      <c r="M820">
        <v>0</v>
      </c>
      <c r="N820">
        <v>5</v>
      </c>
      <c r="O820">
        <v>57</v>
      </c>
      <c r="P820">
        <v>62</v>
      </c>
      <c r="S820" t="str">
        <f>IF(Dataset_A[[#This Row],[Hr]]&gt;=19,"Evening Time",IF(Dataset_A[[#This Row],[Hr]]&gt;=9,"Day Time",IF(Dataset_A[[#This Row],[Hr]]&gt;=0,"Night Time","")))</f>
        <v>Evening Time</v>
      </c>
    </row>
    <row r="821" spans="1:19" x14ac:dyDescent="0.2">
      <c r="A821">
        <v>820</v>
      </c>
      <c r="B821" s="3">
        <v>40580</v>
      </c>
      <c r="C821">
        <v>1</v>
      </c>
      <c r="D821">
        <v>2011</v>
      </c>
      <c r="E821" t="s">
        <v>25</v>
      </c>
      <c r="F821">
        <v>23</v>
      </c>
      <c r="G821" t="b">
        <v>1</v>
      </c>
      <c r="H821" t="s">
        <v>12</v>
      </c>
      <c r="I821">
        <v>1</v>
      </c>
      <c r="J821">
        <v>0.24</v>
      </c>
      <c r="K821">
        <v>0.28789999999999999</v>
      </c>
      <c r="L821">
        <v>0.65</v>
      </c>
      <c r="M821">
        <v>0</v>
      </c>
      <c r="N821">
        <v>4</v>
      </c>
      <c r="O821">
        <v>26</v>
      </c>
      <c r="P821">
        <v>30</v>
      </c>
      <c r="S821" t="str">
        <f>IF(Dataset_A[[#This Row],[Hr]]&gt;=19,"Evening Time",IF(Dataset_A[[#This Row],[Hr]]&gt;=9,"Day Time",IF(Dataset_A[[#This Row],[Hr]]&gt;=0,"Night Time","")))</f>
        <v>Evening Time</v>
      </c>
    </row>
    <row r="822" spans="1:19" x14ac:dyDescent="0.2">
      <c r="A822">
        <v>821</v>
      </c>
      <c r="B822" s="3">
        <v>40581</v>
      </c>
      <c r="C822">
        <v>1</v>
      </c>
      <c r="D822">
        <v>2011</v>
      </c>
      <c r="E822" t="s">
        <v>25</v>
      </c>
      <c r="F822">
        <v>0</v>
      </c>
      <c r="G822" t="b">
        <v>0</v>
      </c>
      <c r="H822" t="s">
        <v>13</v>
      </c>
      <c r="I822">
        <v>1</v>
      </c>
      <c r="J822">
        <v>0.24</v>
      </c>
      <c r="K822">
        <v>0.28789999999999999</v>
      </c>
      <c r="L822">
        <v>0.65</v>
      </c>
      <c r="M822">
        <v>0</v>
      </c>
      <c r="N822">
        <v>1</v>
      </c>
      <c r="O822">
        <v>14</v>
      </c>
      <c r="P822">
        <v>15</v>
      </c>
      <c r="S822" t="str">
        <f>IF(Dataset_A[[#This Row],[Hr]]&gt;=19,"Evening Time",IF(Dataset_A[[#This Row],[Hr]]&gt;=9,"Day Time",IF(Dataset_A[[#This Row],[Hr]]&gt;=0,"Night Time","")))</f>
        <v>Night Time</v>
      </c>
    </row>
    <row r="823" spans="1:19" x14ac:dyDescent="0.2">
      <c r="A823">
        <v>822</v>
      </c>
      <c r="B823" s="3">
        <v>40581</v>
      </c>
      <c r="C823">
        <v>1</v>
      </c>
      <c r="D823">
        <v>2011</v>
      </c>
      <c r="E823" t="s">
        <v>25</v>
      </c>
      <c r="F823">
        <v>1</v>
      </c>
      <c r="G823" t="b">
        <v>0</v>
      </c>
      <c r="H823" t="s">
        <v>13</v>
      </c>
      <c r="I823">
        <v>1</v>
      </c>
      <c r="J823">
        <v>0.22</v>
      </c>
      <c r="K823">
        <v>0.2727</v>
      </c>
      <c r="L823">
        <v>0.75</v>
      </c>
      <c r="M823">
        <v>0</v>
      </c>
      <c r="N823">
        <v>1</v>
      </c>
      <c r="O823">
        <v>4</v>
      </c>
      <c r="P823">
        <v>5</v>
      </c>
      <c r="S823" t="str">
        <f>IF(Dataset_A[[#This Row],[Hr]]&gt;=19,"Evening Time",IF(Dataset_A[[#This Row],[Hr]]&gt;=9,"Day Time",IF(Dataset_A[[#This Row],[Hr]]&gt;=0,"Night Time","")))</f>
        <v>Night Time</v>
      </c>
    </row>
    <row r="824" spans="1:19" x14ac:dyDescent="0.2">
      <c r="A824">
        <v>823</v>
      </c>
      <c r="B824" s="3">
        <v>40581</v>
      </c>
      <c r="C824">
        <v>1</v>
      </c>
      <c r="D824">
        <v>2011</v>
      </c>
      <c r="E824" t="s">
        <v>25</v>
      </c>
      <c r="F824">
        <v>2</v>
      </c>
      <c r="G824" t="b">
        <v>0</v>
      </c>
      <c r="H824" t="s">
        <v>13</v>
      </c>
      <c r="I824">
        <v>1</v>
      </c>
      <c r="J824">
        <v>0.2</v>
      </c>
      <c r="K824">
        <v>0.2576</v>
      </c>
      <c r="L824">
        <v>0.8</v>
      </c>
      <c r="M824">
        <v>0</v>
      </c>
      <c r="N824">
        <v>0</v>
      </c>
      <c r="O824">
        <v>3</v>
      </c>
      <c r="P824">
        <v>3</v>
      </c>
      <c r="S824" t="str">
        <f>IF(Dataset_A[[#This Row],[Hr]]&gt;=19,"Evening Time",IF(Dataset_A[[#This Row],[Hr]]&gt;=9,"Day Time",IF(Dataset_A[[#This Row],[Hr]]&gt;=0,"Night Time","")))</f>
        <v>Night Time</v>
      </c>
    </row>
    <row r="825" spans="1:19" x14ac:dyDescent="0.2">
      <c r="A825">
        <v>824</v>
      </c>
      <c r="B825" s="3">
        <v>40581</v>
      </c>
      <c r="C825">
        <v>1</v>
      </c>
      <c r="D825">
        <v>2011</v>
      </c>
      <c r="E825" t="s">
        <v>25</v>
      </c>
      <c r="F825">
        <v>3</v>
      </c>
      <c r="G825" t="b">
        <v>0</v>
      </c>
      <c r="H825" t="s">
        <v>13</v>
      </c>
      <c r="I825">
        <v>1</v>
      </c>
      <c r="J825">
        <v>0.2</v>
      </c>
      <c r="K825">
        <v>0.2576</v>
      </c>
      <c r="L825">
        <v>0.86</v>
      </c>
      <c r="M825">
        <v>0</v>
      </c>
      <c r="N825">
        <v>0</v>
      </c>
      <c r="O825">
        <v>1</v>
      </c>
      <c r="P825">
        <v>1</v>
      </c>
      <c r="S825" t="str">
        <f>IF(Dataset_A[[#This Row],[Hr]]&gt;=19,"Evening Time",IF(Dataset_A[[#This Row],[Hr]]&gt;=9,"Day Time",IF(Dataset_A[[#This Row],[Hr]]&gt;=0,"Night Time","")))</f>
        <v>Night Time</v>
      </c>
    </row>
    <row r="826" spans="1:19" x14ac:dyDescent="0.2">
      <c r="A826">
        <v>825</v>
      </c>
      <c r="B826" s="3">
        <v>40581</v>
      </c>
      <c r="C826">
        <v>1</v>
      </c>
      <c r="D826">
        <v>2011</v>
      </c>
      <c r="E826" t="s">
        <v>25</v>
      </c>
      <c r="F826">
        <v>4</v>
      </c>
      <c r="G826" t="b">
        <v>0</v>
      </c>
      <c r="H826" t="s">
        <v>13</v>
      </c>
      <c r="I826">
        <v>1</v>
      </c>
      <c r="J826">
        <v>0.2</v>
      </c>
      <c r="K826">
        <v>0.2576</v>
      </c>
      <c r="L826">
        <v>0.86</v>
      </c>
      <c r="M826">
        <v>0</v>
      </c>
      <c r="N826">
        <v>1</v>
      </c>
      <c r="O826">
        <v>1</v>
      </c>
      <c r="P826">
        <v>2</v>
      </c>
      <c r="S826" t="str">
        <f>IF(Dataset_A[[#This Row],[Hr]]&gt;=19,"Evening Time",IF(Dataset_A[[#This Row],[Hr]]&gt;=9,"Day Time",IF(Dataset_A[[#This Row],[Hr]]&gt;=0,"Night Time","")))</f>
        <v>Night Time</v>
      </c>
    </row>
    <row r="827" spans="1:19" x14ac:dyDescent="0.2">
      <c r="A827">
        <v>826</v>
      </c>
      <c r="B827" s="3">
        <v>40581</v>
      </c>
      <c r="C827">
        <v>1</v>
      </c>
      <c r="D827">
        <v>2011</v>
      </c>
      <c r="E827" t="s">
        <v>25</v>
      </c>
      <c r="F827">
        <v>5</v>
      </c>
      <c r="G827" t="b">
        <v>0</v>
      </c>
      <c r="H827" t="s">
        <v>13</v>
      </c>
      <c r="I827">
        <v>1</v>
      </c>
      <c r="J827">
        <v>0.2</v>
      </c>
      <c r="K827">
        <v>0.2576</v>
      </c>
      <c r="L827">
        <v>0.86</v>
      </c>
      <c r="M827">
        <v>0</v>
      </c>
      <c r="N827">
        <v>1</v>
      </c>
      <c r="O827">
        <v>9</v>
      </c>
      <c r="P827">
        <v>10</v>
      </c>
      <c r="S827" t="str">
        <f>IF(Dataset_A[[#This Row],[Hr]]&gt;=19,"Evening Time",IF(Dataset_A[[#This Row],[Hr]]&gt;=9,"Day Time",IF(Dataset_A[[#This Row],[Hr]]&gt;=0,"Night Time","")))</f>
        <v>Night Time</v>
      </c>
    </row>
    <row r="828" spans="1:19" x14ac:dyDescent="0.2">
      <c r="A828">
        <v>827</v>
      </c>
      <c r="B828" s="3">
        <v>40581</v>
      </c>
      <c r="C828">
        <v>1</v>
      </c>
      <c r="D828">
        <v>2011</v>
      </c>
      <c r="E828" t="s">
        <v>25</v>
      </c>
      <c r="F828">
        <v>6</v>
      </c>
      <c r="G828" t="b">
        <v>0</v>
      </c>
      <c r="H828" t="s">
        <v>13</v>
      </c>
      <c r="I828">
        <v>1</v>
      </c>
      <c r="J828">
        <v>0.18</v>
      </c>
      <c r="K828">
        <v>0.2424</v>
      </c>
      <c r="L828">
        <v>0.93</v>
      </c>
      <c r="M828">
        <v>0</v>
      </c>
      <c r="N828">
        <v>1</v>
      </c>
      <c r="O828">
        <v>29</v>
      </c>
      <c r="P828">
        <v>30</v>
      </c>
      <c r="S828" t="str">
        <f>IF(Dataset_A[[#This Row],[Hr]]&gt;=19,"Evening Time",IF(Dataset_A[[#This Row],[Hr]]&gt;=9,"Day Time",IF(Dataset_A[[#This Row],[Hr]]&gt;=0,"Night Time","")))</f>
        <v>Night Time</v>
      </c>
    </row>
    <row r="829" spans="1:19" x14ac:dyDescent="0.2">
      <c r="A829">
        <v>828</v>
      </c>
      <c r="B829" s="3">
        <v>40581</v>
      </c>
      <c r="C829">
        <v>1</v>
      </c>
      <c r="D829">
        <v>2011</v>
      </c>
      <c r="E829" t="s">
        <v>25</v>
      </c>
      <c r="F829">
        <v>7</v>
      </c>
      <c r="G829" t="b">
        <v>0</v>
      </c>
      <c r="H829" t="s">
        <v>13</v>
      </c>
      <c r="I829">
        <v>1</v>
      </c>
      <c r="J829">
        <v>0.18</v>
      </c>
      <c r="K829">
        <v>0.2424</v>
      </c>
      <c r="L829">
        <v>0.86</v>
      </c>
      <c r="M829">
        <v>0</v>
      </c>
      <c r="N829">
        <v>6</v>
      </c>
      <c r="O829">
        <v>89</v>
      </c>
      <c r="P829">
        <v>95</v>
      </c>
      <c r="S829" t="str">
        <f>IF(Dataset_A[[#This Row],[Hr]]&gt;=19,"Evening Time",IF(Dataset_A[[#This Row],[Hr]]&gt;=9,"Day Time",IF(Dataset_A[[#This Row],[Hr]]&gt;=0,"Night Time","")))</f>
        <v>Night Time</v>
      </c>
    </row>
    <row r="830" spans="1:19" x14ac:dyDescent="0.2">
      <c r="A830">
        <v>829</v>
      </c>
      <c r="B830" s="3">
        <v>40581</v>
      </c>
      <c r="C830">
        <v>1</v>
      </c>
      <c r="D830">
        <v>2011</v>
      </c>
      <c r="E830" t="s">
        <v>25</v>
      </c>
      <c r="F830">
        <v>8</v>
      </c>
      <c r="G830" t="b">
        <v>0</v>
      </c>
      <c r="H830" t="s">
        <v>13</v>
      </c>
      <c r="I830">
        <v>2</v>
      </c>
      <c r="J830">
        <v>0.16</v>
      </c>
      <c r="K830">
        <v>0.2273</v>
      </c>
      <c r="L830">
        <v>1</v>
      </c>
      <c r="M830">
        <v>0</v>
      </c>
      <c r="N830">
        <v>7</v>
      </c>
      <c r="O830">
        <v>223</v>
      </c>
      <c r="P830">
        <v>230</v>
      </c>
      <c r="S830" t="str">
        <f>IF(Dataset_A[[#This Row],[Hr]]&gt;=19,"Evening Time",IF(Dataset_A[[#This Row],[Hr]]&gt;=9,"Day Time",IF(Dataset_A[[#This Row],[Hr]]&gt;=0,"Night Time","")))</f>
        <v>Night Time</v>
      </c>
    </row>
    <row r="831" spans="1:19" x14ac:dyDescent="0.2">
      <c r="A831">
        <v>830</v>
      </c>
      <c r="B831" s="3">
        <v>40581</v>
      </c>
      <c r="C831">
        <v>1</v>
      </c>
      <c r="D831">
        <v>2011</v>
      </c>
      <c r="E831" t="s">
        <v>25</v>
      </c>
      <c r="F831">
        <v>9</v>
      </c>
      <c r="G831" t="b">
        <v>0</v>
      </c>
      <c r="H831" t="s">
        <v>13</v>
      </c>
      <c r="I831">
        <v>1</v>
      </c>
      <c r="J831">
        <v>0.22</v>
      </c>
      <c r="K831">
        <v>0.2727</v>
      </c>
      <c r="L831">
        <v>0.8</v>
      </c>
      <c r="M831">
        <v>0</v>
      </c>
      <c r="N831">
        <v>3</v>
      </c>
      <c r="O831">
        <v>115</v>
      </c>
      <c r="P831">
        <v>118</v>
      </c>
      <c r="S831" t="str">
        <f>IF(Dataset_A[[#This Row],[Hr]]&gt;=19,"Evening Time",IF(Dataset_A[[#This Row],[Hr]]&gt;=9,"Day Time",IF(Dataset_A[[#This Row],[Hr]]&gt;=0,"Night Time","")))</f>
        <v>Day Time</v>
      </c>
    </row>
    <row r="832" spans="1:19" x14ac:dyDescent="0.2">
      <c r="A832">
        <v>831</v>
      </c>
      <c r="B832" s="3">
        <v>40581</v>
      </c>
      <c r="C832">
        <v>1</v>
      </c>
      <c r="D832">
        <v>2011</v>
      </c>
      <c r="E832" t="s">
        <v>25</v>
      </c>
      <c r="F832">
        <v>10</v>
      </c>
      <c r="G832" t="b">
        <v>0</v>
      </c>
      <c r="H832" t="s">
        <v>13</v>
      </c>
      <c r="I832">
        <v>1</v>
      </c>
      <c r="J832">
        <v>0.24</v>
      </c>
      <c r="K832">
        <v>0.2576</v>
      </c>
      <c r="L832">
        <v>0.75</v>
      </c>
      <c r="M832">
        <v>0.1045</v>
      </c>
      <c r="N832">
        <v>6</v>
      </c>
      <c r="O832">
        <v>49</v>
      </c>
      <c r="P832">
        <v>55</v>
      </c>
      <c r="S832" t="str">
        <f>IF(Dataset_A[[#This Row],[Hr]]&gt;=19,"Evening Time",IF(Dataset_A[[#This Row],[Hr]]&gt;=9,"Day Time",IF(Dataset_A[[#This Row],[Hr]]&gt;=0,"Night Time","")))</f>
        <v>Day Time</v>
      </c>
    </row>
    <row r="833" spans="1:19" x14ac:dyDescent="0.2">
      <c r="A833">
        <v>832</v>
      </c>
      <c r="B833" s="3">
        <v>40581</v>
      </c>
      <c r="C833">
        <v>1</v>
      </c>
      <c r="D833">
        <v>2011</v>
      </c>
      <c r="E833" t="s">
        <v>25</v>
      </c>
      <c r="F833">
        <v>11</v>
      </c>
      <c r="G833" t="b">
        <v>0</v>
      </c>
      <c r="H833" t="s">
        <v>13</v>
      </c>
      <c r="I833">
        <v>1</v>
      </c>
      <c r="J833">
        <v>0.3</v>
      </c>
      <c r="K833">
        <v>0.31819999999999998</v>
      </c>
      <c r="L833">
        <v>0.65</v>
      </c>
      <c r="M833">
        <v>8.9599999999999999E-2</v>
      </c>
      <c r="N833">
        <v>11</v>
      </c>
      <c r="O833">
        <v>36</v>
      </c>
      <c r="P833">
        <v>47</v>
      </c>
      <c r="S833" t="str">
        <f>IF(Dataset_A[[#This Row],[Hr]]&gt;=19,"Evening Time",IF(Dataset_A[[#This Row],[Hr]]&gt;=9,"Day Time",IF(Dataset_A[[#This Row],[Hr]]&gt;=0,"Night Time","")))</f>
        <v>Day Time</v>
      </c>
    </row>
    <row r="834" spans="1:19" x14ac:dyDescent="0.2">
      <c r="A834">
        <v>833</v>
      </c>
      <c r="B834" s="3">
        <v>40581</v>
      </c>
      <c r="C834">
        <v>1</v>
      </c>
      <c r="D834">
        <v>2011</v>
      </c>
      <c r="E834" t="s">
        <v>25</v>
      </c>
      <c r="F834">
        <v>12</v>
      </c>
      <c r="G834" t="b">
        <v>0</v>
      </c>
      <c r="H834" t="s">
        <v>13</v>
      </c>
      <c r="I834">
        <v>2</v>
      </c>
      <c r="J834">
        <v>0.32</v>
      </c>
      <c r="K834">
        <v>0.34849999999999998</v>
      </c>
      <c r="L834">
        <v>0.62</v>
      </c>
      <c r="M834">
        <v>0</v>
      </c>
      <c r="N834">
        <v>7</v>
      </c>
      <c r="O834">
        <v>59</v>
      </c>
      <c r="P834">
        <v>66</v>
      </c>
      <c r="S834" t="str">
        <f>IF(Dataset_A[[#This Row],[Hr]]&gt;=19,"Evening Time",IF(Dataset_A[[#This Row],[Hr]]&gt;=9,"Day Time",IF(Dataset_A[[#This Row],[Hr]]&gt;=0,"Night Time","")))</f>
        <v>Day Time</v>
      </c>
    </row>
    <row r="835" spans="1:19" x14ac:dyDescent="0.2">
      <c r="A835">
        <v>834</v>
      </c>
      <c r="B835" s="3">
        <v>40581</v>
      </c>
      <c r="C835">
        <v>1</v>
      </c>
      <c r="D835">
        <v>2011</v>
      </c>
      <c r="E835" t="s">
        <v>25</v>
      </c>
      <c r="F835">
        <v>13</v>
      </c>
      <c r="G835" t="b">
        <v>0</v>
      </c>
      <c r="H835" t="s">
        <v>13</v>
      </c>
      <c r="I835">
        <v>2</v>
      </c>
      <c r="J835">
        <v>0.36</v>
      </c>
      <c r="K835">
        <v>0.36359999999999998</v>
      </c>
      <c r="L835">
        <v>0.56999999999999995</v>
      </c>
      <c r="M835">
        <v>8.9599999999999999E-2</v>
      </c>
      <c r="N835">
        <v>10</v>
      </c>
      <c r="O835">
        <v>54</v>
      </c>
      <c r="P835">
        <v>64</v>
      </c>
      <c r="S835" t="str">
        <f>IF(Dataset_A[[#This Row],[Hr]]&gt;=19,"Evening Time",IF(Dataset_A[[#This Row],[Hr]]&gt;=9,"Day Time",IF(Dataset_A[[#This Row],[Hr]]&gt;=0,"Night Time","")))</f>
        <v>Day Time</v>
      </c>
    </row>
    <row r="836" spans="1:19" x14ac:dyDescent="0.2">
      <c r="A836">
        <v>835</v>
      </c>
      <c r="B836" s="3">
        <v>40581</v>
      </c>
      <c r="C836">
        <v>1</v>
      </c>
      <c r="D836">
        <v>2011</v>
      </c>
      <c r="E836" t="s">
        <v>25</v>
      </c>
      <c r="F836">
        <v>14</v>
      </c>
      <c r="G836" t="b">
        <v>0</v>
      </c>
      <c r="H836" t="s">
        <v>13</v>
      </c>
      <c r="I836">
        <v>2</v>
      </c>
      <c r="J836">
        <v>0.36</v>
      </c>
      <c r="K836">
        <v>0.36359999999999998</v>
      </c>
      <c r="L836">
        <v>0.56999999999999995</v>
      </c>
      <c r="M836">
        <v>8.9599999999999999E-2</v>
      </c>
      <c r="N836">
        <v>8</v>
      </c>
      <c r="O836">
        <v>52</v>
      </c>
      <c r="P836">
        <v>60</v>
      </c>
      <c r="S836" t="str">
        <f>IF(Dataset_A[[#This Row],[Hr]]&gt;=19,"Evening Time",IF(Dataset_A[[#This Row],[Hr]]&gt;=9,"Day Time",IF(Dataset_A[[#This Row],[Hr]]&gt;=0,"Night Time","")))</f>
        <v>Day Time</v>
      </c>
    </row>
    <row r="837" spans="1:19" x14ac:dyDescent="0.2">
      <c r="A837">
        <v>836</v>
      </c>
      <c r="B837" s="3">
        <v>40581</v>
      </c>
      <c r="C837">
        <v>1</v>
      </c>
      <c r="D837">
        <v>2011</v>
      </c>
      <c r="E837" t="s">
        <v>25</v>
      </c>
      <c r="F837">
        <v>15</v>
      </c>
      <c r="G837" t="b">
        <v>0</v>
      </c>
      <c r="H837" t="s">
        <v>13</v>
      </c>
      <c r="I837">
        <v>2</v>
      </c>
      <c r="J837">
        <v>0.38</v>
      </c>
      <c r="K837">
        <v>0.39389999999999997</v>
      </c>
      <c r="L837">
        <v>0.54</v>
      </c>
      <c r="M837">
        <v>8.9599999999999999E-2</v>
      </c>
      <c r="N837">
        <v>4</v>
      </c>
      <c r="O837">
        <v>46</v>
      </c>
      <c r="P837">
        <v>50</v>
      </c>
      <c r="S837" t="str">
        <f>IF(Dataset_A[[#This Row],[Hr]]&gt;=19,"Evening Time",IF(Dataset_A[[#This Row],[Hr]]&gt;=9,"Day Time",IF(Dataset_A[[#This Row],[Hr]]&gt;=0,"Night Time","")))</f>
        <v>Day Time</v>
      </c>
    </row>
    <row r="838" spans="1:19" x14ac:dyDescent="0.2">
      <c r="A838">
        <v>837</v>
      </c>
      <c r="B838" s="3">
        <v>40581</v>
      </c>
      <c r="C838">
        <v>1</v>
      </c>
      <c r="D838">
        <v>2011</v>
      </c>
      <c r="E838" t="s">
        <v>25</v>
      </c>
      <c r="F838">
        <v>16</v>
      </c>
      <c r="G838" t="b">
        <v>0</v>
      </c>
      <c r="H838" t="s">
        <v>13</v>
      </c>
      <c r="I838">
        <v>2</v>
      </c>
      <c r="J838">
        <v>0.36</v>
      </c>
      <c r="K838">
        <v>0.34849999999999998</v>
      </c>
      <c r="L838">
        <v>0.56999999999999995</v>
      </c>
      <c r="M838">
        <v>0.1343</v>
      </c>
      <c r="N838">
        <v>16</v>
      </c>
      <c r="O838">
        <v>98</v>
      </c>
      <c r="P838">
        <v>114</v>
      </c>
      <c r="S838" t="str">
        <f>IF(Dataset_A[[#This Row],[Hr]]&gt;=19,"Evening Time",IF(Dataset_A[[#This Row],[Hr]]&gt;=9,"Day Time",IF(Dataset_A[[#This Row],[Hr]]&gt;=0,"Night Time","")))</f>
        <v>Day Time</v>
      </c>
    </row>
    <row r="839" spans="1:19" x14ac:dyDescent="0.2">
      <c r="A839">
        <v>838</v>
      </c>
      <c r="B839" s="3">
        <v>40581</v>
      </c>
      <c r="C839">
        <v>1</v>
      </c>
      <c r="D839">
        <v>2011</v>
      </c>
      <c r="E839" t="s">
        <v>25</v>
      </c>
      <c r="F839">
        <v>17</v>
      </c>
      <c r="G839" t="b">
        <v>0</v>
      </c>
      <c r="H839" t="s">
        <v>13</v>
      </c>
      <c r="I839">
        <v>2</v>
      </c>
      <c r="J839">
        <v>0.32</v>
      </c>
      <c r="K839">
        <v>0.31819999999999998</v>
      </c>
      <c r="L839">
        <v>0.7</v>
      </c>
      <c r="M839">
        <v>0.16420000000000001</v>
      </c>
      <c r="N839">
        <v>9</v>
      </c>
      <c r="O839">
        <v>207</v>
      </c>
      <c r="P839">
        <v>216</v>
      </c>
      <c r="S839" t="str">
        <f>IF(Dataset_A[[#This Row],[Hr]]&gt;=19,"Evening Time",IF(Dataset_A[[#This Row],[Hr]]&gt;=9,"Day Time",IF(Dataset_A[[#This Row],[Hr]]&gt;=0,"Night Time","")))</f>
        <v>Day Time</v>
      </c>
    </row>
    <row r="840" spans="1:19" x14ac:dyDescent="0.2">
      <c r="A840">
        <v>839</v>
      </c>
      <c r="B840" s="3">
        <v>40581</v>
      </c>
      <c r="C840">
        <v>1</v>
      </c>
      <c r="D840">
        <v>2011</v>
      </c>
      <c r="E840" t="s">
        <v>25</v>
      </c>
      <c r="F840">
        <v>18</v>
      </c>
      <c r="G840" t="b">
        <v>0</v>
      </c>
      <c r="H840" t="s">
        <v>13</v>
      </c>
      <c r="I840">
        <v>2</v>
      </c>
      <c r="J840">
        <v>0.34</v>
      </c>
      <c r="K840">
        <v>0.33329999999999999</v>
      </c>
      <c r="L840">
        <v>0.66</v>
      </c>
      <c r="M840">
        <v>0.1343</v>
      </c>
      <c r="N840">
        <v>5</v>
      </c>
      <c r="O840">
        <v>170</v>
      </c>
      <c r="P840">
        <v>175</v>
      </c>
      <c r="S840" t="str">
        <f>IF(Dataset_A[[#This Row],[Hr]]&gt;=19,"Evening Time",IF(Dataset_A[[#This Row],[Hr]]&gt;=9,"Day Time",IF(Dataset_A[[#This Row],[Hr]]&gt;=0,"Night Time","")))</f>
        <v>Day Time</v>
      </c>
    </row>
    <row r="841" spans="1:19" x14ac:dyDescent="0.2">
      <c r="A841">
        <v>840</v>
      </c>
      <c r="B841" s="3">
        <v>40581</v>
      </c>
      <c r="C841">
        <v>1</v>
      </c>
      <c r="D841">
        <v>2011</v>
      </c>
      <c r="E841" t="s">
        <v>25</v>
      </c>
      <c r="F841">
        <v>19</v>
      </c>
      <c r="G841" t="b">
        <v>0</v>
      </c>
      <c r="H841" t="s">
        <v>13</v>
      </c>
      <c r="I841">
        <v>2</v>
      </c>
      <c r="J841">
        <v>0.32</v>
      </c>
      <c r="K841">
        <v>0.34849999999999998</v>
      </c>
      <c r="L841">
        <v>0.7</v>
      </c>
      <c r="M841">
        <v>0</v>
      </c>
      <c r="N841">
        <v>5</v>
      </c>
      <c r="O841">
        <v>123</v>
      </c>
      <c r="P841">
        <v>128</v>
      </c>
      <c r="S841" t="str">
        <f>IF(Dataset_A[[#This Row],[Hr]]&gt;=19,"Evening Time",IF(Dataset_A[[#This Row],[Hr]]&gt;=9,"Day Time",IF(Dataset_A[[#This Row],[Hr]]&gt;=0,"Night Time","")))</f>
        <v>Evening Time</v>
      </c>
    </row>
    <row r="842" spans="1:19" x14ac:dyDescent="0.2">
      <c r="A842">
        <v>841</v>
      </c>
      <c r="B842" s="3">
        <v>40581</v>
      </c>
      <c r="C842">
        <v>1</v>
      </c>
      <c r="D842">
        <v>2011</v>
      </c>
      <c r="E842" t="s">
        <v>25</v>
      </c>
      <c r="F842">
        <v>20</v>
      </c>
      <c r="G842" t="b">
        <v>0</v>
      </c>
      <c r="H842" t="s">
        <v>13</v>
      </c>
      <c r="I842">
        <v>2</v>
      </c>
      <c r="J842">
        <v>0.32</v>
      </c>
      <c r="K842">
        <v>0.33329999999999999</v>
      </c>
      <c r="L842">
        <v>0.7</v>
      </c>
      <c r="M842">
        <v>0.1045</v>
      </c>
      <c r="N842">
        <v>6</v>
      </c>
      <c r="O842">
        <v>82</v>
      </c>
      <c r="P842">
        <v>88</v>
      </c>
      <c r="S842" t="str">
        <f>IF(Dataset_A[[#This Row],[Hr]]&gt;=19,"Evening Time",IF(Dataset_A[[#This Row],[Hr]]&gt;=9,"Day Time",IF(Dataset_A[[#This Row],[Hr]]&gt;=0,"Night Time","")))</f>
        <v>Evening Time</v>
      </c>
    </row>
    <row r="843" spans="1:19" x14ac:dyDescent="0.2">
      <c r="A843">
        <v>842</v>
      </c>
      <c r="B843" s="3">
        <v>40581</v>
      </c>
      <c r="C843">
        <v>1</v>
      </c>
      <c r="D843">
        <v>2011</v>
      </c>
      <c r="E843" t="s">
        <v>25</v>
      </c>
      <c r="F843">
        <v>21</v>
      </c>
      <c r="G843" t="b">
        <v>0</v>
      </c>
      <c r="H843" t="s">
        <v>13</v>
      </c>
      <c r="I843">
        <v>1</v>
      </c>
      <c r="J843">
        <v>0.32</v>
      </c>
      <c r="K843">
        <v>0.34849999999999998</v>
      </c>
      <c r="L843">
        <v>0.7</v>
      </c>
      <c r="M843">
        <v>0</v>
      </c>
      <c r="N843">
        <v>3</v>
      </c>
      <c r="O843">
        <v>75</v>
      </c>
      <c r="P843">
        <v>78</v>
      </c>
      <c r="S843" t="str">
        <f>IF(Dataset_A[[#This Row],[Hr]]&gt;=19,"Evening Time",IF(Dataset_A[[#This Row],[Hr]]&gt;=9,"Day Time",IF(Dataset_A[[#This Row],[Hr]]&gt;=0,"Night Time","")))</f>
        <v>Evening Time</v>
      </c>
    </row>
    <row r="844" spans="1:19" x14ac:dyDescent="0.2">
      <c r="A844">
        <v>843</v>
      </c>
      <c r="B844" s="3">
        <v>40581</v>
      </c>
      <c r="C844">
        <v>1</v>
      </c>
      <c r="D844">
        <v>2011</v>
      </c>
      <c r="E844" t="s">
        <v>25</v>
      </c>
      <c r="F844">
        <v>22</v>
      </c>
      <c r="G844" t="b">
        <v>0</v>
      </c>
      <c r="H844" t="s">
        <v>13</v>
      </c>
      <c r="I844">
        <v>1</v>
      </c>
      <c r="J844">
        <v>0.28000000000000003</v>
      </c>
      <c r="K844">
        <v>0.30299999999999999</v>
      </c>
      <c r="L844">
        <v>0.81</v>
      </c>
      <c r="M844">
        <v>8.9599999999999999E-2</v>
      </c>
      <c r="N844">
        <v>3</v>
      </c>
      <c r="O844">
        <v>34</v>
      </c>
      <c r="P844">
        <v>37</v>
      </c>
      <c r="S844" t="str">
        <f>IF(Dataset_A[[#This Row],[Hr]]&gt;=19,"Evening Time",IF(Dataset_A[[#This Row],[Hr]]&gt;=9,"Day Time",IF(Dataset_A[[#This Row],[Hr]]&gt;=0,"Night Time","")))</f>
        <v>Evening Time</v>
      </c>
    </row>
    <row r="845" spans="1:19" x14ac:dyDescent="0.2">
      <c r="A845">
        <v>844</v>
      </c>
      <c r="B845" s="3">
        <v>40581</v>
      </c>
      <c r="C845">
        <v>1</v>
      </c>
      <c r="D845">
        <v>2011</v>
      </c>
      <c r="E845" t="s">
        <v>25</v>
      </c>
      <c r="F845">
        <v>23</v>
      </c>
      <c r="G845" t="b">
        <v>0</v>
      </c>
      <c r="H845" t="s">
        <v>13</v>
      </c>
      <c r="I845">
        <v>2</v>
      </c>
      <c r="J845">
        <v>0.3</v>
      </c>
      <c r="K845">
        <v>0.33329999999999999</v>
      </c>
      <c r="L845">
        <v>0.81</v>
      </c>
      <c r="M845">
        <v>0</v>
      </c>
      <c r="N845">
        <v>6</v>
      </c>
      <c r="O845">
        <v>19</v>
      </c>
      <c r="P845">
        <v>25</v>
      </c>
      <c r="S845" t="str">
        <f>IF(Dataset_A[[#This Row],[Hr]]&gt;=19,"Evening Time",IF(Dataset_A[[#This Row],[Hr]]&gt;=9,"Day Time",IF(Dataset_A[[#This Row],[Hr]]&gt;=0,"Night Time","")))</f>
        <v>Evening Time</v>
      </c>
    </row>
    <row r="846" spans="1:19" x14ac:dyDescent="0.2">
      <c r="A846">
        <v>845</v>
      </c>
      <c r="B846" s="3">
        <v>40582</v>
      </c>
      <c r="C846">
        <v>1</v>
      </c>
      <c r="D846">
        <v>2011</v>
      </c>
      <c r="E846" t="s">
        <v>25</v>
      </c>
      <c r="F846">
        <v>0</v>
      </c>
      <c r="G846" t="b">
        <v>0</v>
      </c>
      <c r="H846" t="s">
        <v>14</v>
      </c>
      <c r="I846">
        <v>2</v>
      </c>
      <c r="J846">
        <v>0.28000000000000003</v>
      </c>
      <c r="K846">
        <v>0.31819999999999998</v>
      </c>
      <c r="L846">
        <v>0.87</v>
      </c>
      <c r="M846">
        <v>0</v>
      </c>
      <c r="N846">
        <v>4</v>
      </c>
      <c r="O846">
        <v>6</v>
      </c>
      <c r="P846">
        <v>10</v>
      </c>
      <c r="S846" t="str">
        <f>IF(Dataset_A[[#This Row],[Hr]]&gt;=19,"Evening Time",IF(Dataset_A[[#This Row],[Hr]]&gt;=9,"Day Time",IF(Dataset_A[[#This Row],[Hr]]&gt;=0,"Night Time","")))</f>
        <v>Night Time</v>
      </c>
    </row>
    <row r="847" spans="1:19" x14ac:dyDescent="0.2">
      <c r="A847">
        <v>846</v>
      </c>
      <c r="B847" s="3">
        <v>40582</v>
      </c>
      <c r="C847">
        <v>1</v>
      </c>
      <c r="D847">
        <v>2011</v>
      </c>
      <c r="E847" t="s">
        <v>25</v>
      </c>
      <c r="F847">
        <v>1</v>
      </c>
      <c r="G847" t="b">
        <v>0</v>
      </c>
      <c r="H847" t="s">
        <v>14</v>
      </c>
      <c r="I847">
        <v>2</v>
      </c>
      <c r="J847">
        <v>0.28000000000000003</v>
      </c>
      <c r="K847">
        <v>0.31819999999999998</v>
      </c>
      <c r="L847">
        <v>0.87</v>
      </c>
      <c r="M847">
        <v>0</v>
      </c>
      <c r="N847">
        <v>0</v>
      </c>
      <c r="O847">
        <v>4</v>
      </c>
      <c r="P847">
        <v>4</v>
      </c>
      <c r="S847" t="str">
        <f>IF(Dataset_A[[#This Row],[Hr]]&gt;=19,"Evening Time",IF(Dataset_A[[#This Row],[Hr]]&gt;=9,"Day Time",IF(Dataset_A[[#This Row],[Hr]]&gt;=0,"Night Time","")))</f>
        <v>Night Time</v>
      </c>
    </row>
    <row r="848" spans="1:19" x14ac:dyDescent="0.2">
      <c r="A848">
        <v>847</v>
      </c>
      <c r="B848" s="3">
        <v>40582</v>
      </c>
      <c r="C848">
        <v>1</v>
      </c>
      <c r="D848">
        <v>2011</v>
      </c>
      <c r="E848" t="s">
        <v>25</v>
      </c>
      <c r="F848">
        <v>2</v>
      </c>
      <c r="G848" t="b">
        <v>0</v>
      </c>
      <c r="H848" t="s">
        <v>14</v>
      </c>
      <c r="I848">
        <v>2</v>
      </c>
      <c r="J848">
        <v>0.26</v>
      </c>
      <c r="K848">
        <v>0.2727</v>
      </c>
      <c r="L848">
        <v>0.93</v>
      </c>
      <c r="M848">
        <v>0.1045</v>
      </c>
      <c r="N848">
        <v>1</v>
      </c>
      <c r="O848">
        <v>1</v>
      </c>
      <c r="P848">
        <v>2</v>
      </c>
      <c r="S848" t="str">
        <f>IF(Dataset_A[[#This Row],[Hr]]&gt;=19,"Evening Time",IF(Dataset_A[[#This Row],[Hr]]&gt;=9,"Day Time",IF(Dataset_A[[#This Row],[Hr]]&gt;=0,"Night Time","")))</f>
        <v>Night Time</v>
      </c>
    </row>
    <row r="849" spans="1:19" x14ac:dyDescent="0.2">
      <c r="A849">
        <v>848</v>
      </c>
      <c r="B849" s="3">
        <v>40582</v>
      </c>
      <c r="C849">
        <v>1</v>
      </c>
      <c r="D849">
        <v>2011</v>
      </c>
      <c r="E849" t="s">
        <v>25</v>
      </c>
      <c r="F849">
        <v>3</v>
      </c>
      <c r="G849" t="b">
        <v>0</v>
      </c>
      <c r="H849" t="s">
        <v>14</v>
      </c>
      <c r="I849">
        <v>3</v>
      </c>
      <c r="J849">
        <v>0.28000000000000003</v>
      </c>
      <c r="K849">
        <v>0.2727</v>
      </c>
      <c r="L849">
        <v>0.93</v>
      </c>
      <c r="M849">
        <v>0.16420000000000001</v>
      </c>
      <c r="N849">
        <v>0</v>
      </c>
      <c r="O849">
        <v>1</v>
      </c>
      <c r="P849">
        <v>1</v>
      </c>
      <c r="S849" t="str">
        <f>IF(Dataset_A[[#This Row],[Hr]]&gt;=19,"Evening Time",IF(Dataset_A[[#This Row],[Hr]]&gt;=9,"Day Time",IF(Dataset_A[[#This Row],[Hr]]&gt;=0,"Night Time","")))</f>
        <v>Night Time</v>
      </c>
    </row>
    <row r="850" spans="1:19" x14ac:dyDescent="0.2">
      <c r="A850">
        <v>849</v>
      </c>
      <c r="B850" s="3">
        <v>40582</v>
      </c>
      <c r="C850">
        <v>1</v>
      </c>
      <c r="D850">
        <v>2011</v>
      </c>
      <c r="E850" t="s">
        <v>25</v>
      </c>
      <c r="F850">
        <v>4</v>
      </c>
      <c r="G850" t="b">
        <v>0</v>
      </c>
      <c r="H850" t="s">
        <v>14</v>
      </c>
      <c r="I850">
        <v>1</v>
      </c>
      <c r="J850">
        <v>0.26</v>
      </c>
      <c r="K850">
        <v>0.2576</v>
      </c>
      <c r="L850">
        <v>0.93</v>
      </c>
      <c r="M850">
        <v>0.16420000000000001</v>
      </c>
      <c r="N850">
        <v>0</v>
      </c>
      <c r="O850">
        <v>3</v>
      </c>
      <c r="P850">
        <v>3</v>
      </c>
      <c r="S850" t="str">
        <f>IF(Dataset_A[[#This Row],[Hr]]&gt;=19,"Evening Time",IF(Dataset_A[[#This Row],[Hr]]&gt;=9,"Day Time",IF(Dataset_A[[#This Row],[Hr]]&gt;=0,"Night Time","")))</f>
        <v>Night Time</v>
      </c>
    </row>
    <row r="851" spans="1:19" x14ac:dyDescent="0.2">
      <c r="A851">
        <v>850</v>
      </c>
      <c r="B851" s="3">
        <v>40582</v>
      </c>
      <c r="C851">
        <v>1</v>
      </c>
      <c r="D851">
        <v>2011</v>
      </c>
      <c r="E851" t="s">
        <v>25</v>
      </c>
      <c r="F851">
        <v>5</v>
      </c>
      <c r="G851" t="b">
        <v>0</v>
      </c>
      <c r="H851" t="s">
        <v>14</v>
      </c>
      <c r="I851">
        <v>1</v>
      </c>
      <c r="J851">
        <v>0.26</v>
      </c>
      <c r="K851">
        <v>0.2273</v>
      </c>
      <c r="L851">
        <v>0.81</v>
      </c>
      <c r="M851">
        <v>0.32840000000000003</v>
      </c>
      <c r="N851">
        <v>0</v>
      </c>
      <c r="O851">
        <v>2</v>
      </c>
      <c r="P851">
        <v>2</v>
      </c>
      <c r="S851" t="str">
        <f>IF(Dataset_A[[#This Row],[Hr]]&gt;=19,"Evening Time",IF(Dataset_A[[#This Row],[Hr]]&gt;=9,"Day Time",IF(Dataset_A[[#This Row],[Hr]]&gt;=0,"Night Time","")))</f>
        <v>Night Time</v>
      </c>
    </row>
    <row r="852" spans="1:19" x14ac:dyDescent="0.2">
      <c r="A852">
        <v>851</v>
      </c>
      <c r="B852" s="3">
        <v>40582</v>
      </c>
      <c r="C852">
        <v>1</v>
      </c>
      <c r="D852">
        <v>2011</v>
      </c>
      <c r="E852" t="s">
        <v>25</v>
      </c>
      <c r="F852">
        <v>6</v>
      </c>
      <c r="G852" t="b">
        <v>0</v>
      </c>
      <c r="H852" t="s">
        <v>14</v>
      </c>
      <c r="I852">
        <v>1</v>
      </c>
      <c r="J852">
        <v>0.26</v>
      </c>
      <c r="K852">
        <v>0.2273</v>
      </c>
      <c r="L852">
        <v>0.7</v>
      </c>
      <c r="M852">
        <v>0.32840000000000003</v>
      </c>
      <c r="N852">
        <v>0</v>
      </c>
      <c r="O852">
        <v>39</v>
      </c>
      <c r="P852">
        <v>39</v>
      </c>
      <c r="S852" t="str">
        <f>IF(Dataset_A[[#This Row],[Hr]]&gt;=19,"Evening Time",IF(Dataset_A[[#This Row],[Hr]]&gt;=9,"Day Time",IF(Dataset_A[[#This Row],[Hr]]&gt;=0,"Night Time","")))</f>
        <v>Night Time</v>
      </c>
    </row>
    <row r="853" spans="1:19" x14ac:dyDescent="0.2">
      <c r="A853">
        <v>852</v>
      </c>
      <c r="B853" s="3">
        <v>40582</v>
      </c>
      <c r="C853">
        <v>1</v>
      </c>
      <c r="D853">
        <v>2011</v>
      </c>
      <c r="E853" t="s">
        <v>25</v>
      </c>
      <c r="F853">
        <v>7</v>
      </c>
      <c r="G853" t="b">
        <v>0</v>
      </c>
      <c r="H853" t="s">
        <v>14</v>
      </c>
      <c r="I853">
        <v>1</v>
      </c>
      <c r="J853">
        <v>0.24</v>
      </c>
      <c r="K853">
        <v>0.19700000000000001</v>
      </c>
      <c r="L853">
        <v>0.65</v>
      </c>
      <c r="M853">
        <v>0.41789999999999999</v>
      </c>
      <c r="N853">
        <v>3</v>
      </c>
      <c r="O853">
        <v>97</v>
      </c>
      <c r="P853">
        <v>100</v>
      </c>
      <c r="S853" t="str">
        <f>IF(Dataset_A[[#This Row],[Hr]]&gt;=19,"Evening Time",IF(Dataset_A[[#This Row],[Hr]]&gt;=9,"Day Time",IF(Dataset_A[[#This Row],[Hr]]&gt;=0,"Night Time","")))</f>
        <v>Night Time</v>
      </c>
    </row>
    <row r="854" spans="1:19" x14ac:dyDescent="0.2">
      <c r="A854">
        <v>853</v>
      </c>
      <c r="B854" s="3">
        <v>40582</v>
      </c>
      <c r="C854">
        <v>1</v>
      </c>
      <c r="D854">
        <v>2011</v>
      </c>
      <c r="E854" t="s">
        <v>25</v>
      </c>
      <c r="F854">
        <v>8</v>
      </c>
      <c r="G854" t="b">
        <v>0</v>
      </c>
      <c r="H854" t="s">
        <v>14</v>
      </c>
      <c r="I854">
        <v>1</v>
      </c>
      <c r="J854">
        <v>0.24</v>
      </c>
      <c r="K854">
        <v>0.19700000000000001</v>
      </c>
      <c r="L854">
        <v>0.56000000000000005</v>
      </c>
      <c r="M854">
        <v>0.49249999999999999</v>
      </c>
      <c r="N854">
        <v>7</v>
      </c>
      <c r="O854">
        <v>236</v>
      </c>
      <c r="P854">
        <v>243</v>
      </c>
      <c r="S854" t="str">
        <f>IF(Dataset_A[[#This Row],[Hr]]&gt;=19,"Evening Time",IF(Dataset_A[[#This Row],[Hr]]&gt;=9,"Day Time",IF(Dataset_A[[#This Row],[Hr]]&gt;=0,"Night Time","")))</f>
        <v>Night Time</v>
      </c>
    </row>
    <row r="855" spans="1:19" x14ac:dyDescent="0.2">
      <c r="A855">
        <v>854</v>
      </c>
      <c r="B855" s="3">
        <v>40582</v>
      </c>
      <c r="C855">
        <v>1</v>
      </c>
      <c r="D855">
        <v>2011</v>
      </c>
      <c r="E855" t="s">
        <v>25</v>
      </c>
      <c r="F855">
        <v>9</v>
      </c>
      <c r="G855" t="b">
        <v>0</v>
      </c>
      <c r="H855" t="s">
        <v>14</v>
      </c>
      <c r="I855">
        <v>1</v>
      </c>
      <c r="J855">
        <v>0.24</v>
      </c>
      <c r="K855">
        <v>0.19700000000000001</v>
      </c>
      <c r="L855">
        <v>0.52</v>
      </c>
      <c r="M855">
        <v>0.49249999999999999</v>
      </c>
      <c r="N855">
        <v>7</v>
      </c>
      <c r="O855">
        <v>128</v>
      </c>
      <c r="P855">
        <v>135</v>
      </c>
      <c r="S855" t="str">
        <f>IF(Dataset_A[[#This Row],[Hr]]&gt;=19,"Evening Time",IF(Dataset_A[[#This Row],[Hr]]&gt;=9,"Day Time",IF(Dataset_A[[#This Row],[Hr]]&gt;=0,"Night Time","")))</f>
        <v>Day Time</v>
      </c>
    </row>
    <row r="856" spans="1:19" x14ac:dyDescent="0.2">
      <c r="A856">
        <v>855</v>
      </c>
      <c r="B856" s="3">
        <v>40582</v>
      </c>
      <c r="C856">
        <v>1</v>
      </c>
      <c r="D856">
        <v>2011</v>
      </c>
      <c r="E856" t="s">
        <v>25</v>
      </c>
      <c r="F856">
        <v>10</v>
      </c>
      <c r="G856" t="b">
        <v>0</v>
      </c>
      <c r="H856" t="s">
        <v>14</v>
      </c>
      <c r="I856">
        <v>1</v>
      </c>
      <c r="J856">
        <v>0.22</v>
      </c>
      <c r="K856">
        <v>0.18179999999999999</v>
      </c>
      <c r="L856">
        <v>0.47</v>
      </c>
      <c r="M856">
        <v>0.55220000000000002</v>
      </c>
      <c r="N856">
        <v>4</v>
      </c>
      <c r="O856">
        <v>44</v>
      </c>
      <c r="P856">
        <v>48</v>
      </c>
      <c r="S856" t="str">
        <f>IF(Dataset_A[[#This Row],[Hr]]&gt;=19,"Evening Time",IF(Dataset_A[[#This Row],[Hr]]&gt;=9,"Day Time",IF(Dataset_A[[#This Row],[Hr]]&gt;=0,"Night Time","")))</f>
        <v>Day Time</v>
      </c>
    </row>
    <row r="857" spans="1:19" x14ac:dyDescent="0.2">
      <c r="A857">
        <v>856</v>
      </c>
      <c r="B857" s="3">
        <v>40582</v>
      </c>
      <c r="C857">
        <v>1</v>
      </c>
      <c r="D857">
        <v>2011</v>
      </c>
      <c r="E857" t="s">
        <v>25</v>
      </c>
      <c r="F857">
        <v>11</v>
      </c>
      <c r="G857" t="b">
        <v>0</v>
      </c>
      <c r="H857" t="s">
        <v>14</v>
      </c>
      <c r="I857">
        <v>1</v>
      </c>
      <c r="J857">
        <v>0.22</v>
      </c>
      <c r="K857">
        <v>0.18179999999999999</v>
      </c>
      <c r="L857">
        <v>0.47</v>
      </c>
      <c r="M857">
        <v>0.4627</v>
      </c>
      <c r="N857">
        <v>1</v>
      </c>
      <c r="O857">
        <v>49</v>
      </c>
      <c r="P857">
        <v>50</v>
      </c>
      <c r="S857" t="str">
        <f>IF(Dataset_A[[#This Row],[Hr]]&gt;=19,"Evening Time",IF(Dataset_A[[#This Row],[Hr]]&gt;=9,"Day Time",IF(Dataset_A[[#This Row],[Hr]]&gt;=0,"Night Time","")))</f>
        <v>Day Time</v>
      </c>
    </row>
    <row r="858" spans="1:19" x14ac:dyDescent="0.2">
      <c r="A858">
        <v>857</v>
      </c>
      <c r="B858" s="3">
        <v>40582</v>
      </c>
      <c r="C858">
        <v>1</v>
      </c>
      <c r="D858">
        <v>2011</v>
      </c>
      <c r="E858" t="s">
        <v>25</v>
      </c>
      <c r="F858">
        <v>12</v>
      </c>
      <c r="G858" t="b">
        <v>0</v>
      </c>
      <c r="H858" t="s">
        <v>14</v>
      </c>
      <c r="I858">
        <v>1</v>
      </c>
      <c r="J858">
        <v>0.24</v>
      </c>
      <c r="K858">
        <v>0.19700000000000001</v>
      </c>
      <c r="L858">
        <v>0.38</v>
      </c>
      <c r="M858">
        <v>0.49249999999999999</v>
      </c>
      <c r="N858">
        <v>2</v>
      </c>
      <c r="O858">
        <v>63</v>
      </c>
      <c r="P858">
        <v>65</v>
      </c>
      <c r="S858" t="str">
        <f>IF(Dataset_A[[#This Row],[Hr]]&gt;=19,"Evening Time",IF(Dataset_A[[#This Row],[Hr]]&gt;=9,"Day Time",IF(Dataset_A[[#This Row],[Hr]]&gt;=0,"Night Time","")))</f>
        <v>Day Time</v>
      </c>
    </row>
    <row r="859" spans="1:19" x14ac:dyDescent="0.2">
      <c r="A859">
        <v>858</v>
      </c>
      <c r="B859" s="3">
        <v>40582</v>
      </c>
      <c r="C859">
        <v>1</v>
      </c>
      <c r="D859">
        <v>2011</v>
      </c>
      <c r="E859" t="s">
        <v>25</v>
      </c>
      <c r="F859">
        <v>13</v>
      </c>
      <c r="G859" t="b">
        <v>0</v>
      </c>
      <c r="H859" t="s">
        <v>14</v>
      </c>
      <c r="I859">
        <v>2</v>
      </c>
      <c r="J859">
        <v>0.24</v>
      </c>
      <c r="K859">
        <v>0.19700000000000001</v>
      </c>
      <c r="L859">
        <v>0.32</v>
      </c>
      <c r="M859">
        <v>0.44779999999999998</v>
      </c>
      <c r="N859">
        <v>2</v>
      </c>
      <c r="O859">
        <v>48</v>
      </c>
      <c r="P859">
        <v>50</v>
      </c>
      <c r="S859" t="str">
        <f>IF(Dataset_A[[#This Row],[Hr]]&gt;=19,"Evening Time",IF(Dataset_A[[#This Row],[Hr]]&gt;=9,"Day Time",IF(Dataset_A[[#This Row],[Hr]]&gt;=0,"Night Time","")))</f>
        <v>Day Time</v>
      </c>
    </row>
    <row r="860" spans="1:19" x14ac:dyDescent="0.2">
      <c r="A860">
        <v>859</v>
      </c>
      <c r="B860" s="3">
        <v>40582</v>
      </c>
      <c r="C860">
        <v>1</v>
      </c>
      <c r="D860">
        <v>2011</v>
      </c>
      <c r="E860" t="s">
        <v>25</v>
      </c>
      <c r="F860">
        <v>14</v>
      </c>
      <c r="G860" t="b">
        <v>0</v>
      </c>
      <c r="H860" t="s">
        <v>14</v>
      </c>
      <c r="I860">
        <v>1</v>
      </c>
      <c r="J860">
        <v>0.22</v>
      </c>
      <c r="K860">
        <v>0.19700000000000001</v>
      </c>
      <c r="L860">
        <v>0.37</v>
      </c>
      <c r="M860">
        <v>0.41789999999999999</v>
      </c>
      <c r="N860">
        <v>3</v>
      </c>
      <c r="O860">
        <v>61</v>
      </c>
      <c r="P860">
        <v>64</v>
      </c>
      <c r="S860" t="str">
        <f>IF(Dataset_A[[#This Row],[Hr]]&gt;=19,"Evening Time",IF(Dataset_A[[#This Row],[Hr]]&gt;=9,"Day Time",IF(Dataset_A[[#This Row],[Hr]]&gt;=0,"Night Time","")))</f>
        <v>Day Time</v>
      </c>
    </row>
    <row r="861" spans="1:19" x14ac:dyDescent="0.2">
      <c r="A861">
        <v>860</v>
      </c>
      <c r="B861" s="3">
        <v>40582</v>
      </c>
      <c r="C861">
        <v>1</v>
      </c>
      <c r="D861">
        <v>2011</v>
      </c>
      <c r="E861" t="s">
        <v>25</v>
      </c>
      <c r="F861">
        <v>15</v>
      </c>
      <c r="G861" t="b">
        <v>0</v>
      </c>
      <c r="H861" t="s">
        <v>14</v>
      </c>
      <c r="I861">
        <v>1</v>
      </c>
      <c r="J861">
        <v>0.22</v>
      </c>
      <c r="K861">
        <v>0.19700000000000001</v>
      </c>
      <c r="L861">
        <v>0.35</v>
      </c>
      <c r="M861">
        <v>0.3881</v>
      </c>
      <c r="N861">
        <v>6</v>
      </c>
      <c r="O861">
        <v>45</v>
      </c>
      <c r="P861">
        <v>51</v>
      </c>
      <c r="S861" t="str">
        <f>IF(Dataset_A[[#This Row],[Hr]]&gt;=19,"Evening Time",IF(Dataset_A[[#This Row],[Hr]]&gt;=9,"Day Time",IF(Dataset_A[[#This Row],[Hr]]&gt;=0,"Night Time","")))</f>
        <v>Day Time</v>
      </c>
    </row>
    <row r="862" spans="1:19" x14ac:dyDescent="0.2">
      <c r="A862">
        <v>861</v>
      </c>
      <c r="B862" s="3">
        <v>40582</v>
      </c>
      <c r="C862">
        <v>1</v>
      </c>
      <c r="D862">
        <v>2011</v>
      </c>
      <c r="E862" t="s">
        <v>25</v>
      </c>
      <c r="F862">
        <v>16</v>
      </c>
      <c r="G862" t="b">
        <v>0</v>
      </c>
      <c r="H862" t="s">
        <v>14</v>
      </c>
      <c r="I862">
        <v>1</v>
      </c>
      <c r="J862">
        <v>0.22</v>
      </c>
      <c r="K862">
        <v>0.18179999999999999</v>
      </c>
      <c r="L862">
        <v>0.35</v>
      </c>
      <c r="M862">
        <v>0.52239999999999998</v>
      </c>
      <c r="N862">
        <v>4</v>
      </c>
      <c r="O862">
        <v>79</v>
      </c>
      <c r="P862">
        <v>83</v>
      </c>
      <c r="S862" t="str">
        <f>IF(Dataset_A[[#This Row],[Hr]]&gt;=19,"Evening Time",IF(Dataset_A[[#This Row],[Hr]]&gt;=9,"Day Time",IF(Dataset_A[[#This Row],[Hr]]&gt;=0,"Night Time","")))</f>
        <v>Day Time</v>
      </c>
    </row>
    <row r="863" spans="1:19" x14ac:dyDescent="0.2">
      <c r="A863">
        <v>862</v>
      </c>
      <c r="B863" s="3">
        <v>40582</v>
      </c>
      <c r="C863">
        <v>1</v>
      </c>
      <c r="D863">
        <v>2011</v>
      </c>
      <c r="E863" t="s">
        <v>25</v>
      </c>
      <c r="F863">
        <v>17</v>
      </c>
      <c r="G863" t="b">
        <v>0</v>
      </c>
      <c r="H863" t="s">
        <v>14</v>
      </c>
      <c r="I863">
        <v>1</v>
      </c>
      <c r="J863">
        <v>0.22</v>
      </c>
      <c r="K863">
        <v>0.18179999999999999</v>
      </c>
      <c r="L863">
        <v>0.32</v>
      </c>
      <c r="M863">
        <v>0.58209999999999995</v>
      </c>
      <c r="N863">
        <v>4</v>
      </c>
      <c r="O863">
        <v>172</v>
      </c>
      <c r="P863">
        <v>176</v>
      </c>
      <c r="S863" t="str">
        <f>IF(Dataset_A[[#This Row],[Hr]]&gt;=19,"Evening Time",IF(Dataset_A[[#This Row],[Hr]]&gt;=9,"Day Time",IF(Dataset_A[[#This Row],[Hr]]&gt;=0,"Night Time","")))</f>
        <v>Day Time</v>
      </c>
    </row>
    <row r="864" spans="1:19" x14ac:dyDescent="0.2">
      <c r="A864">
        <v>863</v>
      </c>
      <c r="B864" s="3">
        <v>40582</v>
      </c>
      <c r="C864">
        <v>1</v>
      </c>
      <c r="D864">
        <v>2011</v>
      </c>
      <c r="E864" t="s">
        <v>25</v>
      </c>
      <c r="F864">
        <v>18</v>
      </c>
      <c r="G864" t="b">
        <v>0</v>
      </c>
      <c r="H864" t="s">
        <v>14</v>
      </c>
      <c r="I864">
        <v>1</v>
      </c>
      <c r="J864">
        <v>0.2</v>
      </c>
      <c r="K864">
        <v>0.18179999999999999</v>
      </c>
      <c r="L864">
        <v>0.32</v>
      </c>
      <c r="M864">
        <v>0.3881</v>
      </c>
      <c r="N864">
        <v>1</v>
      </c>
      <c r="O864">
        <v>151</v>
      </c>
      <c r="P864">
        <v>152</v>
      </c>
      <c r="S864" t="str">
        <f>IF(Dataset_A[[#This Row],[Hr]]&gt;=19,"Evening Time",IF(Dataset_A[[#This Row],[Hr]]&gt;=9,"Day Time",IF(Dataset_A[[#This Row],[Hr]]&gt;=0,"Night Time","")))</f>
        <v>Day Time</v>
      </c>
    </row>
    <row r="865" spans="1:19" x14ac:dyDescent="0.2">
      <c r="A865">
        <v>864</v>
      </c>
      <c r="B865" s="3">
        <v>40582</v>
      </c>
      <c r="C865">
        <v>1</v>
      </c>
      <c r="D865">
        <v>2011</v>
      </c>
      <c r="E865" t="s">
        <v>25</v>
      </c>
      <c r="F865">
        <v>19</v>
      </c>
      <c r="G865" t="b">
        <v>0</v>
      </c>
      <c r="H865" t="s">
        <v>14</v>
      </c>
      <c r="I865">
        <v>1</v>
      </c>
      <c r="J865">
        <v>0.16</v>
      </c>
      <c r="K865">
        <v>0.1212</v>
      </c>
      <c r="L865">
        <v>0.4</v>
      </c>
      <c r="M865">
        <v>0.4627</v>
      </c>
      <c r="N865">
        <v>1</v>
      </c>
      <c r="O865">
        <v>100</v>
      </c>
      <c r="P865">
        <v>101</v>
      </c>
      <c r="S865" t="str">
        <f>IF(Dataset_A[[#This Row],[Hr]]&gt;=19,"Evening Time",IF(Dataset_A[[#This Row],[Hr]]&gt;=9,"Day Time",IF(Dataset_A[[#This Row],[Hr]]&gt;=0,"Night Time","")))</f>
        <v>Evening Time</v>
      </c>
    </row>
    <row r="866" spans="1:19" x14ac:dyDescent="0.2">
      <c r="A866">
        <v>865</v>
      </c>
      <c r="B866" s="3">
        <v>40582</v>
      </c>
      <c r="C866">
        <v>1</v>
      </c>
      <c r="D866">
        <v>2011</v>
      </c>
      <c r="E866" t="s">
        <v>25</v>
      </c>
      <c r="F866">
        <v>20</v>
      </c>
      <c r="G866" t="b">
        <v>0</v>
      </c>
      <c r="H866" t="s">
        <v>14</v>
      </c>
      <c r="I866">
        <v>1</v>
      </c>
      <c r="J866">
        <v>0.16</v>
      </c>
      <c r="K866">
        <v>0.13639999999999999</v>
      </c>
      <c r="L866">
        <v>0.4</v>
      </c>
      <c r="M866">
        <v>0.32840000000000003</v>
      </c>
      <c r="N866">
        <v>3</v>
      </c>
      <c r="O866">
        <v>53</v>
      </c>
      <c r="P866">
        <v>56</v>
      </c>
      <c r="S866" t="str">
        <f>IF(Dataset_A[[#This Row],[Hr]]&gt;=19,"Evening Time",IF(Dataset_A[[#This Row],[Hr]]&gt;=9,"Day Time",IF(Dataset_A[[#This Row],[Hr]]&gt;=0,"Night Time","")))</f>
        <v>Evening Time</v>
      </c>
    </row>
    <row r="867" spans="1:19" x14ac:dyDescent="0.2">
      <c r="A867">
        <v>866</v>
      </c>
      <c r="B867" s="3">
        <v>40582</v>
      </c>
      <c r="C867">
        <v>1</v>
      </c>
      <c r="D867">
        <v>2011</v>
      </c>
      <c r="E867" t="s">
        <v>25</v>
      </c>
      <c r="F867">
        <v>21</v>
      </c>
      <c r="G867" t="b">
        <v>0</v>
      </c>
      <c r="H867" t="s">
        <v>14</v>
      </c>
      <c r="I867">
        <v>1</v>
      </c>
      <c r="J867">
        <v>0.14000000000000001</v>
      </c>
      <c r="K867">
        <v>0.1061</v>
      </c>
      <c r="L867">
        <v>0.33</v>
      </c>
      <c r="M867">
        <v>0.4627</v>
      </c>
      <c r="N867">
        <v>8</v>
      </c>
      <c r="O867">
        <v>46</v>
      </c>
      <c r="P867">
        <v>54</v>
      </c>
      <c r="S867" t="str">
        <f>IF(Dataset_A[[#This Row],[Hr]]&gt;=19,"Evening Time",IF(Dataset_A[[#This Row],[Hr]]&gt;=9,"Day Time",IF(Dataset_A[[#This Row],[Hr]]&gt;=0,"Night Time","")))</f>
        <v>Evening Time</v>
      </c>
    </row>
    <row r="868" spans="1:19" x14ac:dyDescent="0.2">
      <c r="A868">
        <v>867</v>
      </c>
      <c r="B868" s="3">
        <v>40582</v>
      </c>
      <c r="C868">
        <v>1</v>
      </c>
      <c r="D868">
        <v>2011</v>
      </c>
      <c r="E868" t="s">
        <v>25</v>
      </c>
      <c r="F868">
        <v>22</v>
      </c>
      <c r="G868" t="b">
        <v>0</v>
      </c>
      <c r="H868" t="s">
        <v>14</v>
      </c>
      <c r="I868">
        <v>1</v>
      </c>
      <c r="J868">
        <v>0.12</v>
      </c>
      <c r="K868">
        <v>0.1061</v>
      </c>
      <c r="L868">
        <v>0.33</v>
      </c>
      <c r="M868">
        <v>0.35820000000000002</v>
      </c>
      <c r="N868">
        <v>0</v>
      </c>
      <c r="O868">
        <v>29</v>
      </c>
      <c r="P868">
        <v>29</v>
      </c>
      <c r="S868" t="str">
        <f>IF(Dataset_A[[#This Row],[Hr]]&gt;=19,"Evening Time",IF(Dataset_A[[#This Row],[Hr]]&gt;=9,"Day Time",IF(Dataset_A[[#This Row],[Hr]]&gt;=0,"Night Time","")))</f>
        <v>Evening Time</v>
      </c>
    </row>
    <row r="869" spans="1:19" x14ac:dyDescent="0.2">
      <c r="A869">
        <v>868</v>
      </c>
      <c r="B869" s="3">
        <v>40582</v>
      </c>
      <c r="C869">
        <v>1</v>
      </c>
      <c r="D869">
        <v>2011</v>
      </c>
      <c r="E869" t="s">
        <v>25</v>
      </c>
      <c r="F869">
        <v>23</v>
      </c>
      <c r="G869" t="b">
        <v>0</v>
      </c>
      <c r="H869" t="s">
        <v>14</v>
      </c>
      <c r="I869">
        <v>1</v>
      </c>
      <c r="J869">
        <v>0.12</v>
      </c>
      <c r="K869">
        <v>0.1061</v>
      </c>
      <c r="L869">
        <v>0.33</v>
      </c>
      <c r="M869">
        <v>0.32840000000000003</v>
      </c>
      <c r="N869">
        <v>3</v>
      </c>
      <c r="O869">
        <v>9</v>
      </c>
      <c r="P869">
        <v>12</v>
      </c>
      <c r="S869" t="str">
        <f>IF(Dataset_A[[#This Row],[Hr]]&gt;=19,"Evening Time",IF(Dataset_A[[#This Row],[Hr]]&gt;=9,"Day Time",IF(Dataset_A[[#This Row],[Hr]]&gt;=0,"Night Time","")))</f>
        <v>Evening Time</v>
      </c>
    </row>
    <row r="870" spans="1:19" x14ac:dyDescent="0.2">
      <c r="A870">
        <v>869</v>
      </c>
      <c r="B870" s="3">
        <v>40583</v>
      </c>
      <c r="C870">
        <v>1</v>
      </c>
      <c r="D870">
        <v>2011</v>
      </c>
      <c r="E870" t="s">
        <v>25</v>
      </c>
      <c r="F870">
        <v>0</v>
      </c>
      <c r="G870" t="b">
        <v>0</v>
      </c>
      <c r="H870" t="s">
        <v>15</v>
      </c>
      <c r="I870">
        <v>1</v>
      </c>
      <c r="J870">
        <v>0.1</v>
      </c>
      <c r="K870">
        <v>7.5800000000000006E-2</v>
      </c>
      <c r="L870">
        <v>0.36</v>
      </c>
      <c r="M870">
        <v>0.35820000000000002</v>
      </c>
      <c r="N870">
        <v>0</v>
      </c>
      <c r="O870">
        <v>17</v>
      </c>
      <c r="P870">
        <v>17</v>
      </c>
      <c r="S870" t="str">
        <f>IF(Dataset_A[[#This Row],[Hr]]&gt;=19,"Evening Time",IF(Dataset_A[[#This Row],[Hr]]&gt;=9,"Day Time",IF(Dataset_A[[#This Row],[Hr]]&gt;=0,"Night Time","")))</f>
        <v>Night Time</v>
      </c>
    </row>
    <row r="871" spans="1:19" x14ac:dyDescent="0.2">
      <c r="A871">
        <v>870</v>
      </c>
      <c r="B871" s="3">
        <v>40583</v>
      </c>
      <c r="C871">
        <v>1</v>
      </c>
      <c r="D871">
        <v>2011</v>
      </c>
      <c r="E871" t="s">
        <v>25</v>
      </c>
      <c r="F871">
        <v>1</v>
      </c>
      <c r="G871" t="b">
        <v>0</v>
      </c>
      <c r="H871" t="s">
        <v>15</v>
      </c>
      <c r="I871">
        <v>1</v>
      </c>
      <c r="J871">
        <v>0.1</v>
      </c>
      <c r="K871">
        <v>0.1061</v>
      </c>
      <c r="L871">
        <v>0.36</v>
      </c>
      <c r="M871">
        <v>0.22389999999999999</v>
      </c>
      <c r="N871">
        <v>0</v>
      </c>
      <c r="O871">
        <v>7</v>
      </c>
      <c r="P871">
        <v>7</v>
      </c>
      <c r="S871" t="str">
        <f>IF(Dataset_A[[#This Row],[Hr]]&gt;=19,"Evening Time",IF(Dataset_A[[#This Row],[Hr]]&gt;=9,"Day Time",IF(Dataset_A[[#This Row],[Hr]]&gt;=0,"Night Time","")))</f>
        <v>Night Time</v>
      </c>
    </row>
    <row r="872" spans="1:19" x14ac:dyDescent="0.2">
      <c r="A872">
        <v>871</v>
      </c>
      <c r="B872" s="3">
        <v>40583</v>
      </c>
      <c r="C872">
        <v>1</v>
      </c>
      <c r="D872">
        <v>2011</v>
      </c>
      <c r="E872" t="s">
        <v>25</v>
      </c>
      <c r="F872">
        <v>2</v>
      </c>
      <c r="G872" t="b">
        <v>0</v>
      </c>
      <c r="H872" t="s">
        <v>15</v>
      </c>
      <c r="I872">
        <v>1</v>
      </c>
      <c r="J872">
        <v>0.08</v>
      </c>
      <c r="K872">
        <v>7.5800000000000006E-2</v>
      </c>
      <c r="L872">
        <v>0.38</v>
      </c>
      <c r="M872">
        <v>0.28360000000000002</v>
      </c>
      <c r="N872">
        <v>1</v>
      </c>
      <c r="O872">
        <v>2</v>
      </c>
      <c r="P872">
        <v>3</v>
      </c>
      <c r="S872" t="str">
        <f>IF(Dataset_A[[#This Row],[Hr]]&gt;=19,"Evening Time",IF(Dataset_A[[#This Row],[Hr]]&gt;=9,"Day Time",IF(Dataset_A[[#This Row],[Hr]]&gt;=0,"Night Time","")))</f>
        <v>Night Time</v>
      </c>
    </row>
    <row r="873" spans="1:19" x14ac:dyDescent="0.2">
      <c r="A873">
        <v>872</v>
      </c>
      <c r="B873" s="3">
        <v>40583</v>
      </c>
      <c r="C873">
        <v>1</v>
      </c>
      <c r="D873">
        <v>2011</v>
      </c>
      <c r="E873" t="s">
        <v>25</v>
      </c>
      <c r="F873">
        <v>3</v>
      </c>
      <c r="G873" t="b">
        <v>0</v>
      </c>
      <c r="H873" t="s">
        <v>15</v>
      </c>
      <c r="I873">
        <v>1</v>
      </c>
      <c r="J873">
        <v>0.06</v>
      </c>
      <c r="K873">
        <v>7.5800000000000006E-2</v>
      </c>
      <c r="L873">
        <v>0.45</v>
      </c>
      <c r="M873">
        <v>0.1343</v>
      </c>
      <c r="N873">
        <v>0</v>
      </c>
      <c r="O873">
        <v>2</v>
      </c>
      <c r="P873">
        <v>2</v>
      </c>
      <c r="S873" t="str">
        <f>IF(Dataset_A[[#This Row],[Hr]]&gt;=19,"Evening Time",IF(Dataset_A[[#This Row],[Hr]]&gt;=9,"Day Time",IF(Dataset_A[[#This Row],[Hr]]&gt;=0,"Night Time","")))</f>
        <v>Night Time</v>
      </c>
    </row>
    <row r="874" spans="1:19" x14ac:dyDescent="0.2">
      <c r="A874">
        <v>873</v>
      </c>
      <c r="B874" s="3">
        <v>40583</v>
      </c>
      <c r="C874">
        <v>1</v>
      </c>
      <c r="D874">
        <v>2011</v>
      </c>
      <c r="E874" t="s">
        <v>25</v>
      </c>
      <c r="F874">
        <v>5</v>
      </c>
      <c r="G874" t="b">
        <v>0</v>
      </c>
      <c r="H874" t="s">
        <v>15</v>
      </c>
      <c r="I874">
        <v>1</v>
      </c>
      <c r="J874">
        <v>0.06</v>
      </c>
      <c r="K874">
        <v>0.1061</v>
      </c>
      <c r="L874">
        <v>0.45</v>
      </c>
      <c r="M874">
        <v>0.1045</v>
      </c>
      <c r="N874">
        <v>0</v>
      </c>
      <c r="O874">
        <v>7</v>
      </c>
      <c r="P874">
        <v>7</v>
      </c>
      <c r="S874" t="str">
        <f>IF(Dataset_A[[#This Row],[Hr]]&gt;=19,"Evening Time",IF(Dataset_A[[#This Row],[Hr]]&gt;=9,"Day Time",IF(Dataset_A[[#This Row],[Hr]]&gt;=0,"Night Time","")))</f>
        <v>Night Time</v>
      </c>
    </row>
    <row r="875" spans="1:19" x14ac:dyDescent="0.2">
      <c r="A875">
        <v>874</v>
      </c>
      <c r="B875" s="3">
        <v>40583</v>
      </c>
      <c r="C875">
        <v>1</v>
      </c>
      <c r="D875">
        <v>2011</v>
      </c>
      <c r="E875" t="s">
        <v>25</v>
      </c>
      <c r="F875">
        <v>6</v>
      </c>
      <c r="G875" t="b">
        <v>0</v>
      </c>
      <c r="H875" t="s">
        <v>15</v>
      </c>
      <c r="I875">
        <v>1</v>
      </c>
      <c r="J875">
        <v>0.06</v>
      </c>
      <c r="K875">
        <v>0.1515</v>
      </c>
      <c r="L875">
        <v>0.45</v>
      </c>
      <c r="M875">
        <v>0</v>
      </c>
      <c r="N875">
        <v>0</v>
      </c>
      <c r="O875">
        <v>43</v>
      </c>
      <c r="P875">
        <v>43</v>
      </c>
      <c r="S875" t="str">
        <f>IF(Dataset_A[[#This Row],[Hr]]&gt;=19,"Evening Time",IF(Dataset_A[[#This Row],[Hr]]&gt;=9,"Day Time",IF(Dataset_A[[#This Row],[Hr]]&gt;=0,"Night Time","")))</f>
        <v>Night Time</v>
      </c>
    </row>
    <row r="876" spans="1:19" x14ac:dyDescent="0.2">
      <c r="A876">
        <v>875</v>
      </c>
      <c r="B876" s="3">
        <v>40583</v>
      </c>
      <c r="C876">
        <v>1</v>
      </c>
      <c r="D876">
        <v>2011</v>
      </c>
      <c r="E876" t="s">
        <v>25</v>
      </c>
      <c r="F876">
        <v>7</v>
      </c>
      <c r="G876" t="b">
        <v>0</v>
      </c>
      <c r="H876" t="s">
        <v>15</v>
      </c>
      <c r="I876">
        <v>1</v>
      </c>
      <c r="J876">
        <v>0.06</v>
      </c>
      <c r="K876">
        <v>0.1061</v>
      </c>
      <c r="L876">
        <v>0.49</v>
      </c>
      <c r="M876">
        <v>0.1045</v>
      </c>
      <c r="N876">
        <v>4</v>
      </c>
      <c r="O876">
        <v>95</v>
      </c>
      <c r="P876">
        <v>99</v>
      </c>
      <c r="S876" t="str">
        <f>IF(Dataset_A[[#This Row],[Hr]]&gt;=19,"Evening Time",IF(Dataset_A[[#This Row],[Hr]]&gt;=9,"Day Time",IF(Dataset_A[[#This Row],[Hr]]&gt;=0,"Night Time","")))</f>
        <v>Night Time</v>
      </c>
    </row>
    <row r="877" spans="1:19" x14ac:dyDescent="0.2">
      <c r="A877">
        <v>876</v>
      </c>
      <c r="B877" s="3">
        <v>40583</v>
      </c>
      <c r="C877">
        <v>1</v>
      </c>
      <c r="D877">
        <v>2011</v>
      </c>
      <c r="E877" t="s">
        <v>25</v>
      </c>
      <c r="F877">
        <v>8</v>
      </c>
      <c r="G877" t="b">
        <v>0</v>
      </c>
      <c r="H877" t="s">
        <v>15</v>
      </c>
      <c r="I877">
        <v>1</v>
      </c>
      <c r="J877">
        <v>0.1</v>
      </c>
      <c r="K877">
        <v>0.13639999999999999</v>
      </c>
      <c r="L877">
        <v>0.42</v>
      </c>
      <c r="M877">
        <v>0</v>
      </c>
      <c r="N877">
        <v>1</v>
      </c>
      <c r="O877">
        <v>198</v>
      </c>
      <c r="P877">
        <v>199</v>
      </c>
      <c r="S877" t="str">
        <f>IF(Dataset_A[[#This Row],[Hr]]&gt;=19,"Evening Time",IF(Dataset_A[[#This Row],[Hr]]&gt;=9,"Day Time",IF(Dataset_A[[#This Row],[Hr]]&gt;=0,"Night Time","")))</f>
        <v>Night Time</v>
      </c>
    </row>
    <row r="878" spans="1:19" x14ac:dyDescent="0.2">
      <c r="A878">
        <v>877</v>
      </c>
      <c r="B878" s="3">
        <v>40583</v>
      </c>
      <c r="C878">
        <v>1</v>
      </c>
      <c r="D878">
        <v>2011</v>
      </c>
      <c r="E878" t="s">
        <v>25</v>
      </c>
      <c r="F878">
        <v>9</v>
      </c>
      <c r="G878" t="b">
        <v>0</v>
      </c>
      <c r="H878" t="s">
        <v>15</v>
      </c>
      <c r="I878">
        <v>1</v>
      </c>
      <c r="J878">
        <v>0.12</v>
      </c>
      <c r="K878">
        <v>0.13639999999999999</v>
      </c>
      <c r="L878">
        <v>0.39</v>
      </c>
      <c r="M878">
        <v>0.16420000000000001</v>
      </c>
      <c r="N878">
        <v>4</v>
      </c>
      <c r="O878">
        <v>119</v>
      </c>
      <c r="P878">
        <v>123</v>
      </c>
      <c r="S878" t="str">
        <f>IF(Dataset_A[[#This Row],[Hr]]&gt;=19,"Evening Time",IF(Dataset_A[[#This Row],[Hr]]&gt;=9,"Day Time",IF(Dataset_A[[#This Row],[Hr]]&gt;=0,"Night Time","")))</f>
        <v>Day Time</v>
      </c>
    </row>
    <row r="879" spans="1:19" x14ac:dyDescent="0.2">
      <c r="A879">
        <v>878</v>
      </c>
      <c r="B879" s="3">
        <v>40583</v>
      </c>
      <c r="C879">
        <v>1</v>
      </c>
      <c r="D879">
        <v>2011</v>
      </c>
      <c r="E879" t="s">
        <v>25</v>
      </c>
      <c r="F879">
        <v>10</v>
      </c>
      <c r="G879" t="b">
        <v>0</v>
      </c>
      <c r="H879" t="s">
        <v>15</v>
      </c>
      <c r="I879">
        <v>1</v>
      </c>
      <c r="J879">
        <v>0.14000000000000001</v>
      </c>
      <c r="K879">
        <v>0.18179999999999999</v>
      </c>
      <c r="L879">
        <v>0.36</v>
      </c>
      <c r="M879">
        <v>0</v>
      </c>
      <c r="N879">
        <v>8</v>
      </c>
      <c r="O879">
        <v>51</v>
      </c>
      <c r="P879">
        <v>59</v>
      </c>
      <c r="S879" t="str">
        <f>IF(Dataset_A[[#This Row],[Hr]]&gt;=19,"Evening Time",IF(Dataset_A[[#This Row],[Hr]]&gt;=9,"Day Time",IF(Dataset_A[[#This Row],[Hr]]&gt;=0,"Night Time","")))</f>
        <v>Day Time</v>
      </c>
    </row>
    <row r="880" spans="1:19" x14ac:dyDescent="0.2">
      <c r="A880">
        <v>879</v>
      </c>
      <c r="B880" s="3">
        <v>40583</v>
      </c>
      <c r="C880">
        <v>1</v>
      </c>
      <c r="D880">
        <v>2011</v>
      </c>
      <c r="E880" t="s">
        <v>25</v>
      </c>
      <c r="F880">
        <v>11</v>
      </c>
      <c r="G880" t="b">
        <v>0</v>
      </c>
      <c r="H880" t="s">
        <v>15</v>
      </c>
      <c r="I880">
        <v>2</v>
      </c>
      <c r="J880">
        <v>0.14000000000000001</v>
      </c>
      <c r="K880">
        <v>0.1515</v>
      </c>
      <c r="L880">
        <v>0.43</v>
      </c>
      <c r="M880">
        <v>0.16420000000000001</v>
      </c>
      <c r="N880">
        <v>1</v>
      </c>
      <c r="O880">
        <v>40</v>
      </c>
      <c r="P880">
        <v>41</v>
      </c>
      <c r="S880" t="str">
        <f>IF(Dataset_A[[#This Row],[Hr]]&gt;=19,"Evening Time",IF(Dataset_A[[#This Row],[Hr]]&gt;=9,"Day Time",IF(Dataset_A[[#This Row],[Hr]]&gt;=0,"Night Time","")))</f>
        <v>Day Time</v>
      </c>
    </row>
    <row r="881" spans="1:19" x14ac:dyDescent="0.2">
      <c r="A881">
        <v>880</v>
      </c>
      <c r="B881" s="3">
        <v>40583</v>
      </c>
      <c r="C881">
        <v>1</v>
      </c>
      <c r="D881">
        <v>2011</v>
      </c>
      <c r="E881" t="s">
        <v>25</v>
      </c>
      <c r="F881">
        <v>12</v>
      </c>
      <c r="G881" t="b">
        <v>0</v>
      </c>
      <c r="H881" t="s">
        <v>15</v>
      </c>
      <c r="I881">
        <v>2</v>
      </c>
      <c r="J881">
        <v>0.18</v>
      </c>
      <c r="K881">
        <v>0.18179999999999999</v>
      </c>
      <c r="L881">
        <v>0.4</v>
      </c>
      <c r="M881">
        <v>0.22389999999999999</v>
      </c>
      <c r="N881">
        <v>4</v>
      </c>
      <c r="O881">
        <v>57</v>
      </c>
      <c r="P881">
        <v>61</v>
      </c>
      <c r="S881" t="str">
        <f>IF(Dataset_A[[#This Row],[Hr]]&gt;=19,"Evening Time",IF(Dataset_A[[#This Row],[Hr]]&gt;=9,"Day Time",IF(Dataset_A[[#This Row],[Hr]]&gt;=0,"Night Time","")))</f>
        <v>Day Time</v>
      </c>
    </row>
    <row r="882" spans="1:19" x14ac:dyDescent="0.2">
      <c r="A882">
        <v>881</v>
      </c>
      <c r="B882" s="3">
        <v>40583</v>
      </c>
      <c r="C882">
        <v>1</v>
      </c>
      <c r="D882">
        <v>2011</v>
      </c>
      <c r="E882" t="s">
        <v>25</v>
      </c>
      <c r="F882">
        <v>13</v>
      </c>
      <c r="G882" t="b">
        <v>0</v>
      </c>
      <c r="H882" t="s">
        <v>15</v>
      </c>
      <c r="I882">
        <v>1</v>
      </c>
      <c r="J882">
        <v>0.18</v>
      </c>
      <c r="K882">
        <v>0.16669999999999999</v>
      </c>
      <c r="L882">
        <v>0.4</v>
      </c>
      <c r="M882">
        <v>0.25369999999999998</v>
      </c>
      <c r="N882">
        <v>2</v>
      </c>
      <c r="O882">
        <v>67</v>
      </c>
      <c r="P882">
        <v>69</v>
      </c>
      <c r="S882" t="str">
        <f>IF(Dataset_A[[#This Row],[Hr]]&gt;=19,"Evening Time",IF(Dataset_A[[#This Row],[Hr]]&gt;=9,"Day Time",IF(Dataset_A[[#This Row],[Hr]]&gt;=0,"Night Time","")))</f>
        <v>Day Time</v>
      </c>
    </row>
    <row r="883" spans="1:19" x14ac:dyDescent="0.2">
      <c r="A883">
        <v>882</v>
      </c>
      <c r="B883" s="3">
        <v>40583</v>
      </c>
      <c r="C883">
        <v>1</v>
      </c>
      <c r="D883">
        <v>2011</v>
      </c>
      <c r="E883" t="s">
        <v>25</v>
      </c>
      <c r="F883">
        <v>14</v>
      </c>
      <c r="G883" t="b">
        <v>0</v>
      </c>
      <c r="H883" t="s">
        <v>15</v>
      </c>
      <c r="I883">
        <v>1</v>
      </c>
      <c r="J883">
        <v>0.2</v>
      </c>
      <c r="K883">
        <v>0.18179999999999999</v>
      </c>
      <c r="L883">
        <v>0.34</v>
      </c>
      <c r="M883">
        <v>0.29849999999999999</v>
      </c>
      <c r="N883">
        <v>2</v>
      </c>
      <c r="O883">
        <v>56</v>
      </c>
      <c r="P883">
        <v>58</v>
      </c>
      <c r="S883" t="str">
        <f>IF(Dataset_A[[#This Row],[Hr]]&gt;=19,"Evening Time",IF(Dataset_A[[#This Row],[Hr]]&gt;=9,"Day Time",IF(Dataset_A[[#This Row],[Hr]]&gt;=0,"Night Time","")))</f>
        <v>Day Time</v>
      </c>
    </row>
    <row r="884" spans="1:19" x14ac:dyDescent="0.2">
      <c r="A884">
        <v>883</v>
      </c>
      <c r="B884" s="3">
        <v>40583</v>
      </c>
      <c r="C884">
        <v>1</v>
      </c>
      <c r="D884">
        <v>2011</v>
      </c>
      <c r="E884" t="s">
        <v>25</v>
      </c>
      <c r="F884">
        <v>15</v>
      </c>
      <c r="G884" t="b">
        <v>0</v>
      </c>
      <c r="H884" t="s">
        <v>15</v>
      </c>
      <c r="I884">
        <v>2</v>
      </c>
      <c r="J884">
        <v>0.2</v>
      </c>
      <c r="K884">
        <v>0.18179999999999999</v>
      </c>
      <c r="L884">
        <v>0.34</v>
      </c>
      <c r="M884">
        <v>0.28360000000000002</v>
      </c>
      <c r="N884">
        <v>3</v>
      </c>
      <c r="O884">
        <v>61</v>
      </c>
      <c r="P884">
        <v>64</v>
      </c>
      <c r="S884" t="str">
        <f>IF(Dataset_A[[#This Row],[Hr]]&gt;=19,"Evening Time",IF(Dataset_A[[#This Row],[Hr]]&gt;=9,"Day Time",IF(Dataset_A[[#This Row],[Hr]]&gt;=0,"Night Time","")))</f>
        <v>Day Time</v>
      </c>
    </row>
    <row r="885" spans="1:19" x14ac:dyDescent="0.2">
      <c r="A885">
        <v>884</v>
      </c>
      <c r="B885" s="3">
        <v>40583</v>
      </c>
      <c r="C885">
        <v>1</v>
      </c>
      <c r="D885">
        <v>2011</v>
      </c>
      <c r="E885" t="s">
        <v>25</v>
      </c>
      <c r="F885">
        <v>16</v>
      </c>
      <c r="G885" t="b">
        <v>0</v>
      </c>
      <c r="H885" t="s">
        <v>15</v>
      </c>
      <c r="I885">
        <v>2</v>
      </c>
      <c r="J885">
        <v>0.2</v>
      </c>
      <c r="K885">
        <v>0.19700000000000001</v>
      </c>
      <c r="L885">
        <v>0.37</v>
      </c>
      <c r="M885">
        <v>0.25369999999999998</v>
      </c>
      <c r="N885">
        <v>7</v>
      </c>
      <c r="O885">
        <v>72</v>
      </c>
      <c r="P885">
        <v>79</v>
      </c>
      <c r="S885" t="str">
        <f>IF(Dataset_A[[#This Row],[Hr]]&gt;=19,"Evening Time",IF(Dataset_A[[#This Row],[Hr]]&gt;=9,"Day Time",IF(Dataset_A[[#This Row],[Hr]]&gt;=0,"Night Time","")))</f>
        <v>Day Time</v>
      </c>
    </row>
    <row r="886" spans="1:19" x14ac:dyDescent="0.2">
      <c r="A886">
        <v>885</v>
      </c>
      <c r="B886" s="3">
        <v>40583</v>
      </c>
      <c r="C886">
        <v>1</v>
      </c>
      <c r="D886">
        <v>2011</v>
      </c>
      <c r="E886" t="s">
        <v>25</v>
      </c>
      <c r="F886">
        <v>17</v>
      </c>
      <c r="G886" t="b">
        <v>0</v>
      </c>
      <c r="H886" t="s">
        <v>15</v>
      </c>
      <c r="I886">
        <v>2</v>
      </c>
      <c r="J886">
        <v>0.2</v>
      </c>
      <c r="K886">
        <v>0.19700000000000001</v>
      </c>
      <c r="L886">
        <v>0.34</v>
      </c>
      <c r="M886">
        <v>0.25369999999999998</v>
      </c>
      <c r="N886">
        <v>9</v>
      </c>
      <c r="O886">
        <v>157</v>
      </c>
      <c r="P886">
        <v>166</v>
      </c>
      <c r="S886" t="str">
        <f>IF(Dataset_A[[#This Row],[Hr]]&gt;=19,"Evening Time",IF(Dataset_A[[#This Row],[Hr]]&gt;=9,"Day Time",IF(Dataset_A[[#This Row],[Hr]]&gt;=0,"Night Time","")))</f>
        <v>Day Time</v>
      </c>
    </row>
    <row r="887" spans="1:19" x14ac:dyDescent="0.2">
      <c r="A887">
        <v>886</v>
      </c>
      <c r="B887" s="3">
        <v>40583</v>
      </c>
      <c r="C887">
        <v>1</v>
      </c>
      <c r="D887">
        <v>2011</v>
      </c>
      <c r="E887" t="s">
        <v>25</v>
      </c>
      <c r="F887">
        <v>18</v>
      </c>
      <c r="G887" t="b">
        <v>0</v>
      </c>
      <c r="H887" t="s">
        <v>15</v>
      </c>
      <c r="I887">
        <v>2</v>
      </c>
      <c r="J887">
        <v>0.18</v>
      </c>
      <c r="K887">
        <v>0.16669999999999999</v>
      </c>
      <c r="L887">
        <v>0.47</v>
      </c>
      <c r="M887">
        <v>0.29849999999999999</v>
      </c>
      <c r="N887">
        <v>2</v>
      </c>
      <c r="O887">
        <v>168</v>
      </c>
      <c r="P887">
        <v>170</v>
      </c>
      <c r="S887" t="str">
        <f>IF(Dataset_A[[#This Row],[Hr]]&gt;=19,"Evening Time",IF(Dataset_A[[#This Row],[Hr]]&gt;=9,"Day Time",IF(Dataset_A[[#This Row],[Hr]]&gt;=0,"Night Time","")))</f>
        <v>Day Time</v>
      </c>
    </row>
    <row r="888" spans="1:19" x14ac:dyDescent="0.2">
      <c r="A888">
        <v>887</v>
      </c>
      <c r="B888" s="3">
        <v>40583</v>
      </c>
      <c r="C888">
        <v>1</v>
      </c>
      <c r="D888">
        <v>2011</v>
      </c>
      <c r="E888" t="s">
        <v>25</v>
      </c>
      <c r="F888">
        <v>19</v>
      </c>
      <c r="G888" t="b">
        <v>0</v>
      </c>
      <c r="H888" t="s">
        <v>15</v>
      </c>
      <c r="I888">
        <v>3</v>
      </c>
      <c r="J888">
        <v>0.14000000000000001</v>
      </c>
      <c r="K888">
        <v>0.1212</v>
      </c>
      <c r="L888">
        <v>0.86</v>
      </c>
      <c r="M888">
        <v>0.25369999999999998</v>
      </c>
      <c r="N888">
        <v>1</v>
      </c>
      <c r="O888">
        <v>87</v>
      </c>
      <c r="P888">
        <v>88</v>
      </c>
      <c r="S888" t="str">
        <f>IF(Dataset_A[[#This Row],[Hr]]&gt;=19,"Evening Time",IF(Dataset_A[[#This Row],[Hr]]&gt;=9,"Day Time",IF(Dataset_A[[#This Row],[Hr]]&gt;=0,"Night Time","")))</f>
        <v>Evening Time</v>
      </c>
    </row>
    <row r="889" spans="1:19" x14ac:dyDescent="0.2">
      <c r="A889">
        <v>888</v>
      </c>
      <c r="B889" s="3">
        <v>40583</v>
      </c>
      <c r="C889">
        <v>1</v>
      </c>
      <c r="D889">
        <v>2011</v>
      </c>
      <c r="E889" t="s">
        <v>25</v>
      </c>
      <c r="F889">
        <v>20</v>
      </c>
      <c r="G889" t="b">
        <v>0</v>
      </c>
      <c r="H889" t="s">
        <v>15</v>
      </c>
      <c r="I889">
        <v>3</v>
      </c>
      <c r="J889">
        <v>0.14000000000000001</v>
      </c>
      <c r="K889">
        <v>0.1515</v>
      </c>
      <c r="L889">
        <v>0.86</v>
      </c>
      <c r="M889">
        <v>0.16420000000000001</v>
      </c>
      <c r="N889">
        <v>0</v>
      </c>
      <c r="O889">
        <v>84</v>
      </c>
      <c r="P889">
        <v>84</v>
      </c>
      <c r="S889" t="str">
        <f>IF(Dataset_A[[#This Row],[Hr]]&gt;=19,"Evening Time",IF(Dataset_A[[#This Row],[Hr]]&gt;=9,"Day Time",IF(Dataset_A[[#This Row],[Hr]]&gt;=0,"Night Time","")))</f>
        <v>Evening Time</v>
      </c>
    </row>
    <row r="890" spans="1:19" x14ac:dyDescent="0.2">
      <c r="A890">
        <v>889</v>
      </c>
      <c r="B890" s="3">
        <v>40583</v>
      </c>
      <c r="C890">
        <v>1</v>
      </c>
      <c r="D890">
        <v>2011</v>
      </c>
      <c r="E890" t="s">
        <v>25</v>
      </c>
      <c r="F890">
        <v>21</v>
      </c>
      <c r="G890" t="b">
        <v>0</v>
      </c>
      <c r="H890" t="s">
        <v>15</v>
      </c>
      <c r="I890">
        <v>2</v>
      </c>
      <c r="J890">
        <v>0.14000000000000001</v>
      </c>
      <c r="K890">
        <v>0.1515</v>
      </c>
      <c r="L890">
        <v>0.86</v>
      </c>
      <c r="M890">
        <v>0.16420000000000001</v>
      </c>
      <c r="N890">
        <v>0</v>
      </c>
      <c r="O890">
        <v>83</v>
      </c>
      <c r="P890">
        <v>83</v>
      </c>
      <c r="S890" t="str">
        <f>IF(Dataset_A[[#This Row],[Hr]]&gt;=19,"Evening Time",IF(Dataset_A[[#This Row],[Hr]]&gt;=9,"Day Time",IF(Dataset_A[[#This Row],[Hr]]&gt;=0,"Night Time","")))</f>
        <v>Evening Time</v>
      </c>
    </row>
    <row r="891" spans="1:19" x14ac:dyDescent="0.2">
      <c r="A891">
        <v>890</v>
      </c>
      <c r="B891" s="3">
        <v>40583</v>
      </c>
      <c r="C891">
        <v>1</v>
      </c>
      <c r="D891">
        <v>2011</v>
      </c>
      <c r="E891" t="s">
        <v>25</v>
      </c>
      <c r="F891">
        <v>22</v>
      </c>
      <c r="G891" t="b">
        <v>0</v>
      </c>
      <c r="H891" t="s">
        <v>15</v>
      </c>
      <c r="I891">
        <v>3</v>
      </c>
      <c r="J891">
        <v>0.16</v>
      </c>
      <c r="K891">
        <v>0.16669999999999999</v>
      </c>
      <c r="L891">
        <v>0.8</v>
      </c>
      <c r="M891">
        <v>0.16420000000000001</v>
      </c>
      <c r="N891">
        <v>4</v>
      </c>
      <c r="O891">
        <v>42</v>
      </c>
      <c r="P891">
        <v>46</v>
      </c>
      <c r="S891" t="str">
        <f>IF(Dataset_A[[#This Row],[Hr]]&gt;=19,"Evening Time",IF(Dataset_A[[#This Row],[Hr]]&gt;=9,"Day Time",IF(Dataset_A[[#This Row],[Hr]]&gt;=0,"Night Time","")))</f>
        <v>Evening Time</v>
      </c>
    </row>
    <row r="892" spans="1:19" x14ac:dyDescent="0.2">
      <c r="A892">
        <v>891</v>
      </c>
      <c r="B892" s="3">
        <v>40583</v>
      </c>
      <c r="C892">
        <v>1</v>
      </c>
      <c r="D892">
        <v>2011</v>
      </c>
      <c r="E892" t="s">
        <v>25</v>
      </c>
      <c r="F892">
        <v>23</v>
      </c>
      <c r="G892" t="b">
        <v>0</v>
      </c>
      <c r="H892" t="s">
        <v>15</v>
      </c>
      <c r="I892">
        <v>3</v>
      </c>
      <c r="J892">
        <v>0.16</v>
      </c>
      <c r="K892">
        <v>0.1515</v>
      </c>
      <c r="L892">
        <v>0.8</v>
      </c>
      <c r="M892">
        <v>0.19400000000000001</v>
      </c>
      <c r="N892">
        <v>0</v>
      </c>
      <c r="O892">
        <v>37</v>
      </c>
      <c r="P892">
        <v>37</v>
      </c>
      <c r="S892" t="str">
        <f>IF(Dataset_A[[#This Row],[Hr]]&gt;=19,"Evening Time",IF(Dataset_A[[#This Row],[Hr]]&gt;=9,"Day Time",IF(Dataset_A[[#This Row],[Hr]]&gt;=0,"Night Time","")))</f>
        <v>Evening Time</v>
      </c>
    </row>
    <row r="893" spans="1:19" x14ac:dyDescent="0.2">
      <c r="A893">
        <v>892</v>
      </c>
      <c r="B893" s="3">
        <v>40584</v>
      </c>
      <c r="C893">
        <v>1</v>
      </c>
      <c r="D893">
        <v>2011</v>
      </c>
      <c r="E893" t="s">
        <v>25</v>
      </c>
      <c r="F893">
        <v>0</v>
      </c>
      <c r="G893" t="b">
        <v>0</v>
      </c>
      <c r="H893" t="s">
        <v>16</v>
      </c>
      <c r="I893">
        <v>3</v>
      </c>
      <c r="J893">
        <v>0.14000000000000001</v>
      </c>
      <c r="K893">
        <v>0.13639999999999999</v>
      </c>
      <c r="L893">
        <v>0.86</v>
      </c>
      <c r="M893">
        <v>0.19400000000000001</v>
      </c>
      <c r="N893">
        <v>0</v>
      </c>
      <c r="O893">
        <v>16</v>
      </c>
      <c r="P893">
        <v>16</v>
      </c>
      <c r="S893" t="str">
        <f>IF(Dataset_A[[#This Row],[Hr]]&gt;=19,"Evening Time",IF(Dataset_A[[#This Row],[Hr]]&gt;=9,"Day Time",IF(Dataset_A[[#This Row],[Hr]]&gt;=0,"Night Time","")))</f>
        <v>Night Time</v>
      </c>
    </row>
    <row r="894" spans="1:19" x14ac:dyDescent="0.2">
      <c r="A894">
        <v>893</v>
      </c>
      <c r="B894" s="3">
        <v>40584</v>
      </c>
      <c r="C894">
        <v>1</v>
      </c>
      <c r="D894">
        <v>2011</v>
      </c>
      <c r="E894" t="s">
        <v>25</v>
      </c>
      <c r="F894">
        <v>1</v>
      </c>
      <c r="G894" t="b">
        <v>0</v>
      </c>
      <c r="H894" t="s">
        <v>16</v>
      </c>
      <c r="I894">
        <v>3</v>
      </c>
      <c r="J894">
        <v>0.14000000000000001</v>
      </c>
      <c r="K894">
        <v>0.1515</v>
      </c>
      <c r="L894">
        <v>0.8</v>
      </c>
      <c r="M894">
        <v>0.1343</v>
      </c>
      <c r="N894">
        <v>0</v>
      </c>
      <c r="O894">
        <v>7</v>
      </c>
      <c r="P894">
        <v>7</v>
      </c>
      <c r="S894" t="str">
        <f>IF(Dataset_A[[#This Row],[Hr]]&gt;=19,"Evening Time",IF(Dataset_A[[#This Row],[Hr]]&gt;=9,"Day Time",IF(Dataset_A[[#This Row],[Hr]]&gt;=0,"Night Time","")))</f>
        <v>Night Time</v>
      </c>
    </row>
    <row r="895" spans="1:19" x14ac:dyDescent="0.2">
      <c r="A895">
        <v>894</v>
      </c>
      <c r="B895" s="3">
        <v>40584</v>
      </c>
      <c r="C895">
        <v>1</v>
      </c>
      <c r="D895">
        <v>2011</v>
      </c>
      <c r="E895" t="s">
        <v>25</v>
      </c>
      <c r="F895">
        <v>2</v>
      </c>
      <c r="G895" t="b">
        <v>0</v>
      </c>
      <c r="H895" t="s">
        <v>16</v>
      </c>
      <c r="I895">
        <v>3</v>
      </c>
      <c r="J895">
        <v>0.14000000000000001</v>
      </c>
      <c r="K895">
        <v>0.1515</v>
      </c>
      <c r="L895">
        <v>0.8</v>
      </c>
      <c r="M895">
        <v>0.1343</v>
      </c>
      <c r="N895">
        <v>0</v>
      </c>
      <c r="O895">
        <v>3</v>
      </c>
      <c r="P895">
        <v>3</v>
      </c>
      <c r="S895" t="str">
        <f>IF(Dataset_A[[#This Row],[Hr]]&gt;=19,"Evening Time",IF(Dataset_A[[#This Row],[Hr]]&gt;=9,"Day Time",IF(Dataset_A[[#This Row],[Hr]]&gt;=0,"Night Time","")))</f>
        <v>Night Time</v>
      </c>
    </row>
    <row r="896" spans="1:19" x14ac:dyDescent="0.2">
      <c r="A896">
        <v>895</v>
      </c>
      <c r="B896" s="3">
        <v>40584</v>
      </c>
      <c r="C896">
        <v>1</v>
      </c>
      <c r="D896">
        <v>2011</v>
      </c>
      <c r="E896" t="s">
        <v>25</v>
      </c>
      <c r="F896">
        <v>4</v>
      </c>
      <c r="G896" t="b">
        <v>0</v>
      </c>
      <c r="H896" t="s">
        <v>16</v>
      </c>
      <c r="I896">
        <v>2</v>
      </c>
      <c r="J896">
        <v>0.14000000000000001</v>
      </c>
      <c r="K896">
        <v>0.13639999999999999</v>
      </c>
      <c r="L896">
        <v>0.59</v>
      </c>
      <c r="M896">
        <v>0.22389999999999999</v>
      </c>
      <c r="N896">
        <v>0</v>
      </c>
      <c r="O896">
        <v>1</v>
      </c>
      <c r="P896">
        <v>1</v>
      </c>
      <c r="S896" t="str">
        <f>IF(Dataset_A[[#This Row],[Hr]]&gt;=19,"Evening Time",IF(Dataset_A[[#This Row],[Hr]]&gt;=9,"Day Time",IF(Dataset_A[[#This Row],[Hr]]&gt;=0,"Night Time","")))</f>
        <v>Night Time</v>
      </c>
    </row>
    <row r="897" spans="1:19" x14ac:dyDescent="0.2">
      <c r="A897">
        <v>896</v>
      </c>
      <c r="B897" s="3">
        <v>40584</v>
      </c>
      <c r="C897">
        <v>1</v>
      </c>
      <c r="D897">
        <v>2011</v>
      </c>
      <c r="E897" t="s">
        <v>25</v>
      </c>
      <c r="F897">
        <v>5</v>
      </c>
      <c r="G897" t="b">
        <v>0</v>
      </c>
      <c r="H897" t="s">
        <v>16</v>
      </c>
      <c r="I897">
        <v>2</v>
      </c>
      <c r="J897">
        <v>0.12</v>
      </c>
      <c r="K897">
        <v>0.1212</v>
      </c>
      <c r="L897">
        <v>0.5</v>
      </c>
      <c r="M897">
        <v>0.22389999999999999</v>
      </c>
      <c r="N897">
        <v>0</v>
      </c>
      <c r="O897">
        <v>6</v>
      </c>
      <c r="P897">
        <v>6</v>
      </c>
      <c r="S897" t="str">
        <f>IF(Dataset_A[[#This Row],[Hr]]&gt;=19,"Evening Time",IF(Dataset_A[[#This Row],[Hr]]&gt;=9,"Day Time",IF(Dataset_A[[#This Row],[Hr]]&gt;=0,"Night Time","")))</f>
        <v>Night Time</v>
      </c>
    </row>
    <row r="898" spans="1:19" x14ac:dyDescent="0.2">
      <c r="A898">
        <v>897</v>
      </c>
      <c r="B898" s="3">
        <v>40584</v>
      </c>
      <c r="C898">
        <v>1</v>
      </c>
      <c r="D898">
        <v>2011</v>
      </c>
      <c r="E898" t="s">
        <v>25</v>
      </c>
      <c r="F898">
        <v>6</v>
      </c>
      <c r="G898" t="b">
        <v>0</v>
      </c>
      <c r="H898" t="s">
        <v>16</v>
      </c>
      <c r="I898">
        <v>2</v>
      </c>
      <c r="J898">
        <v>0.12</v>
      </c>
      <c r="K898">
        <v>0.1212</v>
      </c>
      <c r="L898">
        <v>0.54</v>
      </c>
      <c r="M898">
        <v>0.28360000000000002</v>
      </c>
      <c r="N898">
        <v>0</v>
      </c>
      <c r="O898">
        <v>26</v>
      </c>
      <c r="P898">
        <v>26</v>
      </c>
      <c r="S898" t="str">
        <f>IF(Dataset_A[[#This Row],[Hr]]&gt;=19,"Evening Time",IF(Dataset_A[[#This Row],[Hr]]&gt;=9,"Day Time",IF(Dataset_A[[#This Row],[Hr]]&gt;=0,"Night Time","")))</f>
        <v>Night Time</v>
      </c>
    </row>
    <row r="899" spans="1:19" x14ac:dyDescent="0.2">
      <c r="A899">
        <v>898</v>
      </c>
      <c r="B899" s="3">
        <v>40584</v>
      </c>
      <c r="C899">
        <v>1</v>
      </c>
      <c r="D899">
        <v>2011</v>
      </c>
      <c r="E899" t="s">
        <v>25</v>
      </c>
      <c r="F899">
        <v>7</v>
      </c>
      <c r="G899" t="b">
        <v>0</v>
      </c>
      <c r="H899" t="s">
        <v>16</v>
      </c>
      <c r="I899">
        <v>1</v>
      </c>
      <c r="J899">
        <v>0.1</v>
      </c>
      <c r="K899">
        <v>7.5800000000000006E-2</v>
      </c>
      <c r="L899">
        <v>0.5</v>
      </c>
      <c r="M899">
        <v>0.41789999999999999</v>
      </c>
      <c r="N899">
        <v>0</v>
      </c>
      <c r="O899">
        <v>99</v>
      </c>
      <c r="P899">
        <v>99</v>
      </c>
      <c r="S899" t="str">
        <f>IF(Dataset_A[[#This Row],[Hr]]&gt;=19,"Evening Time",IF(Dataset_A[[#This Row],[Hr]]&gt;=9,"Day Time",IF(Dataset_A[[#This Row],[Hr]]&gt;=0,"Night Time","")))</f>
        <v>Night Time</v>
      </c>
    </row>
    <row r="900" spans="1:19" x14ac:dyDescent="0.2">
      <c r="A900">
        <v>899</v>
      </c>
      <c r="B900" s="3">
        <v>40584</v>
      </c>
      <c r="C900">
        <v>1</v>
      </c>
      <c r="D900">
        <v>2011</v>
      </c>
      <c r="E900" t="s">
        <v>25</v>
      </c>
      <c r="F900">
        <v>8</v>
      </c>
      <c r="G900" t="b">
        <v>0</v>
      </c>
      <c r="H900" t="s">
        <v>16</v>
      </c>
      <c r="I900">
        <v>1</v>
      </c>
      <c r="J900">
        <v>0.1</v>
      </c>
      <c r="K900">
        <v>7.5800000000000006E-2</v>
      </c>
      <c r="L900">
        <v>0.49</v>
      </c>
      <c r="M900">
        <v>0.32840000000000003</v>
      </c>
      <c r="N900">
        <v>5</v>
      </c>
      <c r="O900">
        <v>173</v>
      </c>
      <c r="P900">
        <v>178</v>
      </c>
      <c r="S900" t="str">
        <f>IF(Dataset_A[[#This Row],[Hr]]&gt;=19,"Evening Time",IF(Dataset_A[[#This Row],[Hr]]&gt;=9,"Day Time",IF(Dataset_A[[#This Row],[Hr]]&gt;=0,"Night Time","")))</f>
        <v>Night Time</v>
      </c>
    </row>
    <row r="901" spans="1:19" x14ac:dyDescent="0.2">
      <c r="A901">
        <v>900</v>
      </c>
      <c r="B901" s="3">
        <v>40584</v>
      </c>
      <c r="C901">
        <v>1</v>
      </c>
      <c r="D901">
        <v>2011</v>
      </c>
      <c r="E901" t="s">
        <v>25</v>
      </c>
      <c r="F901">
        <v>9</v>
      </c>
      <c r="G901" t="b">
        <v>0</v>
      </c>
      <c r="H901" t="s">
        <v>16</v>
      </c>
      <c r="I901">
        <v>1</v>
      </c>
      <c r="J901">
        <v>0.12</v>
      </c>
      <c r="K901">
        <v>0.1061</v>
      </c>
      <c r="L901">
        <v>0.42</v>
      </c>
      <c r="M901">
        <v>0.35820000000000002</v>
      </c>
      <c r="N901">
        <v>1</v>
      </c>
      <c r="O901">
        <v>121</v>
      </c>
      <c r="P901">
        <v>122</v>
      </c>
      <c r="S901" t="str">
        <f>IF(Dataset_A[[#This Row],[Hr]]&gt;=19,"Evening Time",IF(Dataset_A[[#This Row],[Hr]]&gt;=9,"Day Time",IF(Dataset_A[[#This Row],[Hr]]&gt;=0,"Night Time","")))</f>
        <v>Day Time</v>
      </c>
    </row>
    <row r="902" spans="1:19" x14ac:dyDescent="0.2">
      <c r="A902">
        <v>901</v>
      </c>
      <c r="B902" s="3">
        <v>40584</v>
      </c>
      <c r="C902">
        <v>1</v>
      </c>
      <c r="D902">
        <v>2011</v>
      </c>
      <c r="E902" t="s">
        <v>25</v>
      </c>
      <c r="F902">
        <v>10</v>
      </c>
      <c r="G902" t="b">
        <v>0</v>
      </c>
      <c r="H902" t="s">
        <v>16</v>
      </c>
      <c r="I902">
        <v>1</v>
      </c>
      <c r="J902">
        <v>0.12</v>
      </c>
      <c r="K902">
        <v>0.1061</v>
      </c>
      <c r="L902">
        <v>0.42</v>
      </c>
      <c r="M902">
        <v>0.29849999999999999</v>
      </c>
      <c r="N902">
        <v>1</v>
      </c>
      <c r="O902">
        <v>34</v>
      </c>
      <c r="P902">
        <v>35</v>
      </c>
      <c r="S902" t="str">
        <f>IF(Dataset_A[[#This Row],[Hr]]&gt;=19,"Evening Time",IF(Dataset_A[[#This Row],[Hr]]&gt;=9,"Day Time",IF(Dataset_A[[#This Row],[Hr]]&gt;=0,"Night Time","")))</f>
        <v>Day Time</v>
      </c>
    </row>
    <row r="903" spans="1:19" x14ac:dyDescent="0.2">
      <c r="A903">
        <v>902</v>
      </c>
      <c r="B903" s="3">
        <v>40584</v>
      </c>
      <c r="C903">
        <v>1</v>
      </c>
      <c r="D903">
        <v>2011</v>
      </c>
      <c r="E903" t="s">
        <v>25</v>
      </c>
      <c r="F903">
        <v>11</v>
      </c>
      <c r="G903" t="b">
        <v>0</v>
      </c>
      <c r="H903" t="s">
        <v>16</v>
      </c>
      <c r="I903">
        <v>1</v>
      </c>
      <c r="J903">
        <v>0.14000000000000001</v>
      </c>
      <c r="K903">
        <v>0.1212</v>
      </c>
      <c r="L903">
        <v>0.39</v>
      </c>
      <c r="M903">
        <v>0.35820000000000002</v>
      </c>
      <c r="N903">
        <v>1</v>
      </c>
      <c r="O903">
        <v>44</v>
      </c>
      <c r="P903">
        <v>45</v>
      </c>
      <c r="S903" t="str">
        <f>IF(Dataset_A[[#This Row],[Hr]]&gt;=19,"Evening Time",IF(Dataset_A[[#This Row],[Hr]]&gt;=9,"Day Time",IF(Dataset_A[[#This Row],[Hr]]&gt;=0,"Night Time","")))</f>
        <v>Day Time</v>
      </c>
    </row>
    <row r="904" spans="1:19" x14ac:dyDescent="0.2">
      <c r="A904">
        <v>903</v>
      </c>
      <c r="B904" s="3">
        <v>40584</v>
      </c>
      <c r="C904">
        <v>1</v>
      </c>
      <c r="D904">
        <v>2011</v>
      </c>
      <c r="E904" t="s">
        <v>25</v>
      </c>
      <c r="F904">
        <v>12</v>
      </c>
      <c r="G904" t="b">
        <v>0</v>
      </c>
      <c r="H904" t="s">
        <v>16</v>
      </c>
      <c r="I904">
        <v>1</v>
      </c>
      <c r="J904">
        <v>0.16</v>
      </c>
      <c r="K904">
        <v>0.13639999999999999</v>
      </c>
      <c r="L904">
        <v>0.34</v>
      </c>
      <c r="M904">
        <v>0.3881</v>
      </c>
      <c r="N904">
        <v>4</v>
      </c>
      <c r="O904">
        <v>65</v>
      </c>
      <c r="P904">
        <v>69</v>
      </c>
      <c r="S904" t="str">
        <f>IF(Dataset_A[[#This Row],[Hr]]&gt;=19,"Evening Time",IF(Dataset_A[[#This Row],[Hr]]&gt;=9,"Day Time",IF(Dataset_A[[#This Row],[Hr]]&gt;=0,"Night Time","")))</f>
        <v>Day Time</v>
      </c>
    </row>
    <row r="905" spans="1:19" x14ac:dyDescent="0.2">
      <c r="A905">
        <v>904</v>
      </c>
      <c r="B905" s="3">
        <v>40584</v>
      </c>
      <c r="C905">
        <v>1</v>
      </c>
      <c r="D905">
        <v>2011</v>
      </c>
      <c r="E905" t="s">
        <v>25</v>
      </c>
      <c r="F905">
        <v>13</v>
      </c>
      <c r="G905" t="b">
        <v>0</v>
      </c>
      <c r="H905" t="s">
        <v>16</v>
      </c>
      <c r="I905">
        <v>1</v>
      </c>
      <c r="J905">
        <v>0.18</v>
      </c>
      <c r="K905">
        <v>0.16669999999999999</v>
      </c>
      <c r="L905">
        <v>0.28999999999999998</v>
      </c>
      <c r="M905">
        <v>0.29849999999999999</v>
      </c>
      <c r="N905">
        <v>3</v>
      </c>
      <c r="O905">
        <v>59</v>
      </c>
      <c r="P905">
        <v>62</v>
      </c>
      <c r="S905" t="str">
        <f>IF(Dataset_A[[#This Row],[Hr]]&gt;=19,"Evening Time",IF(Dataset_A[[#This Row],[Hr]]&gt;=9,"Day Time",IF(Dataset_A[[#This Row],[Hr]]&gt;=0,"Night Time","")))</f>
        <v>Day Time</v>
      </c>
    </row>
    <row r="906" spans="1:19" x14ac:dyDescent="0.2">
      <c r="A906">
        <v>905</v>
      </c>
      <c r="B906" s="3">
        <v>40584</v>
      </c>
      <c r="C906">
        <v>1</v>
      </c>
      <c r="D906">
        <v>2011</v>
      </c>
      <c r="E906" t="s">
        <v>25</v>
      </c>
      <c r="F906">
        <v>14</v>
      </c>
      <c r="G906" t="b">
        <v>0</v>
      </c>
      <c r="H906" t="s">
        <v>16</v>
      </c>
      <c r="I906">
        <v>1</v>
      </c>
      <c r="J906">
        <v>0.2</v>
      </c>
      <c r="K906">
        <v>0.18179999999999999</v>
      </c>
      <c r="L906">
        <v>0.27</v>
      </c>
      <c r="M906">
        <v>0.28360000000000002</v>
      </c>
      <c r="N906">
        <v>6</v>
      </c>
      <c r="O906">
        <v>42</v>
      </c>
      <c r="P906">
        <v>48</v>
      </c>
      <c r="S906" t="str">
        <f>IF(Dataset_A[[#This Row],[Hr]]&gt;=19,"Evening Time",IF(Dataset_A[[#This Row],[Hr]]&gt;=9,"Day Time",IF(Dataset_A[[#This Row],[Hr]]&gt;=0,"Night Time","")))</f>
        <v>Day Time</v>
      </c>
    </row>
    <row r="907" spans="1:19" x14ac:dyDescent="0.2">
      <c r="A907">
        <v>906</v>
      </c>
      <c r="B907" s="3">
        <v>40584</v>
      </c>
      <c r="C907">
        <v>1</v>
      </c>
      <c r="D907">
        <v>2011</v>
      </c>
      <c r="E907" t="s">
        <v>25</v>
      </c>
      <c r="F907">
        <v>15</v>
      </c>
      <c r="G907" t="b">
        <v>0</v>
      </c>
      <c r="H907" t="s">
        <v>16</v>
      </c>
      <c r="I907">
        <v>1</v>
      </c>
      <c r="J907">
        <v>0.2</v>
      </c>
      <c r="K907">
        <v>0.19700000000000001</v>
      </c>
      <c r="L907">
        <v>0.25</v>
      </c>
      <c r="M907">
        <v>0.25369999999999998</v>
      </c>
      <c r="N907">
        <v>0</v>
      </c>
      <c r="O907">
        <v>50</v>
      </c>
      <c r="P907">
        <v>50</v>
      </c>
      <c r="S907" t="str">
        <f>IF(Dataset_A[[#This Row],[Hr]]&gt;=19,"Evening Time",IF(Dataset_A[[#This Row],[Hr]]&gt;=9,"Day Time",IF(Dataset_A[[#This Row],[Hr]]&gt;=0,"Night Time","")))</f>
        <v>Day Time</v>
      </c>
    </row>
    <row r="908" spans="1:19" x14ac:dyDescent="0.2">
      <c r="A908">
        <v>907</v>
      </c>
      <c r="B908" s="3">
        <v>40584</v>
      </c>
      <c r="C908">
        <v>1</v>
      </c>
      <c r="D908">
        <v>2011</v>
      </c>
      <c r="E908" t="s">
        <v>25</v>
      </c>
      <c r="F908">
        <v>16</v>
      </c>
      <c r="G908" t="b">
        <v>0</v>
      </c>
      <c r="H908" t="s">
        <v>16</v>
      </c>
      <c r="I908">
        <v>1</v>
      </c>
      <c r="J908">
        <v>0.2</v>
      </c>
      <c r="K908">
        <v>0.18179999999999999</v>
      </c>
      <c r="L908">
        <v>0.27</v>
      </c>
      <c r="M908">
        <v>0.29849999999999999</v>
      </c>
      <c r="N908">
        <v>4</v>
      </c>
      <c r="O908">
        <v>76</v>
      </c>
      <c r="P908">
        <v>80</v>
      </c>
      <c r="S908" t="str">
        <f>IF(Dataset_A[[#This Row],[Hr]]&gt;=19,"Evening Time",IF(Dataset_A[[#This Row],[Hr]]&gt;=9,"Day Time",IF(Dataset_A[[#This Row],[Hr]]&gt;=0,"Night Time","")))</f>
        <v>Day Time</v>
      </c>
    </row>
    <row r="909" spans="1:19" x14ac:dyDescent="0.2">
      <c r="A909">
        <v>908</v>
      </c>
      <c r="B909" s="3">
        <v>40584</v>
      </c>
      <c r="C909">
        <v>1</v>
      </c>
      <c r="D909">
        <v>2011</v>
      </c>
      <c r="E909" t="s">
        <v>25</v>
      </c>
      <c r="F909">
        <v>17</v>
      </c>
      <c r="G909" t="b">
        <v>0</v>
      </c>
      <c r="H909" t="s">
        <v>16</v>
      </c>
      <c r="I909">
        <v>1</v>
      </c>
      <c r="J909">
        <v>0.18</v>
      </c>
      <c r="K909">
        <v>0.18179999999999999</v>
      </c>
      <c r="L909">
        <v>0.26</v>
      </c>
      <c r="M909">
        <v>0.19400000000000001</v>
      </c>
      <c r="N909">
        <v>6</v>
      </c>
      <c r="O909">
        <v>159</v>
      </c>
      <c r="P909">
        <v>165</v>
      </c>
      <c r="S909" t="str">
        <f>IF(Dataset_A[[#This Row],[Hr]]&gt;=19,"Evening Time",IF(Dataset_A[[#This Row],[Hr]]&gt;=9,"Day Time",IF(Dataset_A[[#This Row],[Hr]]&gt;=0,"Night Time","")))</f>
        <v>Day Time</v>
      </c>
    </row>
    <row r="910" spans="1:19" x14ac:dyDescent="0.2">
      <c r="A910">
        <v>909</v>
      </c>
      <c r="B910" s="3">
        <v>40584</v>
      </c>
      <c r="C910">
        <v>1</v>
      </c>
      <c r="D910">
        <v>2011</v>
      </c>
      <c r="E910" t="s">
        <v>25</v>
      </c>
      <c r="F910">
        <v>18</v>
      </c>
      <c r="G910" t="b">
        <v>0</v>
      </c>
      <c r="H910" t="s">
        <v>16</v>
      </c>
      <c r="I910">
        <v>1</v>
      </c>
      <c r="J910">
        <v>0.16</v>
      </c>
      <c r="K910">
        <v>0.18179999999999999</v>
      </c>
      <c r="L910">
        <v>0.28000000000000003</v>
      </c>
      <c r="M910">
        <v>0.1343</v>
      </c>
      <c r="N910">
        <v>3</v>
      </c>
      <c r="O910">
        <v>157</v>
      </c>
      <c r="P910">
        <v>160</v>
      </c>
      <c r="S910" t="str">
        <f>IF(Dataset_A[[#This Row],[Hr]]&gt;=19,"Evening Time",IF(Dataset_A[[#This Row],[Hr]]&gt;=9,"Day Time",IF(Dataset_A[[#This Row],[Hr]]&gt;=0,"Night Time","")))</f>
        <v>Day Time</v>
      </c>
    </row>
    <row r="911" spans="1:19" x14ac:dyDescent="0.2">
      <c r="A911">
        <v>910</v>
      </c>
      <c r="B911" s="3">
        <v>40584</v>
      </c>
      <c r="C911">
        <v>1</v>
      </c>
      <c r="D911">
        <v>2011</v>
      </c>
      <c r="E911" t="s">
        <v>25</v>
      </c>
      <c r="F911">
        <v>19</v>
      </c>
      <c r="G911" t="b">
        <v>0</v>
      </c>
      <c r="H911" t="s">
        <v>16</v>
      </c>
      <c r="I911">
        <v>1</v>
      </c>
      <c r="J911">
        <v>0.14000000000000001</v>
      </c>
      <c r="K911">
        <v>0.16669999999999999</v>
      </c>
      <c r="L911">
        <v>0.28000000000000003</v>
      </c>
      <c r="M911">
        <v>0.1045</v>
      </c>
      <c r="N911">
        <v>2</v>
      </c>
      <c r="O911">
        <v>110</v>
      </c>
      <c r="P911">
        <v>112</v>
      </c>
      <c r="S911" t="str">
        <f>IF(Dataset_A[[#This Row],[Hr]]&gt;=19,"Evening Time",IF(Dataset_A[[#This Row],[Hr]]&gt;=9,"Day Time",IF(Dataset_A[[#This Row],[Hr]]&gt;=0,"Night Time","")))</f>
        <v>Evening Time</v>
      </c>
    </row>
    <row r="912" spans="1:19" x14ac:dyDescent="0.2">
      <c r="A912">
        <v>911</v>
      </c>
      <c r="B912" s="3">
        <v>40584</v>
      </c>
      <c r="C912">
        <v>1</v>
      </c>
      <c r="D912">
        <v>2011</v>
      </c>
      <c r="E912" t="s">
        <v>25</v>
      </c>
      <c r="F912">
        <v>20</v>
      </c>
      <c r="G912" t="b">
        <v>0</v>
      </c>
      <c r="H912" t="s">
        <v>16</v>
      </c>
      <c r="I912">
        <v>1</v>
      </c>
      <c r="J912">
        <v>0.14000000000000001</v>
      </c>
      <c r="K912">
        <v>0.18179999999999999</v>
      </c>
      <c r="L912">
        <v>0.31</v>
      </c>
      <c r="M912">
        <v>8.9599999999999999E-2</v>
      </c>
      <c r="N912">
        <v>4</v>
      </c>
      <c r="O912">
        <v>93</v>
      </c>
      <c r="P912">
        <v>97</v>
      </c>
      <c r="S912" t="str">
        <f>IF(Dataset_A[[#This Row],[Hr]]&gt;=19,"Evening Time",IF(Dataset_A[[#This Row],[Hr]]&gt;=9,"Day Time",IF(Dataset_A[[#This Row],[Hr]]&gt;=0,"Night Time","")))</f>
        <v>Evening Time</v>
      </c>
    </row>
    <row r="913" spans="1:19" x14ac:dyDescent="0.2">
      <c r="A913">
        <v>912</v>
      </c>
      <c r="B913" s="3">
        <v>40584</v>
      </c>
      <c r="C913">
        <v>1</v>
      </c>
      <c r="D913">
        <v>2011</v>
      </c>
      <c r="E913" t="s">
        <v>25</v>
      </c>
      <c r="F913">
        <v>21</v>
      </c>
      <c r="G913" t="b">
        <v>0</v>
      </c>
      <c r="H913" t="s">
        <v>16</v>
      </c>
      <c r="I913">
        <v>1</v>
      </c>
      <c r="J913">
        <v>0.14000000000000001</v>
      </c>
      <c r="K913">
        <v>0.21210000000000001</v>
      </c>
      <c r="L913">
        <v>0.39</v>
      </c>
      <c r="M913">
        <v>0</v>
      </c>
      <c r="N913">
        <v>2</v>
      </c>
      <c r="O913">
        <v>70</v>
      </c>
      <c r="P913">
        <v>72</v>
      </c>
      <c r="S913" t="str">
        <f>IF(Dataset_A[[#This Row],[Hr]]&gt;=19,"Evening Time",IF(Dataset_A[[#This Row],[Hr]]&gt;=9,"Day Time",IF(Dataset_A[[#This Row],[Hr]]&gt;=0,"Night Time","")))</f>
        <v>Evening Time</v>
      </c>
    </row>
    <row r="914" spans="1:19" x14ac:dyDescent="0.2">
      <c r="A914">
        <v>913</v>
      </c>
      <c r="B914" s="3">
        <v>40584</v>
      </c>
      <c r="C914">
        <v>1</v>
      </c>
      <c r="D914">
        <v>2011</v>
      </c>
      <c r="E914" t="s">
        <v>25</v>
      </c>
      <c r="F914">
        <v>22</v>
      </c>
      <c r="G914" t="b">
        <v>0</v>
      </c>
      <c r="H914" t="s">
        <v>16</v>
      </c>
      <c r="I914">
        <v>1</v>
      </c>
      <c r="J914">
        <v>0.12</v>
      </c>
      <c r="K914">
        <v>0.19700000000000001</v>
      </c>
      <c r="L914">
        <v>0.39</v>
      </c>
      <c r="M914">
        <v>0</v>
      </c>
      <c r="N914">
        <v>4</v>
      </c>
      <c r="O914">
        <v>47</v>
      </c>
      <c r="P914">
        <v>51</v>
      </c>
      <c r="S914" t="str">
        <f>IF(Dataset_A[[#This Row],[Hr]]&gt;=19,"Evening Time",IF(Dataset_A[[#This Row],[Hr]]&gt;=9,"Day Time",IF(Dataset_A[[#This Row],[Hr]]&gt;=0,"Night Time","")))</f>
        <v>Evening Time</v>
      </c>
    </row>
    <row r="915" spans="1:19" x14ac:dyDescent="0.2">
      <c r="A915">
        <v>914</v>
      </c>
      <c r="B915" s="3">
        <v>40584</v>
      </c>
      <c r="C915">
        <v>1</v>
      </c>
      <c r="D915">
        <v>2011</v>
      </c>
      <c r="E915" t="s">
        <v>25</v>
      </c>
      <c r="F915">
        <v>23</v>
      </c>
      <c r="G915" t="b">
        <v>0</v>
      </c>
      <c r="H915" t="s">
        <v>16</v>
      </c>
      <c r="I915">
        <v>1</v>
      </c>
      <c r="J915">
        <v>0.12</v>
      </c>
      <c r="K915">
        <v>0.1515</v>
      </c>
      <c r="L915">
        <v>0.42</v>
      </c>
      <c r="M915">
        <v>0.1045</v>
      </c>
      <c r="N915">
        <v>1</v>
      </c>
      <c r="O915">
        <v>33</v>
      </c>
      <c r="P915">
        <v>34</v>
      </c>
      <c r="S915" t="str">
        <f>IF(Dataset_A[[#This Row],[Hr]]&gt;=19,"Evening Time",IF(Dataset_A[[#This Row],[Hr]]&gt;=9,"Day Time",IF(Dataset_A[[#This Row],[Hr]]&gt;=0,"Night Time","")))</f>
        <v>Evening Time</v>
      </c>
    </row>
    <row r="916" spans="1:19" x14ac:dyDescent="0.2">
      <c r="A916">
        <v>915</v>
      </c>
      <c r="B916" s="3">
        <v>40585</v>
      </c>
      <c r="C916">
        <v>1</v>
      </c>
      <c r="D916">
        <v>2011</v>
      </c>
      <c r="E916" t="s">
        <v>25</v>
      </c>
      <c r="F916">
        <v>0</v>
      </c>
      <c r="G916" t="b">
        <v>0</v>
      </c>
      <c r="H916" t="s">
        <v>17</v>
      </c>
      <c r="I916">
        <v>1</v>
      </c>
      <c r="J916">
        <v>0.1</v>
      </c>
      <c r="K916">
        <v>0.13639999999999999</v>
      </c>
      <c r="L916">
        <v>0.49</v>
      </c>
      <c r="M916">
        <v>0.1045</v>
      </c>
      <c r="N916">
        <v>2</v>
      </c>
      <c r="O916">
        <v>12</v>
      </c>
      <c r="P916">
        <v>14</v>
      </c>
      <c r="S916" t="str">
        <f>IF(Dataset_A[[#This Row],[Hr]]&gt;=19,"Evening Time",IF(Dataset_A[[#This Row],[Hr]]&gt;=9,"Day Time",IF(Dataset_A[[#This Row],[Hr]]&gt;=0,"Night Time","")))</f>
        <v>Night Time</v>
      </c>
    </row>
    <row r="917" spans="1:19" x14ac:dyDescent="0.2">
      <c r="A917">
        <v>916</v>
      </c>
      <c r="B917" s="3">
        <v>40585</v>
      </c>
      <c r="C917">
        <v>1</v>
      </c>
      <c r="D917">
        <v>2011</v>
      </c>
      <c r="E917" t="s">
        <v>25</v>
      </c>
      <c r="F917">
        <v>1</v>
      </c>
      <c r="G917" t="b">
        <v>0</v>
      </c>
      <c r="H917" t="s">
        <v>17</v>
      </c>
      <c r="I917">
        <v>1</v>
      </c>
      <c r="J917">
        <v>0.1</v>
      </c>
      <c r="K917">
        <v>0.13639999999999999</v>
      </c>
      <c r="L917">
        <v>0.54</v>
      </c>
      <c r="M917">
        <v>8.9599999999999999E-2</v>
      </c>
      <c r="N917">
        <v>1</v>
      </c>
      <c r="O917">
        <v>6</v>
      </c>
      <c r="P917">
        <v>7</v>
      </c>
      <c r="S917" t="str">
        <f>IF(Dataset_A[[#This Row],[Hr]]&gt;=19,"Evening Time",IF(Dataset_A[[#This Row],[Hr]]&gt;=9,"Day Time",IF(Dataset_A[[#This Row],[Hr]]&gt;=0,"Night Time","")))</f>
        <v>Night Time</v>
      </c>
    </row>
    <row r="918" spans="1:19" x14ac:dyDescent="0.2">
      <c r="A918">
        <v>917</v>
      </c>
      <c r="B918" s="3">
        <v>40585</v>
      </c>
      <c r="C918">
        <v>1</v>
      </c>
      <c r="D918">
        <v>2011</v>
      </c>
      <c r="E918" t="s">
        <v>25</v>
      </c>
      <c r="F918">
        <v>2</v>
      </c>
      <c r="G918" t="b">
        <v>0</v>
      </c>
      <c r="H918" t="s">
        <v>17</v>
      </c>
      <c r="I918">
        <v>1</v>
      </c>
      <c r="J918">
        <v>0.1</v>
      </c>
      <c r="K918">
        <v>0.13639999999999999</v>
      </c>
      <c r="L918">
        <v>0.54</v>
      </c>
      <c r="M918">
        <v>8.9599999999999999E-2</v>
      </c>
      <c r="N918">
        <v>0</v>
      </c>
      <c r="O918">
        <v>3</v>
      </c>
      <c r="P918">
        <v>3</v>
      </c>
      <c r="S918" t="str">
        <f>IF(Dataset_A[[#This Row],[Hr]]&gt;=19,"Evening Time",IF(Dataset_A[[#This Row],[Hr]]&gt;=9,"Day Time",IF(Dataset_A[[#This Row],[Hr]]&gt;=0,"Night Time","")))</f>
        <v>Night Time</v>
      </c>
    </row>
    <row r="919" spans="1:19" x14ac:dyDescent="0.2">
      <c r="A919">
        <v>918</v>
      </c>
      <c r="B919" s="3">
        <v>40585</v>
      </c>
      <c r="C919">
        <v>1</v>
      </c>
      <c r="D919">
        <v>2011</v>
      </c>
      <c r="E919" t="s">
        <v>25</v>
      </c>
      <c r="F919">
        <v>5</v>
      </c>
      <c r="G919" t="b">
        <v>0</v>
      </c>
      <c r="H919" t="s">
        <v>17</v>
      </c>
      <c r="I919">
        <v>1</v>
      </c>
      <c r="J919">
        <v>0.08</v>
      </c>
      <c r="K919">
        <v>0.1212</v>
      </c>
      <c r="L919">
        <v>0.63</v>
      </c>
      <c r="M919">
        <v>8.9599999999999999E-2</v>
      </c>
      <c r="N919">
        <v>0</v>
      </c>
      <c r="O919">
        <v>4</v>
      </c>
      <c r="P919">
        <v>4</v>
      </c>
      <c r="S919" t="str">
        <f>IF(Dataset_A[[#This Row],[Hr]]&gt;=19,"Evening Time",IF(Dataset_A[[#This Row],[Hr]]&gt;=9,"Day Time",IF(Dataset_A[[#This Row],[Hr]]&gt;=0,"Night Time","")))</f>
        <v>Night Time</v>
      </c>
    </row>
    <row r="920" spans="1:19" x14ac:dyDescent="0.2">
      <c r="A920">
        <v>919</v>
      </c>
      <c r="B920" s="3">
        <v>40585</v>
      </c>
      <c r="C920">
        <v>1</v>
      </c>
      <c r="D920">
        <v>2011</v>
      </c>
      <c r="E920" t="s">
        <v>25</v>
      </c>
      <c r="F920">
        <v>6</v>
      </c>
      <c r="G920" t="b">
        <v>0</v>
      </c>
      <c r="H920" t="s">
        <v>17</v>
      </c>
      <c r="I920">
        <v>1</v>
      </c>
      <c r="J920">
        <v>0.1</v>
      </c>
      <c r="K920">
        <v>0.18179999999999999</v>
      </c>
      <c r="L920">
        <v>0.68</v>
      </c>
      <c r="M920">
        <v>0</v>
      </c>
      <c r="N920">
        <v>1</v>
      </c>
      <c r="O920">
        <v>23</v>
      </c>
      <c r="P920">
        <v>24</v>
      </c>
      <c r="S920" t="str">
        <f>IF(Dataset_A[[#This Row],[Hr]]&gt;=19,"Evening Time",IF(Dataset_A[[#This Row],[Hr]]&gt;=9,"Day Time",IF(Dataset_A[[#This Row],[Hr]]&gt;=0,"Night Time","")))</f>
        <v>Night Time</v>
      </c>
    </row>
    <row r="921" spans="1:19" x14ac:dyDescent="0.2">
      <c r="A921">
        <v>920</v>
      </c>
      <c r="B921" s="3">
        <v>40585</v>
      </c>
      <c r="C921">
        <v>1</v>
      </c>
      <c r="D921">
        <v>2011</v>
      </c>
      <c r="E921" t="s">
        <v>25</v>
      </c>
      <c r="F921">
        <v>7</v>
      </c>
      <c r="G921" t="b">
        <v>0</v>
      </c>
      <c r="H921" t="s">
        <v>17</v>
      </c>
      <c r="I921">
        <v>1</v>
      </c>
      <c r="J921">
        <v>0.08</v>
      </c>
      <c r="K921">
        <v>0.16669999999999999</v>
      </c>
      <c r="L921">
        <v>0.73</v>
      </c>
      <c r="M921">
        <v>0</v>
      </c>
      <c r="N921">
        <v>1</v>
      </c>
      <c r="O921">
        <v>73</v>
      </c>
      <c r="P921">
        <v>74</v>
      </c>
      <c r="S921" t="str">
        <f>IF(Dataset_A[[#This Row],[Hr]]&gt;=19,"Evening Time",IF(Dataset_A[[#This Row],[Hr]]&gt;=9,"Day Time",IF(Dataset_A[[#This Row],[Hr]]&gt;=0,"Night Time","")))</f>
        <v>Night Time</v>
      </c>
    </row>
    <row r="922" spans="1:19" x14ac:dyDescent="0.2">
      <c r="A922">
        <v>921</v>
      </c>
      <c r="B922" s="3">
        <v>40585</v>
      </c>
      <c r="C922">
        <v>1</v>
      </c>
      <c r="D922">
        <v>2011</v>
      </c>
      <c r="E922" t="s">
        <v>25</v>
      </c>
      <c r="F922">
        <v>8</v>
      </c>
      <c r="G922" t="b">
        <v>0</v>
      </c>
      <c r="H922" t="s">
        <v>17</v>
      </c>
      <c r="I922">
        <v>1</v>
      </c>
      <c r="J922">
        <v>0.1</v>
      </c>
      <c r="K922">
        <v>0.1212</v>
      </c>
      <c r="L922">
        <v>0.74</v>
      </c>
      <c r="M922">
        <v>0.16420000000000001</v>
      </c>
      <c r="N922">
        <v>4</v>
      </c>
      <c r="O922">
        <v>212</v>
      </c>
      <c r="P922">
        <v>216</v>
      </c>
      <c r="S922" t="str">
        <f>IF(Dataset_A[[#This Row],[Hr]]&gt;=19,"Evening Time",IF(Dataset_A[[#This Row],[Hr]]&gt;=9,"Day Time",IF(Dataset_A[[#This Row],[Hr]]&gt;=0,"Night Time","")))</f>
        <v>Night Time</v>
      </c>
    </row>
    <row r="923" spans="1:19" x14ac:dyDescent="0.2">
      <c r="A923">
        <v>922</v>
      </c>
      <c r="B923" s="3">
        <v>40585</v>
      </c>
      <c r="C923">
        <v>1</v>
      </c>
      <c r="D923">
        <v>2011</v>
      </c>
      <c r="E923" t="s">
        <v>25</v>
      </c>
      <c r="F923">
        <v>9</v>
      </c>
      <c r="G923" t="b">
        <v>0</v>
      </c>
      <c r="H923" t="s">
        <v>17</v>
      </c>
      <c r="I923">
        <v>1</v>
      </c>
      <c r="J923">
        <v>0.12</v>
      </c>
      <c r="K923">
        <v>0.1212</v>
      </c>
      <c r="L923">
        <v>0.74</v>
      </c>
      <c r="M923">
        <v>0.22389999999999999</v>
      </c>
      <c r="N923">
        <v>8</v>
      </c>
      <c r="O923">
        <v>132</v>
      </c>
      <c r="P923">
        <v>140</v>
      </c>
      <c r="S923" t="str">
        <f>IF(Dataset_A[[#This Row],[Hr]]&gt;=19,"Evening Time",IF(Dataset_A[[#This Row],[Hr]]&gt;=9,"Day Time",IF(Dataset_A[[#This Row],[Hr]]&gt;=0,"Night Time","")))</f>
        <v>Day Time</v>
      </c>
    </row>
    <row r="924" spans="1:19" x14ac:dyDescent="0.2">
      <c r="A924">
        <v>923</v>
      </c>
      <c r="B924" s="3">
        <v>40585</v>
      </c>
      <c r="C924">
        <v>1</v>
      </c>
      <c r="D924">
        <v>2011</v>
      </c>
      <c r="E924" t="s">
        <v>25</v>
      </c>
      <c r="F924">
        <v>10</v>
      </c>
      <c r="G924" t="b">
        <v>0</v>
      </c>
      <c r="H924" t="s">
        <v>17</v>
      </c>
      <c r="I924">
        <v>1</v>
      </c>
      <c r="J924">
        <v>0.14000000000000001</v>
      </c>
      <c r="K924">
        <v>0.13639999999999999</v>
      </c>
      <c r="L924">
        <v>0.69</v>
      </c>
      <c r="M924">
        <v>0.19400000000000001</v>
      </c>
      <c r="N924">
        <v>5</v>
      </c>
      <c r="O924">
        <v>39</v>
      </c>
      <c r="P924">
        <v>44</v>
      </c>
      <c r="S924" t="str">
        <f>IF(Dataset_A[[#This Row],[Hr]]&gt;=19,"Evening Time",IF(Dataset_A[[#This Row],[Hr]]&gt;=9,"Day Time",IF(Dataset_A[[#This Row],[Hr]]&gt;=0,"Night Time","")))</f>
        <v>Day Time</v>
      </c>
    </row>
    <row r="925" spans="1:19" x14ac:dyDescent="0.2">
      <c r="A925">
        <v>924</v>
      </c>
      <c r="B925" s="3">
        <v>40585</v>
      </c>
      <c r="C925">
        <v>1</v>
      </c>
      <c r="D925">
        <v>2011</v>
      </c>
      <c r="E925" t="s">
        <v>25</v>
      </c>
      <c r="F925">
        <v>11</v>
      </c>
      <c r="G925" t="b">
        <v>0</v>
      </c>
      <c r="H925" t="s">
        <v>17</v>
      </c>
      <c r="I925">
        <v>1</v>
      </c>
      <c r="J925">
        <v>0.22</v>
      </c>
      <c r="K925">
        <v>0.2273</v>
      </c>
      <c r="L925">
        <v>0.47</v>
      </c>
      <c r="M925">
        <v>0.1343</v>
      </c>
      <c r="N925">
        <v>12</v>
      </c>
      <c r="O925">
        <v>52</v>
      </c>
      <c r="P925">
        <v>64</v>
      </c>
      <c r="S925" t="str">
        <f>IF(Dataset_A[[#This Row],[Hr]]&gt;=19,"Evening Time",IF(Dataset_A[[#This Row],[Hr]]&gt;=9,"Day Time",IF(Dataset_A[[#This Row],[Hr]]&gt;=0,"Night Time","")))</f>
        <v>Day Time</v>
      </c>
    </row>
    <row r="926" spans="1:19" x14ac:dyDescent="0.2">
      <c r="A926">
        <v>925</v>
      </c>
      <c r="B926" s="3">
        <v>40585</v>
      </c>
      <c r="C926">
        <v>1</v>
      </c>
      <c r="D926">
        <v>2011</v>
      </c>
      <c r="E926" t="s">
        <v>25</v>
      </c>
      <c r="F926">
        <v>12</v>
      </c>
      <c r="G926" t="b">
        <v>0</v>
      </c>
      <c r="H926" t="s">
        <v>17</v>
      </c>
      <c r="I926">
        <v>1</v>
      </c>
      <c r="J926">
        <v>0.22</v>
      </c>
      <c r="K926">
        <v>0.2273</v>
      </c>
      <c r="L926">
        <v>0.47</v>
      </c>
      <c r="M926">
        <v>0.1343</v>
      </c>
      <c r="N926">
        <v>7</v>
      </c>
      <c r="O926">
        <v>64</v>
      </c>
      <c r="P926">
        <v>71</v>
      </c>
      <c r="S926" t="str">
        <f>IF(Dataset_A[[#This Row],[Hr]]&gt;=19,"Evening Time",IF(Dataset_A[[#This Row],[Hr]]&gt;=9,"Day Time",IF(Dataset_A[[#This Row],[Hr]]&gt;=0,"Night Time","")))</f>
        <v>Day Time</v>
      </c>
    </row>
    <row r="927" spans="1:19" x14ac:dyDescent="0.2">
      <c r="A927">
        <v>926</v>
      </c>
      <c r="B927" s="3">
        <v>40585</v>
      </c>
      <c r="C927">
        <v>1</v>
      </c>
      <c r="D927">
        <v>2011</v>
      </c>
      <c r="E927" t="s">
        <v>25</v>
      </c>
      <c r="F927">
        <v>13</v>
      </c>
      <c r="G927" t="b">
        <v>0</v>
      </c>
      <c r="H927" t="s">
        <v>17</v>
      </c>
      <c r="I927">
        <v>1</v>
      </c>
      <c r="J927">
        <v>0.24</v>
      </c>
      <c r="K927">
        <v>0.2273</v>
      </c>
      <c r="L927">
        <v>0.35</v>
      </c>
      <c r="M927">
        <v>0.19400000000000001</v>
      </c>
      <c r="N927">
        <v>21</v>
      </c>
      <c r="O927">
        <v>89</v>
      </c>
      <c r="P927">
        <v>110</v>
      </c>
      <c r="S927" t="str">
        <f>IF(Dataset_A[[#This Row],[Hr]]&gt;=19,"Evening Time",IF(Dataset_A[[#This Row],[Hr]]&gt;=9,"Day Time",IF(Dataset_A[[#This Row],[Hr]]&gt;=0,"Night Time","")))</f>
        <v>Day Time</v>
      </c>
    </row>
    <row r="928" spans="1:19" x14ac:dyDescent="0.2">
      <c r="A928">
        <v>927</v>
      </c>
      <c r="B928" s="3">
        <v>40585</v>
      </c>
      <c r="C928">
        <v>1</v>
      </c>
      <c r="D928">
        <v>2011</v>
      </c>
      <c r="E928" t="s">
        <v>25</v>
      </c>
      <c r="F928">
        <v>14</v>
      </c>
      <c r="G928" t="b">
        <v>0</v>
      </c>
      <c r="H928" t="s">
        <v>17</v>
      </c>
      <c r="I928">
        <v>1</v>
      </c>
      <c r="J928">
        <v>0.3</v>
      </c>
      <c r="K928">
        <v>0.28789999999999999</v>
      </c>
      <c r="L928">
        <v>0.26</v>
      </c>
      <c r="M928">
        <v>0.25369999999999998</v>
      </c>
      <c r="N928">
        <v>17</v>
      </c>
      <c r="O928">
        <v>67</v>
      </c>
      <c r="P928">
        <v>84</v>
      </c>
      <c r="S928" t="str">
        <f>IF(Dataset_A[[#This Row],[Hr]]&gt;=19,"Evening Time",IF(Dataset_A[[#This Row],[Hr]]&gt;=9,"Day Time",IF(Dataset_A[[#This Row],[Hr]]&gt;=0,"Night Time","")))</f>
        <v>Day Time</v>
      </c>
    </row>
    <row r="929" spans="1:19" x14ac:dyDescent="0.2">
      <c r="A929">
        <v>928</v>
      </c>
      <c r="B929" s="3">
        <v>40585</v>
      </c>
      <c r="C929">
        <v>1</v>
      </c>
      <c r="D929">
        <v>2011</v>
      </c>
      <c r="E929" t="s">
        <v>25</v>
      </c>
      <c r="F929">
        <v>15</v>
      </c>
      <c r="G929" t="b">
        <v>0</v>
      </c>
      <c r="H929" t="s">
        <v>17</v>
      </c>
      <c r="I929">
        <v>1</v>
      </c>
      <c r="J929">
        <v>0.32</v>
      </c>
      <c r="K929">
        <v>0.31819999999999998</v>
      </c>
      <c r="L929">
        <v>0.21</v>
      </c>
      <c r="M929">
        <v>0.16420000000000001</v>
      </c>
      <c r="N929">
        <v>12</v>
      </c>
      <c r="O929">
        <v>62</v>
      </c>
      <c r="P929">
        <v>74</v>
      </c>
      <c r="S929" t="str">
        <f>IF(Dataset_A[[#This Row],[Hr]]&gt;=19,"Evening Time",IF(Dataset_A[[#This Row],[Hr]]&gt;=9,"Day Time",IF(Dataset_A[[#This Row],[Hr]]&gt;=0,"Night Time","")))</f>
        <v>Day Time</v>
      </c>
    </row>
    <row r="930" spans="1:19" x14ac:dyDescent="0.2">
      <c r="A930">
        <v>929</v>
      </c>
      <c r="B930" s="3">
        <v>40585</v>
      </c>
      <c r="C930">
        <v>1</v>
      </c>
      <c r="D930">
        <v>2011</v>
      </c>
      <c r="E930" t="s">
        <v>25</v>
      </c>
      <c r="F930">
        <v>16</v>
      </c>
      <c r="G930" t="b">
        <v>0</v>
      </c>
      <c r="H930" t="s">
        <v>17</v>
      </c>
      <c r="I930">
        <v>1</v>
      </c>
      <c r="J930">
        <v>0.3</v>
      </c>
      <c r="K930">
        <v>0.28789999999999999</v>
      </c>
      <c r="L930">
        <v>0.28000000000000003</v>
      </c>
      <c r="M930">
        <v>0.19400000000000001</v>
      </c>
      <c r="N930">
        <v>14</v>
      </c>
      <c r="O930">
        <v>111</v>
      </c>
      <c r="P930">
        <v>125</v>
      </c>
      <c r="S930" t="str">
        <f>IF(Dataset_A[[#This Row],[Hr]]&gt;=19,"Evening Time",IF(Dataset_A[[#This Row],[Hr]]&gt;=9,"Day Time",IF(Dataset_A[[#This Row],[Hr]]&gt;=0,"Night Time","")))</f>
        <v>Day Time</v>
      </c>
    </row>
    <row r="931" spans="1:19" x14ac:dyDescent="0.2">
      <c r="A931">
        <v>930</v>
      </c>
      <c r="B931" s="3">
        <v>40585</v>
      </c>
      <c r="C931">
        <v>1</v>
      </c>
      <c r="D931">
        <v>2011</v>
      </c>
      <c r="E931" t="s">
        <v>25</v>
      </c>
      <c r="F931">
        <v>17</v>
      </c>
      <c r="G931" t="b">
        <v>0</v>
      </c>
      <c r="H931" t="s">
        <v>17</v>
      </c>
      <c r="I931">
        <v>1</v>
      </c>
      <c r="J931">
        <v>0.3</v>
      </c>
      <c r="K931">
        <v>0.33329999999999999</v>
      </c>
      <c r="L931">
        <v>0.24</v>
      </c>
      <c r="M931">
        <v>0</v>
      </c>
      <c r="N931">
        <v>18</v>
      </c>
      <c r="O931">
        <v>193</v>
      </c>
      <c r="P931">
        <v>211</v>
      </c>
      <c r="S931" t="str">
        <f>IF(Dataset_A[[#This Row],[Hr]]&gt;=19,"Evening Time",IF(Dataset_A[[#This Row],[Hr]]&gt;=9,"Day Time",IF(Dataset_A[[#This Row],[Hr]]&gt;=0,"Night Time","")))</f>
        <v>Day Time</v>
      </c>
    </row>
    <row r="932" spans="1:19" x14ac:dyDescent="0.2">
      <c r="A932">
        <v>931</v>
      </c>
      <c r="B932" s="3">
        <v>40585</v>
      </c>
      <c r="C932">
        <v>1</v>
      </c>
      <c r="D932">
        <v>2011</v>
      </c>
      <c r="E932" t="s">
        <v>25</v>
      </c>
      <c r="F932">
        <v>18</v>
      </c>
      <c r="G932" t="b">
        <v>0</v>
      </c>
      <c r="H932" t="s">
        <v>17</v>
      </c>
      <c r="I932">
        <v>1</v>
      </c>
      <c r="J932">
        <v>0.28000000000000003</v>
      </c>
      <c r="K932">
        <v>0.31819999999999998</v>
      </c>
      <c r="L932">
        <v>0.28000000000000003</v>
      </c>
      <c r="M932">
        <v>0</v>
      </c>
      <c r="N932">
        <v>9</v>
      </c>
      <c r="O932">
        <v>165</v>
      </c>
      <c r="P932">
        <v>174</v>
      </c>
      <c r="S932" t="str">
        <f>IF(Dataset_A[[#This Row],[Hr]]&gt;=19,"Evening Time",IF(Dataset_A[[#This Row],[Hr]]&gt;=9,"Day Time",IF(Dataset_A[[#This Row],[Hr]]&gt;=0,"Night Time","")))</f>
        <v>Day Time</v>
      </c>
    </row>
    <row r="933" spans="1:19" x14ac:dyDescent="0.2">
      <c r="A933">
        <v>932</v>
      </c>
      <c r="B933" s="3">
        <v>40585</v>
      </c>
      <c r="C933">
        <v>1</v>
      </c>
      <c r="D933">
        <v>2011</v>
      </c>
      <c r="E933" t="s">
        <v>25</v>
      </c>
      <c r="F933">
        <v>19</v>
      </c>
      <c r="G933" t="b">
        <v>0</v>
      </c>
      <c r="H933" t="s">
        <v>17</v>
      </c>
      <c r="I933">
        <v>1</v>
      </c>
      <c r="J933">
        <v>0.26</v>
      </c>
      <c r="K933">
        <v>0.30299999999999999</v>
      </c>
      <c r="L933">
        <v>0.33</v>
      </c>
      <c r="M933">
        <v>0</v>
      </c>
      <c r="N933">
        <v>7</v>
      </c>
      <c r="O933">
        <v>94</v>
      </c>
      <c r="P933">
        <v>101</v>
      </c>
      <c r="S933" t="str">
        <f>IF(Dataset_A[[#This Row],[Hr]]&gt;=19,"Evening Time",IF(Dataset_A[[#This Row],[Hr]]&gt;=9,"Day Time",IF(Dataset_A[[#This Row],[Hr]]&gt;=0,"Night Time","")))</f>
        <v>Evening Time</v>
      </c>
    </row>
    <row r="934" spans="1:19" x14ac:dyDescent="0.2">
      <c r="A934">
        <v>933</v>
      </c>
      <c r="B934" s="3">
        <v>40585</v>
      </c>
      <c r="C934">
        <v>1</v>
      </c>
      <c r="D934">
        <v>2011</v>
      </c>
      <c r="E934" t="s">
        <v>25</v>
      </c>
      <c r="F934">
        <v>20</v>
      </c>
      <c r="G934" t="b">
        <v>0</v>
      </c>
      <c r="H934" t="s">
        <v>17</v>
      </c>
      <c r="I934">
        <v>1</v>
      </c>
      <c r="J934">
        <v>0.22</v>
      </c>
      <c r="K934">
        <v>0.2273</v>
      </c>
      <c r="L934">
        <v>0.55000000000000004</v>
      </c>
      <c r="M934">
        <v>0.1343</v>
      </c>
      <c r="N934">
        <v>2</v>
      </c>
      <c r="O934">
        <v>61</v>
      </c>
      <c r="P934">
        <v>63</v>
      </c>
      <c r="S934" t="str">
        <f>IF(Dataset_A[[#This Row],[Hr]]&gt;=19,"Evening Time",IF(Dataset_A[[#This Row],[Hr]]&gt;=9,"Day Time",IF(Dataset_A[[#This Row],[Hr]]&gt;=0,"Night Time","")))</f>
        <v>Evening Time</v>
      </c>
    </row>
    <row r="935" spans="1:19" x14ac:dyDescent="0.2">
      <c r="A935">
        <v>934</v>
      </c>
      <c r="B935" s="3">
        <v>40585</v>
      </c>
      <c r="C935">
        <v>1</v>
      </c>
      <c r="D935">
        <v>2011</v>
      </c>
      <c r="E935" t="s">
        <v>25</v>
      </c>
      <c r="F935">
        <v>21</v>
      </c>
      <c r="G935" t="b">
        <v>0</v>
      </c>
      <c r="H935" t="s">
        <v>17</v>
      </c>
      <c r="I935">
        <v>1</v>
      </c>
      <c r="J935">
        <v>0.2</v>
      </c>
      <c r="K935">
        <v>0.21210000000000001</v>
      </c>
      <c r="L935">
        <v>0.59</v>
      </c>
      <c r="M935">
        <v>0.1343</v>
      </c>
      <c r="N935">
        <v>1</v>
      </c>
      <c r="O935">
        <v>46</v>
      </c>
      <c r="P935">
        <v>47</v>
      </c>
      <c r="S935" t="str">
        <f>IF(Dataset_A[[#This Row],[Hr]]&gt;=19,"Evening Time",IF(Dataset_A[[#This Row],[Hr]]&gt;=9,"Day Time",IF(Dataset_A[[#This Row],[Hr]]&gt;=0,"Night Time","")))</f>
        <v>Evening Time</v>
      </c>
    </row>
    <row r="936" spans="1:19" x14ac:dyDescent="0.2">
      <c r="A936">
        <v>935</v>
      </c>
      <c r="B936" s="3">
        <v>40585</v>
      </c>
      <c r="C936">
        <v>1</v>
      </c>
      <c r="D936">
        <v>2011</v>
      </c>
      <c r="E936" t="s">
        <v>25</v>
      </c>
      <c r="F936">
        <v>22</v>
      </c>
      <c r="G936" t="b">
        <v>0</v>
      </c>
      <c r="H936" t="s">
        <v>17</v>
      </c>
      <c r="I936">
        <v>1</v>
      </c>
      <c r="J936">
        <v>0.2</v>
      </c>
      <c r="K936">
        <v>0.2273</v>
      </c>
      <c r="L936">
        <v>0.64</v>
      </c>
      <c r="M936">
        <v>8.9599999999999999E-2</v>
      </c>
      <c r="N936">
        <v>2</v>
      </c>
      <c r="O936">
        <v>41</v>
      </c>
      <c r="P936">
        <v>43</v>
      </c>
      <c r="S936" t="str">
        <f>IF(Dataset_A[[#This Row],[Hr]]&gt;=19,"Evening Time",IF(Dataset_A[[#This Row],[Hr]]&gt;=9,"Day Time",IF(Dataset_A[[#This Row],[Hr]]&gt;=0,"Night Time","")))</f>
        <v>Evening Time</v>
      </c>
    </row>
    <row r="937" spans="1:19" x14ac:dyDescent="0.2">
      <c r="A937">
        <v>936</v>
      </c>
      <c r="B937" s="3">
        <v>40585</v>
      </c>
      <c r="C937">
        <v>1</v>
      </c>
      <c r="D937">
        <v>2011</v>
      </c>
      <c r="E937" t="s">
        <v>25</v>
      </c>
      <c r="F937">
        <v>23</v>
      </c>
      <c r="G937" t="b">
        <v>0</v>
      </c>
      <c r="H937" t="s">
        <v>17</v>
      </c>
      <c r="I937">
        <v>1</v>
      </c>
      <c r="J937">
        <v>0.18</v>
      </c>
      <c r="K937">
        <v>0.2424</v>
      </c>
      <c r="L937">
        <v>0.69</v>
      </c>
      <c r="M937">
        <v>0</v>
      </c>
      <c r="N937">
        <v>5</v>
      </c>
      <c r="O937">
        <v>48</v>
      </c>
      <c r="P937">
        <v>53</v>
      </c>
      <c r="S937" t="str">
        <f>IF(Dataset_A[[#This Row],[Hr]]&gt;=19,"Evening Time",IF(Dataset_A[[#This Row],[Hr]]&gt;=9,"Day Time",IF(Dataset_A[[#This Row],[Hr]]&gt;=0,"Night Time","")))</f>
        <v>Evening Time</v>
      </c>
    </row>
    <row r="938" spans="1:19" x14ac:dyDescent="0.2">
      <c r="A938">
        <v>937</v>
      </c>
      <c r="B938" s="3">
        <v>40586</v>
      </c>
      <c r="C938">
        <v>1</v>
      </c>
      <c r="D938">
        <v>2011</v>
      </c>
      <c r="E938" t="s">
        <v>25</v>
      </c>
      <c r="F938">
        <v>0</v>
      </c>
      <c r="G938" t="b">
        <v>0</v>
      </c>
      <c r="H938" t="s">
        <v>11</v>
      </c>
      <c r="I938">
        <v>1</v>
      </c>
      <c r="J938">
        <v>0.16</v>
      </c>
      <c r="K938">
        <v>0.19700000000000001</v>
      </c>
      <c r="L938">
        <v>0.69</v>
      </c>
      <c r="M938">
        <v>8.9599999999999999E-2</v>
      </c>
      <c r="N938">
        <v>3</v>
      </c>
      <c r="O938">
        <v>27</v>
      </c>
      <c r="P938">
        <v>30</v>
      </c>
      <c r="S938" t="str">
        <f>IF(Dataset_A[[#This Row],[Hr]]&gt;=19,"Evening Time",IF(Dataset_A[[#This Row],[Hr]]&gt;=9,"Day Time",IF(Dataset_A[[#This Row],[Hr]]&gt;=0,"Night Time","")))</f>
        <v>Night Time</v>
      </c>
    </row>
    <row r="939" spans="1:19" x14ac:dyDescent="0.2">
      <c r="A939">
        <v>938</v>
      </c>
      <c r="B939" s="3">
        <v>40586</v>
      </c>
      <c r="C939">
        <v>1</v>
      </c>
      <c r="D939">
        <v>2011</v>
      </c>
      <c r="E939" t="s">
        <v>25</v>
      </c>
      <c r="F939">
        <v>1</v>
      </c>
      <c r="G939" t="b">
        <v>0</v>
      </c>
      <c r="H939" t="s">
        <v>11</v>
      </c>
      <c r="I939">
        <v>1</v>
      </c>
      <c r="J939">
        <v>0.14000000000000001</v>
      </c>
      <c r="K939">
        <v>0.21210000000000001</v>
      </c>
      <c r="L939">
        <v>0.86</v>
      </c>
      <c r="M939">
        <v>0</v>
      </c>
      <c r="N939">
        <v>2</v>
      </c>
      <c r="O939">
        <v>22</v>
      </c>
      <c r="P939">
        <v>24</v>
      </c>
      <c r="S939" t="str">
        <f>IF(Dataset_A[[#This Row],[Hr]]&gt;=19,"Evening Time",IF(Dataset_A[[#This Row],[Hr]]&gt;=9,"Day Time",IF(Dataset_A[[#This Row],[Hr]]&gt;=0,"Night Time","")))</f>
        <v>Night Time</v>
      </c>
    </row>
    <row r="940" spans="1:19" x14ac:dyDescent="0.2">
      <c r="A940">
        <v>939</v>
      </c>
      <c r="B940" s="3">
        <v>40586</v>
      </c>
      <c r="C940">
        <v>1</v>
      </c>
      <c r="D940">
        <v>2011</v>
      </c>
      <c r="E940" t="s">
        <v>25</v>
      </c>
      <c r="F940">
        <v>2</v>
      </c>
      <c r="G940" t="b">
        <v>0</v>
      </c>
      <c r="H940" t="s">
        <v>11</v>
      </c>
      <c r="I940">
        <v>1</v>
      </c>
      <c r="J940">
        <v>0.14000000000000001</v>
      </c>
      <c r="K940">
        <v>0.21210000000000001</v>
      </c>
      <c r="L940">
        <v>0.8</v>
      </c>
      <c r="M940">
        <v>0</v>
      </c>
      <c r="N940">
        <v>2</v>
      </c>
      <c r="O940">
        <v>13</v>
      </c>
      <c r="P940">
        <v>15</v>
      </c>
      <c r="S940" t="str">
        <f>IF(Dataset_A[[#This Row],[Hr]]&gt;=19,"Evening Time",IF(Dataset_A[[#This Row],[Hr]]&gt;=9,"Day Time",IF(Dataset_A[[#This Row],[Hr]]&gt;=0,"Night Time","")))</f>
        <v>Night Time</v>
      </c>
    </row>
    <row r="941" spans="1:19" x14ac:dyDescent="0.2">
      <c r="A941">
        <v>940</v>
      </c>
      <c r="B941" s="3">
        <v>40586</v>
      </c>
      <c r="C941">
        <v>1</v>
      </c>
      <c r="D941">
        <v>2011</v>
      </c>
      <c r="E941" t="s">
        <v>25</v>
      </c>
      <c r="F941">
        <v>3</v>
      </c>
      <c r="G941" t="b">
        <v>0</v>
      </c>
      <c r="H941" t="s">
        <v>11</v>
      </c>
      <c r="I941">
        <v>1</v>
      </c>
      <c r="J941">
        <v>0.12</v>
      </c>
      <c r="K941">
        <v>0.19700000000000001</v>
      </c>
      <c r="L941">
        <v>0.8</v>
      </c>
      <c r="M941">
        <v>0</v>
      </c>
      <c r="N941">
        <v>3</v>
      </c>
      <c r="O941">
        <v>7</v>
      </c>
      <c r="P941">
        <v>10</v>
      </c>
      <c r="S941" t="str">
        <f>IF(Dataset_A[[#This Row],[Hr]]&gt;=19,"Evening Time",IF(Dataset_A[[#This Row],[Hr]]&gt;=9,"Day Time",IF(Dataset_A[[#This Row],[Hr]]&gt;=0,"Night Time","")))</f>
        <v>Night Time</v>
      </c>
    </row>
    <row r="942" spans="1:19" x14ac:dyDescent="0.2">
      <c r="A942">
        <v>941</v>
      </c>
      <c r="B942" s="3">
        <v>40586</v>
      </c>
      <c r="C942">
        <v>1</v>
      </c>
      <c r="D942">
        <v>2011</v>
      </c>
      <c r="E942" t="s">
        <v>25</v>
      </c>
      <c r="F942">
        <v>4</v>
      </c>
      <c r="G942" t="b">
        <v>0</v>
      </c>
      <c r="H942" t="s">
        <v>11</v>
      </c>
      <c r="I942">
        <v>1</v>
      </c>
      <c r="J942">
        <v>0.12</v>
      </c>
      <c r="K942">
        <v>0.16669999999999999</v>
      </c>
      <c r="L942">
        <v>0.74</v>
      </c>
      <c r="M942">
        <v>8.9599999999999999E-2</v>
      </c>
      <c r="N942">
        <v>0</v>
      </c>
      <c r="O942">
        <v>4</v>
      </c>
      <c r="P942">
        <v>4</v>
      </c>
      <c r="S942" t="str">
        <f>IF(Dataset_A[[#This Row],[Hr]]&gt;=19,"Evening Time",IF(Dataset_A[[#This Row],[Hr]]&gt;=9,"Day Time",IF(Dataset_A[[#This Row],[Hr]]&gt;=0,"Night Time","")))</f>
        <v>Night Time</v>
      </c>
    </row>
    <row r="943" spans="1:19" x14ac:dyDescent="0.2">
      <c r="A943">
        <v>942</v>
      </c>
      <c r="B943" s="3">
        <v>40586</v>
      </c>
      <c r="C943">
        <v>1</v>
      </c>
      <c r="D943">
        <v>2011</v>
      </c>
      <c r="E943" t="s">
        <v>25</v>
      </c>
      <c r="F943">
        <v>5</v>
      </c>
      <c r="G943" t="b">
        <v>0</v>
      </c>
      <c r="H943" t="s">
        <v>11</v>
      </c>
      <c r="I943">
        <v>1</v>
      </c>
      <c r="J943">
        <v>0.12</v>
      </c>
      <c r="K943">
        <v>0.16669999999999999</v>
      </c>
      <c r="L943">
        <v>0.74</v>
      </c>
      <c r="M943">
        <v>8.9599999999999999E-2</v>
      </c>
      <c r="N943">
        <v>0</v>
      </c>
      <c r="O943">
        <v>1</v>
      </c>
      <c r="P943">
        <v>1</v>
      </c>
      <c r="S943" t="str">
        <f>IF(Dataset_A[[#This Row],[Hr]]&gt;=19,"Evening Time",IF(Dataset_A[[#This Row],[Hr]]&gt;=9,"Day Time",IF(Dataset_A[[#This Row],[Hr]]&gt;=0,"Night Time","")))</f>
        <v>Night Time</v>
      </c>
    </row>
    <row r="944" spans="1:19" x14ac:dyDescent="0.2">
      <c r="A944">
        <v>943</v>
      </c>
      <c r="B944" s="3">
        <v>40586</v>
      </c>
      <c r="C944">
        <v>1</v>
      </c>
      <c r="D944">
        <v>2011</v>
      </c>
      <c r="E944" t="s">
        <v>25</v>
      </c>
      <c r="F944">
        <v>6</v>
      </c>
      <c r="G944" t="b">
        <v>0</v>
      </c>
      <c r="H944" t="s">
        <v>11</v>
      </c>
      <c r="I944">
        <v>1</v>
      </c>
      <c r="J944">
        <v>0.12</v>
      </c>
      <c r="K944">
        <v>0.13639999999999999</v>
      </c>
      <c r="L944">
        <v>0.93</v>
      </c>
      <c r="M944">
        <v>0.19400000000000001</v>
      </c>
      <c r="N944">
        <v>1</v>
      </c>
      <c r="O944">
        <v>1</v>
      </c>
      <c r="P944">
        <v>2</v>
      </c>
      <c r="S944" t="str">
        <f>IF(Dataset_A[[#This Row],[Hr]]&gt;=19,"Evening Time",IF(Dataset_A[[#This Row],[Hr]]&gt;=9,"Day Time",IF(Dataset_A[[#This Row],[Hr]]&gt;=0,"Night Time","")))</f>
        <v>Night Time</v>
      </c>
    </row>
    <row r="945" spans="1:19" x14ac:dyDescent="0.2">
      <c r="A945">
        <v>944</v>
      </c>
      <c r="B945" s="3">
        <v>40586</v>
      </c>
      <c r="C945">
        <v>1</v>
      </c>
      <c r="D945">
        <v>2011</v>
      </c>
      <c r="E945" t="s">
        <v>25</v>
      </c>
      <c r="F945">
        <v>7</v>
      </c>
      <c r="G945" t="b">
        <v>0</v>
      </c>
      <c r="H945" t="s">
        <v>11</v>
      </c>
      <c r="I945">
        <v>1</v>
      </c>
      <c r="J945">
        <v>0.12</v>
      </c>
      <c r="K945">
        <v>0.1515</v>
      </c>
      <c r="L945">
        <v>0.8</v>
      </c>
      <c r="M945">
        <v>0.1045</v>
      </c>
      <c r="N945">
        <v>2</v>
      </c>
      <c r="O945">
        <v>9</v>
      </c>
      <c r="P945">
        <v>11</v>
      </c>
      <c r="S945" t="str">
        <f>IF(Dataset_A[[#This Row],[Hr]]&gt;=19,"Evening Time",IF(Dataset_A[[#This Row],[Hr]]&gt;=9,"Day Time",IF(Dataset_A[[#This Row],[Hr]]&gt;=0,"Night Time","")))</f>
        <v>Night Time</v>
      </c>
    </row>
    <row r="946" spans="1:19" x14ac:dyDescent="0.2">
      <c r="A946">
        <v>945</v>
      </c>
      <c r="B946" s="3">
        <v>40586</v>
      </c>
      <c r="C946">
        <v>1</v>
      </c>
      <c r="D946">
        <v>2011</v>
      </c>
      <c r="E946" t="s">
        <v>25</v>
      </c>
      <c r="F946">
        <v>8</v>
      </c>
      <c r="G946" t="b">
        <v>0</v>
      </c>
      <c r="H946" t="s">
        <v>11</v>
      </c>
      <c r="I946">
        <v>1</v>
      </c>
      <c r="J946">
        <v>0.14000000000000001</v>
      </c>
      <c r="K946">
        <v>0.1515</v>
      </c>
      <c r="L946">
        <v>0.86</v>
      </c>
      <c r="M946">
        <v>0.1343</v>
      </c>
      <c r="N946">
        <v>2</v>
      </c>
      <c r="O946">
        <v>28</v>
      </c>
      <c r="P946">
        <v>30</v>
      </c>
      <c r="S946" t="str">
        <f>IF(Dataset_A[[#This Row],[Hr]]&gt;=19,"Evening Time",IF(Dataset_A[[#This Row],[Hr]]&gt;=9,"Day Time",IF(Dataset_A[[#This Row],[Hr]]&gt;=0,"Night Time","")))</f>
        <v>Night Time</v>
      </c>
    </row>
    <row r="947" spans="1:19" x14ac:dyDescent="0.2">
      <c r="A947">
        <v>946</v>
      </c>
      <c r="B947" s="3">
        <v>40586</v>
      </c>
      <c r="C947">
        <v>1</v>
      </c>
      <c r="D947">
        <v>2011</v>
      </c>
      <c r="E947" t="s">
        <v>25</v>
      </c>
      <c r="F947">
        <v>9</v>
      </c>
      <c r="G947" t="b">
        <v>0</v>
      </c>
      <c r="H947" t="s">
        <v>11</v>
      </c>
      <c r="I947">
        <v>1</v>
      </c>
      <c r="J947">
        <v>0.16</v>
      </c>
      <c r="K947">
        <v>0.18179999999999999</v>
      </c>
      <c r="L947">
        <v>0.64</v>
      </c>
      <c r="M947">
        <v>0.1343</v>
      </c>
      <c r="N947">
        <v>5</v>
      </c>
      <c r="O947">
        <v>38</v>
      </c>
      <c r="P947">
        <v>43</v>
      </c>
      <c r="S947" t="str">
        <f>IF(Dataset_A[[#This Row],[Hr]]&gt;=19,"Evening Time",IF(Dataset_A[[#This Row],[Hr]]&gt;=9,"Day Time",IF(Dataset_A[[#This Row],[Hr]]&gt;=0,"Night Time","")))</f>
        <v>Day Time</v>
      </c>
    </row>
    <row r="948" spans="1:19" x14ac:dyDescent="0.2">
      <c r="A948">
        <v>947</v>
      </c>
      <c r="B948" s="3">
        <v>40586</v>
      </c>
      <c r="C948">
        <v>1</v>
      </c>
      <c r="D948">
        <v>2011</v>
      </c>
      <c r="E948" t="s">
        <v>25</v>
      </c>
      <c r="F948">
        <v>10</v>
      </c>
      <c r="G948" t="b">
        <v>0</v>
      </c>
      <c r="H948" t="s">
        <v>11</v>
      </c>
      <c r="I948">
        <v>1</v>
      </c>
      <c r="J948">
        <v>0.22</v>
      </c>
      <c r="K948">
        <v>0.21210000000000001</v>
      </c>
      <c r="L948">
        <v>0.41</v>
      </c>
      <c r="M948">
        <v>0.25369999999999998</v>
      </c>
      <c r="N948">
        <v>13</v>
      </c>
      <c r="O948">
        <v>71</v>
      </c>
      <c r="P948">
        <v>84</v>
      </c>
      <c r="S948" t="str">
        <f>IF(Dataset_A[[#This Row],[Hr]]&gt;=19,"Evening Time",IF(Dataset_A[[#This Row],[Hr]]&gt;=9,"Day Time",IF(Dataset_A[[#This Row],[Hr]]&gt;=0,"Night Time","")))</f>
        <v>Day Time</v>
      </c>
    </row>
    <row r="949" spans="1:19" x14ac:dyDescent="0.2">
      <c r="A949">
        <v>948</v>
      </c>
      <c r="B949" s="3">
        <v>40586</v>
      </c>
      <c r="C949">
        <v>1</v>
      </c>
      <c r="D949">
        <v>2011</v>
      </c>
      <c r="E949" t="s">
        <v>25</v>
      </c>
      <c r="F949">
        <v>11</v>
      </c>
      <c r="G949" t="b">
        <v>0</v>
      </c>
      <c r="H949" t="s">
        <v>11</v>
      </c>
      <c r="I949">
        <v>1</v>
      </c>
      <c r="J949">
        <v>0.3</v>
      </c>
      <c r="K949">
        <v>0.2727</v>
      </c>
      <c r="L949">
        <v>0.28000000000000003</v>
      </c>
      <c r="M949">
        <v>0.32840000000000003</v>
      </c>
      <c r="N949">
        <v>30</v>
      </c>
      <c r="O949">
        <v>84</v>
      </c>
      <c r="P949">
        <v>114</v>
      </c>
      <c r="S949" t="str">
        <f>IF(Dataset_A[[#This Row],[Hr]]&gt;=19,"Evening Time",IF(Dataset_A[[#This Row],[Hr]]&gt;=9,"Day Time",IF(Dataset_A[[#This Row],[Hr]]&gt;=0,"Night Time","")))</f>
        <v>Day Time</v>
      </c>
    </row>
    <row r="950" spans="1:19" x14ac:dyDescent="0.2">
      <c r="A950">
        <v>949</v>
      </c>
      <c r="B950" s="3">
        <v>40586</v>
      </c>
      <c r="C950">
        <v>1</v>
      </c>
      <c r="D950">
        <v>2011</v>
      </c>
      <c r="E950" t="s">
        <v>25</v>
      </c>
      <c r="F950">
        <v>12</v>
      </c>
      <c r="G950" t="b">
        <v>0</v>
      </c>
      <c r="H950" t="s">
        <v>11</v>
      </c>
      <c r="I950">
        <v>1</v>
      </c>
      <c r="J950">
        <v>0.3</v>
      </c>
      <c r="K950">
        <v>0.2727</v>
      </c>
      <c r="L950">
        <v>0.39</v>
      </c>
      <c r="M950">
        <v>0.4627</v>
      </c>
      <c r="N950">
        <v>27</v>
      </c>
      <c r="O950">
        <v>93</v>
      </c>
      <c r="P950">
        <v>120</v>
      </c>
      <c r="S950" t="str">
        <f>IF(Dataset_A[[#This Row],[Hr]]&gt;=19,"Evening Time",IF(Dataset_A[[#This Row],[Hr]]&gt;=9,"Day Time",IF(Dataset_A[[#This Row],[Hr]]&gt;=0,"Night Time","")))</f>
        <v>Day Time</v>
      </c>
    </row>
    <row r="951" spans="1:19" x14ac:dyDescent="0.2">
      <c r="A951">
        <v>950</v>
      </c>
      <c r="B951" s="3">
        <v>40586</v>
      </c>
      <c r="C951">
        <v>1</v>
      </c>
      <c r="D951">
        <v>2011</v>
      </c>
      <c r="E951" t="s">
        <v>25</v>
      </c>
      <c r="F951">
        <v>13</v>
      </c>
      <c r="G951" t="b">
        <v>0</v>
      </c>
      <c r="H951" t="s">
        <v>11</v>
      </c>
      <c r="I951">
        <v>1</v>
      </c>
      <c r="J951">
        <v>0.3</v>
      </c>
      <c r="K951">
        <v>0.2727</v>
      </c>
      <c r="L951">
        <v>0.39</v>
      </c>
      <c r="M951">
        <v>0.41789999999999999</v>
      </c>
      <c r="N951">
        <v>32</v>
      </c>
      <c r="O951">
        <v>103</v>
      </c>
      <c r="P951">
        <v>135</v>
      </c>
      <c r="S951" t="str">
        <f>IF(Dataset_A[[#This Row],[Hr]]&gt;=19,"Evening Time",IF(Dataset_A[[#This Row],[Hr]]&gt;=9,"Day Time",IF(Dataset_A[[#This Row],[Hr]]&gt;=0,"Night Time","")))</f>
        <v>Day Time</v>
      </c>
    </row>
    <row r="952" spans="1:19" x14ac:dyDescent="0.2">
      <c r="A952">
        <v>951</v>
      </c>
      <c r="B952" s="3">
        <v>40586</v>
      </c>
      <c r="C952">
        <v>1</v>
      </c>
      <c r="D952">
        <v>2011</v>
      </c>
      <c r="E952" t="s">
        <v>25</v>
      </c>
      <c r="F952">
        <v>14</v>
      </c>
      <c r="G952" t="b">
        <v>0</v>
      </c>
      <c r="H952" t="s">
        <v>11</v>
      </c>
      <c r="I952">
        <v>1</v>
      </c>
      <c r="J952">
        <v>0.34</v>
      </c>
      <c r="K952">
        <v>0.31819999999999998</v>
      </c>
      <c r="L952">
        <v>0.31</v>
      </c>
      <c r="M952">
        <v>0.28360000000000002</v>
      </c>
      <c r="N952">
        <v>30</v>
      </c>
      <c r="O952">
        <v>90</v>
      </c>
      <c r="P952">
        <v>120</v>
      </c>
      <c r="S952" t="str">
        <f>IF(Dataset_A[[#This Row],[Hr]]&gt;=19,"Evening Time",IF(Dataset_A[[#This Row],[Hr]]&gt;=9,"Day Time",IF(Dataset_A[[#This Row],[Hr]]&gt;=0,"Night Time","")))</f>
        <v>Day Time</v>
      </c>
    </row>
    <row r="953" spans="1:19" x14ac:dyDescent="0.2">
      <c r="A953">
        <v>952</v>
      </c>
      <c r="B953" s="3">
        <v>40586</v>
      </c>
      <c r="C953">
        <v>1</v>
      </c>
      <c r="D953">
        <v>2011</v>
      </c>
      <c r="E953" t="s">
        <v>25</v>
      </c>
      <c r="F953">
        <v>15</v>
      </c>
      <c r="G953" t="b">
        <v>0</v>
      </c>
      <c r="H953" t="s">
        <v>11</v>
      </c>
      <c r="I953">
        <v>1</v>
      </c>
      <c r="J953">
        <v>0.34</v>
      </c>
      <c r="K953">
        <v>0.30299999999999999</v>
      </c>
      <c r="L953">
        <v>0.28999999999999998</v>
      </c>
      <c r="M953">
        <v>0.41789999999999999</v>
      </c>
      <c r="N953">
        <v>47</v>
      </c>
      <c r="O953">
        <v>127</v>
      </c>
      <c r="P953">
        <v>174</v>
      </c>
      <c r="S953" t="str">
        <f>IF(Dataset_A[[#This Row],[Hr]]&gt;=19,"Evening Time",IF(Dataset_A[[#This Row],[Hr]]&gt;=9,"Day Time",IF(Dataset_A[[#This Row],[Hr]]&gt;=0,"Night Time","")))</f>
        <v>Day Time</v>
      </c>
    </row>
    <row r="954" spans="1:19" x14ac:dyDescent="0.2">
      <c r="A954">
        <v>953</v>
      </c>
      <c r="B954" s="3">
        <v>40586</v>
      </c>
      <c r="C954">
        <v>1</v>
      </c>
      <c r="D954">
        <v>2011</v>
      </c>
      <c r="E954" t="s">
        <v>25</v>
      </c>
      <c r="F954">
        <v>16</v>
      </c>
      <c r="G954" t="b">
        <v>0</v>
      </c>
      <c r="H954" t="s">
        <v>11</v>
      </c>
      <c r="I954">
        <v>1</v>
      </c>
      <c r="J954">
        <v>0.34</v>
      </c>
      <c r="K954">
        <v>0.30299999999999999</v>
      </c>
      <c r="L954">
        <v>0.28999999999999998</v>
      </c>
      <c r="M954">
        <v>0.41789999999999999</v>
      </c>
      <c r="N954">
        <v>42</v>
      </c>
      <c r="O954">
        <v>103</v>
      </c>
      <c r="P954">
        <v>145</v>
      </c>
      <c r="S954" t="str">
        <f>IF(Dataset_A[[#This Row],[Hr]]&gt;=19,"Evening Time",IF(Dataset_A[[#This Row],[Hr]]&gt;=9,"Day Time",IF(Dataset_A[[#This Row],[Hr]]&gt;=0,"Night Time","")))</f>
        <v>Day Time</v>
      </c>
    </row>
    <row r="955" spans="1:19" x14ac:dyDescent="0.2">
      <c r="A955">
        <v>954</v>
      </c>
      <c r="B955" s="3">
        <v>40586</v>
      </c>
      <c r="C955">
        <v>1</v>
      </c>
      <c r="D955">
        <v>2011</v>
      </c>
      <c r="E955" t="s">
        <v>25</v>
      </c>
      <c r="F955">
        <v>17</v>
      </c>
      <c r="G955" t="b">
        <v>0</v>
      </c>
      <c r="H955" t="s">
        <v>11</v>
      </c>
      <c r="I955">
        <v>1</v>
      </c>
      <c r="J955">
        <v>0.32</v>
      </c>
      <c r="K955">
        <v>0.28789999999999999</v>
      </c>
      <c r="L955">
        <v>0.31</v>
      </c>
      <c r="M955">
        <v>0.52239999999999998</v>
      </c>
      <c r="N955">
        <v>24</v>
      </c>
      <c r="O955">
        <v>113</v>
      </c>
      <c r="P955">
        <v>137</v>
      </c>
      <c r="S955" t="str">
        <f>IF(Dataset_A[[#This Row],[Hr]]&gt;=19,"Evening Time",IF(Dataset_A[[#This Row],[Hr]]&gt;=9,"Day Time",IF(Dataset_A[[#This Row],[Hr]]&gt;=0,"Night Time","")))</f>
        <v>Day Time</v>
      </c>
    </row>
    <row r="956" spans="1:19" x14ac:dyDescent="0.2">
      <c r="A956">
        <v>955</v>
      </c>
      <c r="B956" s="3">
        <v>40586</v>
      </c>
      <c r="C956">
        <v>1</v>
      </c>
      <c r="D956">
        <v>2011</v>
      </c>
      <c r="E956" t="s">
        <v>25</v>
      </c>
      <c r="F956">
        <v>18</v>
      </c>
      <c r="G956" t="b">
        <v>0</v>
      </c>
      <c r="H956" t="s">
        <v>11</v>
      </c>
      <c r="I956">
        <v>1</v>
      </c>
      <c r="J956">
        <v>0.28000000000000003</v>
      </c>
      <c r="K956">
        <v>0.2576</v>
      </c>
      <c r="L956">
        <v>0.38</v>
      </c>
      <c r="M956">
        <v>0.32840000000000003</v>
      </c>
      <c r="N956">
        <v>4</v>
      </c>
      <c r="O956">
        <v>60</v>
      </c>
      <c r="P956">
        <v>64</v>
      </c>
      <c r="S956" t="str">
        <f>IF(Dataset_A[[#This Row],[Hr]]&gt;=19,"Evening Time",IF(Dataset_A[[#This Row],[Hr]]&gt;=9,"Day Time",IF(Dataset_A[[#This Row],[Hr]]&gt;=0,"Night Time","")))</f>
        <v>Day Time</v>
      </c>
    </row>
    <row r="957" spans="1:19" x14ac:dyDescent="0.2">
      <c r="A957">
        <v>956</v>
      </c>
      <c r="B957" s="3">
        <v>40586</v>
      </c>
      <c r="C957">
        <v>1</v>
      </c>
      <c r="D957">
        <v>2011</v>
      </c>
      <c r="E957" t="s">
        <v>25</v>
      </c>
      <c r="F957">
        <v>19</v>
      </c>
      <c r="G957" t="b">
        <v>0</v>
      </c>
      <c r="H957" t="s">
        <v>11</v>
      </c>
      <c r="I957">
        <v>1</v>
      </c>
      <c r="J957">
        <v>0.28000000000000003</v>
      </c>
      <c r="K957">
        <v>0.2727</v>
      </c>
      <c r="L957">
        <v>0.38</v>
      </c>
      <c r="M957">
        <v>0.16420000000000001</v>
      </c>
      <c r="N957">
        <v>2</v>
      </c>
      <c r="O957">
        <v>39</v>
      </c>
      <c r="P957">
        <v>41</v>
      </c>
      <c r="S957" t="str">
        <f>IF(Dataset_A[[#This Row],[Hr]]&gt;=19,"Evening Time",IF(Dataset_A[[#This Row],[Hr]]&gt;=9,"Day Time",IF(Dataset_A[[#This Row],[Hr]]&gt;=0,"Night Time","")))</f>
        <v>Evening Time</v>
      </c>
    </row>
    <row r="958" spans="1:19" x14ac:dyDescent="0.2">
      <c r="A958">
        <v>957</v>
      </c>
      <c r="B958" s="3">
        <v>40586</v>
      </c>
      <c r="C958">
        <v>1</v>
      </c>
      <c r="D958">
        <v>2011</v>
      </c>
      <c r="E958" t="s">
        <v>25</v>
      </c>
      <c r="F958">
        <v>20</v>
      </c>
      <c r="G958" t="b">
        <v>0</v>
      </c>
      <c r="H958" t="s">
        <v>11</v>
      </c>
      <c r="I958">
        <v>1</v>
      </c>
      <c r="J958">
        <v>0.26</v>
      </c>
      <c r="K958">
        <v>0.2576</v>
      </c>
      <c r="L958">
        <v>0.41</v>
      </c>
      <c r="M958">
        <v>0.22389999999999999</v>
      </c>
      <c r="N958">
        <v>1</v>
      </c>
      <c r="O958">
        <v>39</v>
      </c>
      <c r="P958">
        <v>40</v>
      </c>
      <c r="S958" t="str">
        <f>IF(Dataset_A[[#This Row],[Hr]]&gt;=19,"Evening Time",IF(Dataset_A[[#This Row],[Hr]]&gt;=9,"Day Time",IF(Dataset_A[[#This Row],[Hr]]&gt;=0,"Night Time","")))</f>
        <v>Evening Time</v>
      </c>
    </row>
    <row r="959" spans="1:19" x14ac:dyDescent="0.2">
      <c r="A959">
        <v>958</v>
      </c>
      <c r="B959" s="3">
        <v>40586</v>
      </c>
      <c r="C959">
        <v>1</v>
      </c>
      <c r="D959">
        <v>2011</v>
      </c>
      <c r="E959" t="s">
        <v>25</v>
      </c>
      <c r="F959">
        <v>21</v>
      </c>
      <c r="G959" t="b">
        <v>0</v>
      </c>
      <c r="H959" t="s">
        <v>11</v>
      </c>
      <c r="I959">
        <v>1</v>
      </c>
      <c r="J959">
        <v>0.26</v>
      </c>
      <c r="K959">
        <v>0.30299999999999999</v>
      </c>
      <c r="L959">
        <v>0.41</v>
      </c>
      <c r="M959">
        <v>0</v>
      </c>
      <c r="N959">
        <v>9</v>
      </c>
      <c r="O959">
        <v>42</v>
      </c>
      <c r="P959">
        <v>51</v>
      </c>
      <c r="S959" t="str">
        <f>IF(Dataset_A[[#This Row],[Hr]]&gt;=19,"Evening Time",IF(Dataset_A[[#This Row],[Hr]]&gt;=9,"Day Time",IF(Dataset_A[[#This Row],[Hr]]&gt;=0,"Night Time","")))</f>
        <v>Evening Time</v>
      </c>
    </row>
    <row r="960" spans="1:19" x14ac:dyDescent="0.2">
      <c r="A960">
        <v>959</v>
      </c>
      <c r="B960" s="3">
        <v>40586</v>
      </c>
      <c r="C960">
        <v>1</v>
      </c>
      <c r="D960">
        <v>2011</v>
      </c>
      <c r="E960" t="s">
        <v>25</v>
      </c>
      <c r="F960">
        <v>22</v>
      </c>
      <c r="G960" t="b">
        <v>0</v>
      </c>
      <c r="H960" t="s">
        <v>11</v>
      </c>
      <c r="I960">
        <v>1</v>
      </c>
      <c r="J960">
        <v>0.24</v>
      </c>
      <c r="K960">
        <v>0.2576</v>
      </c>
      <c r="L960">
        <v>0.44</v>
      </c>
      <c r="M960">
        <v>8.9599999999999999E-2</v>
      </c>
      <c r="N960">
        <v>6</v>
      </c>
      <c r="O960">
        <v>39</v>
      </c>
      <c r="P960">
        <v>45</v>
      </c>
      <c r="S960" t="str">
        <f>IF(Dataset_A[[#This Row],[Hr]]&gt;=19,"Evening Time",IF(Dataset_A[[#This Row],[Hr]]&gt;=9,"Day Time",IF(Dataset_A[[#This Row],[Hr]]&gt;=0,"Night Time","")))</f>
        <v>Evening Time</v>
      </c>
    </row>
    <row r="961" spans="1:19" x14ac:dyDescent="0.2">
      <c r="A961">
        <v>960</v>
      </c>
      <c r="B961" s="3">
        <v>40586</v>
      </c>
      <c r="C961">
        <v>1</v>
      </c>
      <c r="D961">
        <v>2011</v>
      </c>
      <c r="E961" t="s">
        <v>25</v>
      </c>
      <c r="F961">
        <v>23</v>
      </c>
      <c r="G961" t="b">
        <v>0</v>
      </c>
      <c r="H961" t="s">
        <v>11</v>
      </c>
      <c r="I961">
        <v>1</v>
      </c>
      <c r="J961">
        <v>0.22</v>
      </c>
      <c r="K961">
        <v>0.2273</v>
      </c>
      <c r="L961">
        <v>0.51</v>
      </c>
      <c r="M961">
        <v>0.1343</v>
      </c>
      <c r="N961">
        <v>1</v>
      </c>
      <c r="O961">
        <v>31</v>
      </c>
      <c r="P961">
        <v>32</v>
      </c>
      <c r="S961" t="str">
        <f>IF(Dataset_A[[#This Row],[Hr]]&gt;=19,"Evening Time",IF(Dataset_A[[#This Row],[Hr]]&gt;=9,"Day Time",IF(Dataset_A[[#This Row],[Hr]]&gt;=0,"Night Time","")))</f>
        <v>Evening Time</v>
      </c>
    </row>
    <row r="962" spans="1:19" x14ac:dyDescent="0.2">
      <c r="A962">
        <v>961</v>
      </c>
      <c r="B962" s="3">
        <v>40587</v>
      </c>
      <c r="C962">
        <v>1</v>
      </c>
      <c r="D962">
        <v>2011</v>
      </c>
      <c r="E962" t="s">
        <v>25</v>
      </c>
      <c r="F962">
        <v>0</v>
      </c>
      <c r="G962" t="b">
        <v>1</v>
      </c>
      <c r="H962" t="s">
        <v>12</v>
      </c>
      <c r="I962">
        <v>1</v>
      </c>
      <c r="J962">
        <v>0.2</v>
      </c>
      <c r="K962">
        <v>0.2273</v>
      </c>
      <c r="L962">
        <v>0.64</v>
      </c>
      <c r="M962">
        <v>0.1045</v>
      </c>
      <c r="N962">
        <v>5</v>
      </c>
      <c r="O962">
        <v>34</v>
      </c>
      <c r="P962">
        <v>39</v>
      </c>
      <c r="S962" t="str">
        <f>IF(Dataset_A[[#This Row],[Hr]]&gt;=19,"Evening Time",IF(Dataset_A[[#This Row],[Hr]]&gt;=9,"Day Time",IF(Dataset_A[[#This Row],[Hr]]&gt;=0,"Night Time","")))</f>
        <v>Night Time</v>
      </c>
    </row>
    <row r="963" spans="1:19" x14ac:dyDescent="0.2">
      <c r="A963">
        <v>962</v>
      </c>
      <c r="B963" s="3">
        <v>40587</v>
      </c>
      <c r="C963">
        <v>1</v>
      </c>
      <c r="D963">
        <v>2011</v>
      </c>
      <c r="E963" t="s">
        <v>25</v>
      </c>
      <c r="F963">
        <v>1</v>
      </c>
      <c r="G963" t="b">
        <v>1</v>
      </c>
      <c r="H963" t="s">
        <v>12</v>
      </c>
      <c r="I963">
        <v>1</v>
      </c>
      <c r="J963">
        <v>0.2</v>
      </c>
      <c r="K963">
        <v>0.2273</v>
      </c>
      <c r="L963">
        <v>0.59</v>
      </c>
      <c r="M963">
        <v>8.9599999999999999E-2</v>
      </c>
      <c r="N963">
        <v>1</v>
      </c>
      <c r="O963">
        <v>23</v>
      </c>
      <c r="P963">
        <v>24</v>
      </c>
      <c r="S963" t="str">
        <f>IF(Dataset_A[[#This Row],[Hr]]&gt;=19,"Evening Time",IF(Dataset_A[[#This Row],[Hr]]&gt;=9,"Day Time",IF(Dataset_A[[#This Row],[Hr]]&gt;=0,"Night Time","")))</f>
        <v>Night Time</v>
      </c>
    </row>
    <row r="964" spans="1:19" x14ac:dyDescent="0.2">
      <c r="A964">
        <v>963</v>
      </c>
      <c r="B964" s="3">
        <v>40587</v>
      </c>
      <c r="C964">
        <v>1</v>
      </c>
      <c r="D964">
        <v>2011</v>
      </c>
      <c r="E964" t="s">
        <v>25</v>
      </c>
      <c r="F964">
        <v>2</v>
      </c>
      <c r="G964" t="b">
        <v>1</v>
      </c>
      <c r="H964" t="s">
        <v>12</v>
      </c>
      <c r="I964">
        <v>2</v>
      </c>
      <c r="J964">
        <v>0.2</v>
      </c>
      <c r="K964">
        <v>0.2273</v>
      </c>
      <c r="L964">
        <v>0.75</v>
      </c>
      <c r="M964">
        <v>8.9599999999999999E-2</v>
      </c>
      <c r="N964">
        <v>1</v>
      </c>
      <c r="O964">
        <v>19</v>
      </c>
      <c r="P964">
        <v>20</v>
      </c>
      <c r="S964" t="str">
        <f>IF(Dataset_A[[#This Row],[Hr]]&gt;=19,"Evening Time",IF(Dataset_A[[#This Row],[Hr]]&gt;=9,"Day Time",IF(Dataset_A[[#This Row],[Hr]]&gt;=0,"Night Time","")))</f>
        <v>Night Time</v>
      </c>
    </row>
    <row r="965" spans="1:19" x14ac:dyDescent="0.2">
      <c r="A965">
        <v>964</v>
      </c>
      <c r="B965" s="3">
        <v>40587</v>
      </c>
      <c r="C965">
        <v>1</v>
      </c>
      <c r="D965">
        <v>2011</v>
      </c>
      <c r="E965" t="s">
        <v>25</v>
      </c>
      <c r="F965">
        <v>3</v>
      </c>
      <c r="G965" t="b">
        <v>1</v>
      </c>
      <c r="H965" t="s">
        <v>12</v>
      </c>
      <c r="I965">
        <v>2</v>
      </c>
      <c r="J965">
        <v>0.2</v>
      </c>
      <c r="K965">
        <v>0.2273</v>
      </c>
      <c r="L965">
        <v>0.69</v>
      </c>
      <c r="M965">
        <v>0.1045</v>
      </c>
      <c r="N965">
        <v>4</v>
      </c>
      <c r="O965">
        <v>8</v>
      </c>
      <c r="P965">
        <v>12</v>
      </c>
      <c r="S965" t="str">
        <f>IF(Dataset_A[[#This Row],[Hr]]&gt;=19,"Evening Time",IF(Dataset_A[[#This Row],[Hr]]&gt;=9,"Day Time",IF(Dataset_A[[#This Row],[Hr]]&gt;=0,"Night Time","")))</f>
        <v>Night Time</v>
      </c>
    </row>
    <row r="966" spans="1:19" x14ac:dyDescent="0.2">
      <c r="A966">
        <v>965</v>
      </c>
      <c r="B966" s="3">
        <v>40587</v>
      </c>
      <c r="C966">
        <v>1</v>
      </c>
      <c r="D966">
        <v>2011</v>
      </c>
      <c r="E966" t="s">
        <v>25</v>
      </c>
      <c r="F966">
        <v>4</v>
      </c>
      <c r="G966" t="b">
        <v>1</v>
      </c>
      <c r="H966" t="s">
        <v>12</v>
      </c>
      <c r="I966">
        <v>2</v>
      </c>
      <c r="J966">
        <v>0.2</v>
      </c>
      <c r="K966">
        <v>0.21210000000000001</v>
      </c>
      <c r="L966">
        <v>0.69</v>
      </c>
      <c r="M966">
        <v>0.16420000000000001</v>
      </c>
      <c r="N966">
        <v>0</v>
      </c>
      <c r="O966">
        <v>2</v>
      </c>
      <c r="P966">
        <v>2</v>
      </c>
      <c r="S966" t="str">
        <f>IF(Dataset_A[[#This Row],[Hr]]&gt;=19,"Evening Time",IF(Dataset_A[[#This Row],[Hr]]&gt;=9,"Day Time",IF(Dataset_A[[#This Row],[Hr]]&gt;=0,"Night Time","")))</f>
        <v>Night Time</v>
      </c>
    </row>
    <row r="967" spans="1:19" x14ac:dyDescent="0.2">
      <c r="A967">
        <v>966</v>
      </c>
      <c r="B967" s="3">
        <v>40587</v>
      </c>
      <c r="C967">
        <v>1</v>
      </c>
      <c r="D967">
        <v>2011</v>
      </c>
      <c r="E967" t="s">
        <v>25</v>
      </c>
      <c r="F967">
        <v>6</v>
      </c>
      <c r="G967" t="b">
        <v>1</v>
      </c>
      <c r="H967" t="s">
        <v>12</v>
      </c>
      <c r="I967">
        <v>2</v>
      </c>
      <c r="J967">
        <v>0.2</v>
      </c>
      <c r="K967">
        <v>0.21210000000000001</v>
      </c>
      <c r="L967">
        <v>0.69</v>
      </c>
      <c r="M967">
        <v>0.1343</v>
      </c>
      <c r="N967">
        <v>2</v>
      </c>
      <c r="O967">
        <v>3</v>
      </c>
      <c r="P967">
        <v>5</v>
      </c>
      <c r="S967" t="str">
        <f>IF(Dataset_A[[#This Row],[Hr]]&gt;=19,"Evening Time",IF(Dataset_A[[#This Row],[Hr]]&gt;=9,"Day Time",IF(Dataset_A[[#This Row],[Hr]]&gt;=0,"Night Time","")))</f>
        <v>Night Time</v>
      </c>
    </row>
    <row r="968" spans="1:19" x14ac:dyDescent="0.2">
      <c r="A968">
        <v>967</v>
      </c>
      <c r="B968" s="3">
        <v>40587</v>
      </c>
      <c r="C968">
        <v>1</v>
      </c>
      <c r="D968">
        <v>2011</v>
      </c>
      <c r="E968" t="s">
        <v>25</v>
      </c>
      <c r="F968">
        <v>7</v>
      </c>
      <c r="G968" t="b">
        <v>1</v>
      </c>
      <c r="H968" t="s">
        <v>12</v>
      </c>
      <c r="I968">
        <v>2</v>
      </c>
      <c r="J968">
        <v>0.22</v>
      </c>
      <c r="K968">
        <v>0.2727</v>
      </c>
      <c r="L968">
        <v>0.55000000000000004</v>
      </c>
      <c r="M968">
        <v>0</v>
      </c>
      <c r="N968">
        <v>0</v>
      </c>
      <c r="O968">
        <v>3</v>
      </c>
      <c r="P968">
        <v>3</v>
      </c>
      <c r="S968" t="str">
        <f>IF(Dataset_A[[#This Row],[Hr]]&gt;=19,"Evening Time",IF(Dataset_A[[#This Row],[Hr]]&gt;=9,"Day Time",IF(Dataset_A[[#This Row],[Hr]]&gt;=0,"Night Time","")))</f>
        <v>Night Time</v>
      </c>
    </row>
    <row r="969" spans="1:19" x14ac:dyDescent="0.2">
      <c r="A969">
        <v>968</v>
      </c>
      <c r="B969" s="3">
        <v>40587</v>
      </c>
      <c r="C969">
        <v>1</v>
      </c>
      <c r="D969">
        <v>2011</v>
      </c>
      <c r="E969" t="s">
        <v>25</v>
      </c>
      <c r="F969">
        <v>8</v>
      </c>
      <c r="G969" t="b">
        <v>1</v>
      </c>
      <c r="H969" t="s">
        <v>12</v>
      </c>
      <c r="I969">
        <v>2</v>
      </c>
      <c r="J969">
        <v>0.22</v>
      </c>
      <c r="K969">
        <v>0.2273</v>
      </c>
      <c r="L969">
        <v>0.64</v>
      </c>
      <c r="M969">
        <v>0.19400000000000001</v>
      </c>
      <c r="N969">
        <v>1</v>
      </c>
      <c r="O969">
        <v>11</v>
      </c>
      <c r="P969">
        <v>12</v>
      </c>
      <c r="S969" t="str">
        <f>IF(Dataset_A[[#This Row],[Hr]]&gt;=19,"Evening Time",IF(Dataset_A[[#This Row],[Hr]]&gt;=9,"Day Time",IF(Dataset_A[[#This Row],[Hr]]&gt;=0,"Night Time","")))</f>
        <v>Night Time</v>
      </c>
    </row>
    <row r="970" spans="1:19" x14ac:dyDescent="0.2">
      <c r="A970">
        <v>969</v>
      </c>
      <c r="B970" s="3">
        <v>40587</v>
      </c>
      <c r="C970">
        <v>1</v>
      </c>
      <c r="D970">
        <v>2011</v>
      </c>
      <c r="E970" t="s">
        <v>25</v>
      </c>
      <c r="F970">
        <v>9</v>
      </c>
      <c r="G970" t="b">
        <v>1</v>
      </c>
      <c r="H970" t="s">
        <v>12</v>
      </c>
      <c r="I970">
        <v>2</v>
      </c>
      <c r="J970">
        <v>0.24</v>
      </c>
      <c r="K970">
        <v>0.2273</v>
      </c>
      <c r="L970">
        <v>0.6</v>
      </c>
      <c r="M970">
        <v>0.22389999999999999</v>
      </c>
      <c r="N970">
        <v>12</v>
      </c>
      <c r="O970">
        <v>35</v>
      </c>
      <c r="P970">
        <v>47</v>
      </c>
      <c r="S970" t="str">
        <f>IF(Dataset_A[[#This Row],[Hr]]&gt;=19,"Evening Time",IF(Dataset_A[[#This Row],[Hr]]&gt;=9,"Day Time",IF(Dataset_A[[#This Row],[Hr]]&gt;=0,"Night Time","")))</f>
        <v>Day Time</v>
      </c>
    </row>
    <row r="971" spans="1:19" x14ac:dyDescent="0.2">
      <c r="A971">
        <v>970</v>
      </c>
      <c r="B971" s="3">
        <v>40587</v>
      </c>
      <c r="C971">
        <v>1</v>
      </c>
      <c r="D971">
        <v>2011</v>
      </c>
      <c r="E971" t="s">
        <v>25</v>
      </c>
      <c r="F971">
        <v>10</v>
      </c>
      <c r="G971" t="b">
        <v>1</v>
      </c>
      <c r="H971" t="s">
        <v>12</v>
      </c>
      <c r="I971">
        <v>1</v>
      </c>
      <c r="J971">
        <v>0.3</v>
      </c>
      <c r="K971">
        <v>0.2727</v>
      </c>
      <c r="L971">
        <v>0.45</v>
      </c>
      <c r="M971">
        <v>0.32840000000000003</v>
      </c>
      <c r="N971">
        <v>19</v>
      </c>
      <c r="O971">
        <v>86</v>
      </c>
      <c r="P971">
        <v>105</v>
      </c>
      <c r="S971" t="str">
        <f>IF(Dataset_A[[#This Row],[Hr]]&gt;=19,"Evening Time",IF(Dataset_A[[#This Row],[Hr]]&gt;=9,"Day Time",IF(Dataset_A[[#This Row],[Hr]]&gt;=0,"Night Time","")))</f>
        <v>Day Time</v>
      </c>
    </row>
    <row r="972" spans="1:19" x14ac:dyDescent="0.2">
      <c r="A972">
        <v>971</v>
      </c>
      <c r="B972" s="3">
        <v>40587</v>
      </c>
      <c r="C972">
        <v>1</v>
      </c>
      <c r="D972">
        <v>2011</v>
      </c>
      <c r="E972" t="s">
        <v>25</v>
      </c>
      <c r="F972">
        <v>11</v>
      </c>
      <c r="G972" t="b">
        <v>1</v>
      </c>
      <c r="H972" t="s">
        <v>12</v>
      </c>
      <c r="I972">
        <v>1</v>
      </c>
      <c r="J972">
        <v>0.32</v>
      </c>
      <c r="K972">
        <v>0.28789999999999999</v>
      </c>
      <c r="L972">
        <v>0.39</v>
      </c>
      <c r="M972">
        <v>0.44779999999999998</v>
      </c>
      <c r="N972">
        <v>26</v>
      </c>
      <c r="O972">
        <v>86</v>
      </c>
      <c r="P972">
        <v>112</v>
      </c>
      <c r="S972" t="str">
        <f>IF(Dataset_A[[#This Row],[Hr]]&gt;=19,"Evening Time",IF(Dataset_A[[#This Row],[Hr]]&gt;=9,"Day Time",IF(Dataset_A[[#This Row],[Hr]]&gt;=0,"Night Time","")))</f>
        <v>Day Time</v>
      </c>
    </row>
    <row r="973" spans="1:19" x14ac:dyDescent="0.2">
      <c r="A973">
        <v>972</v>
      </c>
      <c r="B973" s="3">
        <v>40587</v>
      </c>
      <c r="C973">
        <v>1</v>
      </c>
      <c r="D973">
        <v>2011</v>
      </c>
      <c r="E973" t="s">
        <v>25</v>
      </c>
      <c r="F973">
        <v>12</v>
      </c>
      <c r="G973" t="b">
        <v>1</v>
      </c>
      <c r="H973" t="s">
        <v>12</v>
      </c>
      <c r="I973">
        <v>1</v>
      </c>
      <c r="J973">
        <v>0.36</v>
      </c>
      <c r="K973">
        <v>0.31819999999999998</v>
      </c>
      <c r="L973">
        <v>0.32</v>
      </c>
      <c r="M973">
        <v>0.4627</v>
      </c>
      <c r="N973">
        <v>58</v>
      </c>
      <c r="O973">
        <v>94</v>
      </c>
      <c r="P973">
        <v>152</v>
      </c>
      <c r="S973" t="str">
        <f>IF(Dataset_A[[#This Row],[Hr]]&gt;=19,"Evening Time",IF(Dataset_A[[#This Row],[Hr]]&gt;=9,"Day Time",IF(Dataset_A[[#This Row],[Hr]]&gt;=0,"Night Time","")))</f>
        <v>Day Time</v>
      </c>
    </row>
    <row r="974" spans="1:19" x14ac:dyDescent="0.2">
      <c r="A974">
        <v>973</v>
      </c>
      <c r="B974" s="3">
        <v>40587</v>
      </c>
      <c r="C974">
        <v>1</v>
      </c>
      <c r="D974">
        <v>2011</v>
      </c>
      <c r="E974" t="s">
        <v>25</v>
      </c>
      <c r="F974">
        <v>13</v>
      </c>
      <c r="G974" t="b">
        <v>1</v>
      </c>
      <c r="H974" t="s">
        <v>12</v>
      </c>
      <c r="I974">
        <v>1</v>
      </c>
      <c r="J974">
        <v>0.38</v>
      </c>
      <c r="K974">
        <v>0.39389999999999997</v>
      </c>
      <c r="L974">
        <v>0.28999999999999998</v>
      </c>
      <c r="M974">
        <v>0.35820000000000002</v>
      </c>
      <c r="N974">
        <v>62</v>
      </c>
      <c r="O974">
        <v>92</v>
      </c>
      <c r="P974">
        <v>154</v>
      </c>
      <c r="S974" t="str">
        <f>IF(Dataset_A[[#This Row],[Hr]]&gt;=19,"Evening Time",IF(Dataset_A[[#This Row],[Hr]]&gt;=9,"Day Time",IF(Dataset_A[[#This Row],[Hr]]&gt;=0,"Night Time","")))</f>
        <v>Day Time</v>
      </c>
    </row>
    <row r="975" spans="1:19" x14ac:dyDescent="0.2">
      <c r="A975">
        <v>974</v>
      </c>
      <c r="B975" s="3">
        <v>40587</v>
      </c>
      <c r="C975">
        <v>1</v>
      </c>
      <c r="D975">
        <v>2011</v>
      </c>
      <c r="E975" t="s">
        <v>25</v>
      </c>
      <c r="F975">
        <v>14</v>
      </c>
      <c r="G975" t="b">
        <v>1</v>
      </c>
      <c r="H975" t="s">
        <v>12</v>
      </c>
      <c r="I975">
        <v>2</v>
      </c>
      <c r="J975">
        <v>0.4</v>
      </c>
      <c r="K975">
        <v>0.40910000000000002</v>
      </c>
      <c r="L975">
        <v>0.3</v>
      </c>
      <c r="M975">
        <v>0.41789999999999999</v>
      </c>
      <c r="N975">
        <v>51</v>
      </c>
      <c r="O975">
        <v>110</v>
      </c>
      <c r="P975">
        <v>161</v>
      </c>
      <c r="S975" t="str">
        <f>IF(Dataset_A[[#This Row],[Hr]]&gt;=19,"Evening Time",IF(Dataset_A[[#This Row],[Hr]]&gt;=9,"Day Time",IF(Dataset_A[[#This Row],[Hr]]&gt;=0,"Night Time","")))</f>
        <v>Day Time</v>
      </c>
    </row>
    <row r="976" spans="1:19" x14ac:dyDescent="0.2">
      <c r="A976">
        <v>975</v>
      </c>
      <c r="B976" s="3">
        <v>40587</v>
      </c>
      <c r="C976">
        <v>1</v>
      </c>
      <c r="D976">
        <v>2011</v>
      </c>
      <c r="E976" t="s">
        <v>25</v>
      </c>
      <c r="F976">
        <v>15</v>
      </c>
      <c r="G976" t="b">
        <v>1</v>
      </c>
      <c r="H976" t="s">
        <v>12</v>
      </c>
      <c r="I976">
        <v>2</v>
      </c>
      <c r="J976">
        <v>0.4</v>
      </c>
      <c r="K976">
        <v>0.40910000000000002</v>
      </c>
      <c r="L976">
        <v>0.3</v>
      </c>
      <c r="M976">
        <v>0.29849999999999999</v>
      </c>
      <c r="N976">
        <v>40</v>
      </c>
      <c r="O976">
        <v>122</v>
      </c>
      <c r="P976">
        <v>162</v>
      </c>
      <c r="S976" t="str">
        <f>IF(Dataset_A[[#This Row],[Hr]]&gt;=19,"Evening Time",IF(Dataset_A[[#This Row],[Hr]]&gt;=9,"Day Time",IF(Dataset_A[[#This Row],[Hr]]&gt;=0,"Night Time","")))</f>
        <v>Day Time</v>
      </c>
    </row>
    <row r="977" spans="1:19" x14ac:dyDescent="0.2">
      <c r="A977">
        <v>976</v>
      </c>
      <c r="B977" s="3">
        <v>40587</v>
      </c>
      <c r="C977">
        <v>1</v>
      </c>
      <c r="D977">
        <v>2011</v>
      </c>
      <c r="E977" t="s">
        <v>25</v>
      </c>
      <c r="F977">
        <v>16</v>
      </c>
      <c r="G977" t="b">
        <v>1</v>
      </c>
      <c r="H977" t="s">
        <v>12</v>
      </c>
      <c r="I977">
        <v>2</v>
      </c>
      <c r="J977">
        <v>0.42</v>
      </c>
      <c r="K977">
        <v>0.42420000000000002</v>
      </c>
      <c r="L977">
        <v>0.28000000000000003</v>
      </c>
      <c r="M977">
        <v>0.32840000000000003</v>
      </c>
      <c r="N977">
        <v>28</v>
      </c>
      <c r="O977">
        <v>106</v>
      </c>
      <c r="P977">
        <v>134</v>
      </c>
      <c r="S977" t="str">
        <f>IF(Dataset_A[[#This Row],[Hr]]&gt;=19,"Evening Time",IF(Dataset_A[[#This Row],[Hr]]&gt;=9,"Day Time",IF(Dataset_A[[#This Row],[Hr]]&gt;=0,"Night Time","")))</f>
        <v>Day Time</v>
      </c>
    </row>
    <row r="978" spans="1:19" x14ac:dyDescent="0.2">
      <c r="A978">
        <v>977</v>
      </c>
      <c r="B978" s="3">
        <v>40587</v>
      </c>
      <c r="C978">
        <v>1</v>
      </c>
      <c r="D978">
        <v>2011</v>
      </c>
      <c r="E978" t="s">
        <v>25</v>
      </c>
      <c r="F978">
        <v>17</v>
      </c>
      <c r="G978" t="b">
        <v>1</v>
      </c>
      <c r="H978" t="s">
        <v>12</v>
      </c>
      <c r="I978">
        <v>1</v>
      </c>
      <c r="J978">
        <v>0.42</v>
      </c>
      <c r="K978">
        <v>0.42420000000000002</v>
      </c>
      <c r="L978">
        <v>0.28000000000000003</v>
      </c>
      <c r="M978">
        <v>0.32840000000000003</v>
      </c>
      <c r="N978">
        <v>30</v>
      </c>
      <c r="O978">
        <v>95</v>
      </c>
      <c r="P978">
        <v>125</v>
      </c>
      <c r="S978" t="str">
        <f>IF(Dataset_A[[#This Row],[Hr]]&gt;=19,"Evening Time",IF(Dataset_A[[#This Row],[Hr]]&gt;=9,"Day Time",IF(Dataset_A[[#This Row],[Hr]]&gt;=0,"Night Time","")))</f>
        <v>Day Time</v>
      </c>
    </row>
    <row r="979" spans="1:19" x14ac:dyDescent="0.2">
      <c r="A979">
        <v>978</v>
      </c>
      <c r="B979" s="3">
        <v>40587</v>
      </c>
      <c r="C979">
        <v>1</v>
      </c>
      <c r="D979">
        <v>2011</v>
      </c>
      <c r="E979" t="s">
        <v>25</v>
      </c>
      <c r="F979">
        <v>18</v>
      </c>
      <c r="G979" t="b">
        <v>1</v>
      </c>
      <c r="H979" t="s">
        <v>12</v>
      </c>
      <c r="I979">
        <v>1</v>
      </c>
      <c r="J979">
        <v>0.4</v>
      </c>
      <c r="K979">
        <v>0.40910000000000002</v>
      </c>
      <c r="L979">
        <v>0.32</v>
      </c>
      <c r="M979">
        <v>0.29849999999999999</v>
      </c>
      <c r="N979">
        <v>17</v>
      </c>
      <c r="O979">
        <v>78</v>
      </c>
      <c r="P979">
        <v>95</v>
      </c>
      <c r="S979" t="str">
        <f>IF(Dataset_A[[#This Row],[Hr]]&gt;=19,"Evening Time",IF(Dataset_A[[#This Row],[Hr]]&gt;=9,"Day Time",IF(Dataset_A[[#This Row],[Hr]]&gt;=0,"Night Time","")))</f>
        <v>Day Time</v>
      </c>
    </row>
    <row r="980" spans="1:19" x14ac:dyDescent="0.2">
      <c r="A980">
        <v>979</v>
      </c>
      <c r="B980" s="3">
        <v>40587</v>
      </c>
      <c r="C980">
        <v>1</v>
      </c>
      <c r="D980">
        <v>2011</v>
      </c>
      <c r="E980" t="s">
        <v>25</v>
      </c>
      <c r="F980">
        <v>19</v>
      </c>
      <c r="G980" t="b">
        <v>1</v>
      </c>
      <c r="H980" t="s">
        <v>12</v>
      </c>
      <c r="I980">
        <v>1</v>
      </c>
      <c r="J980">
        <v>0.4</v>
      </c>
      <c r="K980">
        <v>0.40910000000000002</v>
      </c>
      <c r="L980">
        <v>0.35</v>
      </c>
      <c r="M980">
        <v>0.28360000000000002</v>
      </c>
      <c r="N980">
        <v>11</v>
      </c>
      <c r="O980">
        <v>50</v>
      </c>
      <c r="P980">
        <v>61</v>
      </c>
      <c r="S980" t="str">
        <f>IF(Dataset_A[[#This Row],[Hr]]&gt;=19,"Evening Time",IF(Dataset_A[[#This Row],[Hr]]&gt;=9,"Day Time",IF(Dataset_A[[#This Row],[Hr]]&gt;=0,"Night Time","")))</f>
        <v>Evening Time</v>
      </c>
    </row>
    <row r="981" spans="1:19" x14ac:dyDescent="0.2">
      <c r="A981">
        <v>980</v>
      </c>
      <c r="B981" s="3">
        <v>40587</v>
      </c>
      <c r="C981">
        <v>1</v>
      </c>
      <c r="D981">
        <v>2011</v>
      </c>
      <c r="E981" t="s">
        <v>25</v>
      </c>
      <c r="F981">
        <v>20</v>
      </c>
      <c r="G981" t="b">
        <v>1</v>
      </c>
      <c r="H981" t="s">
        <v>12</v>
      </c>
      <c r="I981">
        <v>1</v>
      </c>
      <c r="J981">
        <v>0.4</v>
      </c>
      <c r="K981">
        <v>0.40910000000000002</v>
      </c>
      <c r="L981">
        <v>0.35</v>
      </c>
      <c r="M981">
        <v>0.32840000000000003</v>
      </c>
      <c r="N981">
        <v>15</v>
      </c>
      <c r="O981">
        <v>32</v>
      </c>
      <c r="P981">
        <v>47</v>
      </c>
      <c r="S981" t="str">
        <f>IF(Dataset_A[[#This Row],[Hr]]&gt;=19,"Evening Time",IF(Dataset_A[[#This Row],[Hr]]&gt;=9,"Day Time",IF(Dataset_A[[#This Row],[Hr]]&gt;=0,"Night Time","")))</f>
        <v>Evening Time</v>
      </c>
    </row>
    <row r="982" spans="1:19" x14ac:dyDescent="0.2">
      <c r="A982">
        <v>981</v>
      </c>
      <c r="B982" s="3">
        <v>40587</v>
      </c>
      <c r="C982">
        <v>1</v>
      </c>
      <c r="D982">
        <v>2011</v>
      </c>
      <c r="E982" t="s">
        <v>25</v>
      </c>
      <c r="F982">
        <v>21</v>
      </c>
      <c r="G982" t="b">
        <v>1</v>
      </c>
      <c r="H982" t="s">
        <v>12</v>
      </c>
      <c r="I982">
        <v>1</v>
      </c>
      <c r="J982">
        <v>0.4</v>
      </c>
      <c r="K982">
        <v>0.40910000000000002</v>
      </c>
      <c r="L982">
        <v>0.35</v>
      </c>
      <c r="M982">
        <v>0.35820000000000002</v>
      </c>
      <c r="N982">
        <v>6</v>
      </c>
      <c r="O982">
        <v>45</v>
      </c>
      <c r="P982">
        <v>51</v>
      </c>
      <c r="S982" t="str">
        <f>IF(Dataset_A[[#This Row],[Hr]]&gt;=19,"Evening Time",IF(Dataset_A[[#This Row],[Hr]]&gt;=9,"Day Time",IF(Dataset_A[[#This Row],[Hr]]&gt;=0,"Night Time","")))</f>
        <v>Evening Time</v>
      </c>
    </row>
    <row r="983" spans="1:19" x14ac:dyDescent="0.2">
      <c r="A983">
        <v>982</v>
      </c>
      <c r="B983" s="3">
        <v>40587</v>
      </c>
      <c r="C983">
        <v>1</v>
      </c>
      <c r="D983">
        <v>2011</v>
      </c>
      <c r="E983" t="s">
        <v>25</v>
      </c>
      <c r="F983">
        <v>22</v>
      </c>
      <c r="G983" t="b">
        <v>1</v>
      </c>
      <c r="H983" t="s">
        <v>12</v>
      </c>
      <c r="I983">
        <v>1</v>
      </c>
      <c r="J983">
        <v>0.4</v>
      </c>
      <c r="K983">
        <v>0.40910000000000002</v>
      </c>
      <c r="L983">
        <v>0.35</v>
      </c>
      <c r="M983">
        <v>0.29849999999999999</v>
      </c>
      <c r="N983">
        <v>5</v>
      </c>
      <c r="O983">
        <v>31</v>
      </c>
      <c r="P983">
        <v>36</v>
      </c>
      <c r="S983" t="str">
        <f>IF(Dataset_A[[#This Row],[Hr]]&gt;=19,"Evening Time",IF(Dataset_A[[#This Row],[Hr]]&gt;=9,"Day Time",IF(Dataset_A[[#This Row],[Hr]]&gt;=0,"Night Time","")))</f>
        <v>Evening Time</v>
      </c>
    </row>
    <row r="984" spans="1:19" x14ac:dyDescent="0.2">
      <c r="A984">
        <v>983</v>
      </c>
      <c r="B984" s="3">
        <v>40587</v>
      </c>
      <c r="C984">
        <v>1</v>
      </c>
      <c r="D984">
        <v>2011</v>
      </c>
      <c r="E984" t="s">
        <v>25</v>
      </c>
      <c r="F984">
        <v>23</v>
      </c>
      <c r="G984" t="b">
        <v>1</v>
      </c>
      <c r="H984" t="s">
        <v>12</v>
      </c>
      <c r="I984">
        <v>1</v>
      </c>
      <c r="J984">
        <v>0.4</v>
      </c>
      <c r="K984">
        <v>0.40910000000000002</v>
      </c>
      <c r="L984">
        <v>0.35</v>
      </c>
      <c r="M984">
        <v>0.35820000000000002</v>
      </c>
      <c r="N984">
        <v>3</v>
      </c>
      <c r="O984">
        <v>27</v>
      </c>
      <c r="P984">
        <v>30</v>
      </c>
      <c r="S984" t="str">
        <f>IF(Dataset_A[[#This Row],[Hr]]&gt;=19,"Evening Time",IF(Dataset_A[[#This Row],[Hr]]&gt;=9,"Day Time",IF(Dataset_A[[#This Row],[Hr]]&gt;=0,"Night Time","")))</f>
        <v>Evening Time</v>
      </c>
    </row>
    <row r="985" spans="1:19" x14ac:dyDescent="0.2">
      <c r="A985">
        <v>984</v>
      </c>
      <c r="B985" s="3">
        <v>40588</v>
      </c>
      <c r="C985">
        <v>1</v>
      </c>
      <c r="D985">
        <v>2011</v>
      </c>
      <c r="E985" t="s">
        <v>25</v>
      </c>
      <c r="F985">
        <v>0</v>
      </c>
      <c r="G985" t="b">
        <v>0</v>
      </c>
      <c r="H985" t="s">
        <v>13</v>
      </c>
      <c r="I985">
        <v>1</v>
      </c>
      <c r="J985">
        <v>0.38</v>
      </c>
      <c r="K985">
        <v>0.39389999999999997</v>
      </c>
      <c r="L985">
        <v>0.37</v>
      </c>
      <c r="M985">
        <v>0.35820000000000002</v>
      </c>
      <c r="N985">
        <v>3</v>
      </c>
      <c r="O985">
        <v>8</v>
      </c>
      <c r="P985">
        <v>11</v>
      </c>
      <c r="S985" t="str">
        <f>IF(Dataset_A[[#This Row],[Hr]]&gt;=19,"Evening Time",IF(Dataset_A[[#This Row],[Hr]]&gt;=9,"Day Time",IF(Dataset_A[[#This Row],[Hr]]&gt;=0,"Night Time","")))</f>
        <v>Night Time</v>
      </c>
    </row>
    <row r="986" spans="1:19" x14ac:dyDescent="0.2">
      <c r="A986">
        <v>985</v>
      </c>
      <c r="B986" s="3">
        <v>40588</v>
      </c>
      <c r="C986">
        <v>1</v>
      </c>
      <c r="D986">
        <v>2011</v>
      </c>
      <c r="E986" t="s">
        <v>25</v>
      </c>
      <c r="F986">
        <v>1</v>
      </c>
      <c r="G986" t="b">
        <v>0</v>
      </c>
      <c r="H986" t="s">
        <v>13</v>
      </c>
      <c r="I986">
        <v>1</v>
      </c>
      <c r="J986">
        <v>0.38</v>
      </c>
      <c r="K986">
        <v>0.39389999999999997</v>
      </c>
      <c r="L986">
        <v>0.37</v>
      </c>
      <c r="M986">
        <v>0.35820000000000002</v>
      </c>
      <c r="N986">
        <v>1</v>
      </c>
      <c r="O986">
        <v>6</v>
      </c>
      <c r="P986">
        <v>7</v>
      </c>
      <c r="S986" t="str">
        <f>IF(Dataset_A[[#This Row],[Hr]]&gt;=19,"Evening Time",IF(Dataset_A[[#This Row],[Hr]]&gt;=9,"Day Time",IF(Dataset_A[[#This Row],[Hr]]&gt;=0,"Night Time","")))</f>
        <v>Night Time</v>
      </c>
    </row>
    <row r="987" spans="1:19" x14ac:dyDescent="0.2">
      <c r="A987">
        <v>986</v>
      </c>
      <c r="B987" s="3">
        <v>40588</v>
      </c>
      <c r="C987">
        <v>1</v>
      </c>
      <c r="D987">
        <v>2011</v>
      </c>
      <c r="E987" t="s">
        <v>25</v>
      </c>
      <c r="F987">
        <v>2</v>
      </c>
      <c r="G987" t="b">
        <v>0</v>
      </c>
      <c r="H987" t="s">
        <v>13</v>
      </c>
      <c r="I987">
        <v>1</v>
      </c>
      <c r="J987">
        <v>0.36</v>
      </c>
      <c r="K987">
        <v>0.33329999999999999</v>
      </c>
      <c r="L987">
        <v>0.4</v>
      </c>
      <c r="M987">
        <v>0.29849999999999999</v>
      </c>
      <c r="N987">
        <v>0</v>
      </c>
      <c r="O987">
        <v>2</v>
      </c>
      <c r="P987">
        <v>2</v>
      </c>
      <c r="S987" t="str">
        <f>IF(Dataset_A[[#This Row],[Hr]]&gt;=19,"Evening Time",IF(Dataset_A[[#This Row],[Hr]]&gt;=9,"Day Time",IF(Dataset_A[[#This Row],[Hr]]&gt;=0,"Night Time","")))</f>
        <v>Night Time</v>
      </c>
    </row>
    <row r="988" spans="1:19" x14ac:dyDescent="0.2">
      <c r="A988">
        <v>987</v>
      </c>
      <c r="B988" s="3">
        <v>40588</v>
      </c>
      <c r="C988">
        <v>1</v>
      </c>
      <c r="D988">
        <v>2011</v>
      </c>
      <c r="E988" t="s">
        <v>25</v>
      </c>
      <c r="F988">
        <v>3</v>
      </c>
      <c r="G988" t="b">
        <v>0</v>
      </c>
      <c r="H988" t="s">
        <v>13</v>
      </c>
      <c r="I988">
        <v>1</v>
      </c>
      <c r="J988">
        <v>0.34</v>
      </c>
      <c r="K988">
        <v>0.31819999999999998</v>
      </c>
      <c r="L988">
        <v>0.46</v>
      </c>
      <c r="M988">
        <v>0.22389999999999999</v>
      </c>
      <c r="N988">
        <v>1</v>
      </c>
      <c r="O988">
        <v>1</v>
      </c>
      <c r="P988">
        <v>2</v>
      </c>
      <c r="S988" t="str">
        <f>IF(Dataset_A[[#This Row],[Hr]]&gt;=19,"Evening Time",IF(Dataset_A[[#This Row],[Hr]]&gt;=9,"Day Time",IF(Dataset_A[[#This Row],[Hr]]&gt;=0,"Night Time","")))</f>
        <v>Night Time</v>
      </c>
    </row>
    <row r="989" spans="1:19" x14ac:dyDescent="0.2">
      <c r="A989">
        <v>988</v>
      </c>
      <c r="B989" s="3">
        <v>40588</v>
      </c>
      <c r="C989">
        <v>1</v>
      </c>
      <c r="D989">
        <v>2011</v>
      </c>
      <c r="E989" t="s">
        <v>25</v>
      </c>
      <c r="F989">
        <v>4</v>
      </c>
      <c r="G989" t="b">
        <v>0</v>
      </c>
      <c r="H989" t="s">
        <v>13</v>
      </c>
      <c r="I989">
        <v>1</v>
      </c>
      <c r="J989">
        <v>0.32</v>
      </c>
      <c r="K989">
        <v>0.30299999999999999</v>
      </c>
      <c r="L989">
        <v>0.53</v>
      </c>
      <c r="M989">
        <v>0.28360000000000002</v>
      </c>
      <c r="N989">
        <v>0</v>
      </c>
      <c r="O989">
        <v>2</v>
      </c>
      <c r="P989">
        <v>2</v>
      </c>
      <c r="S989" t="str">
        <f>IF(Dataset_A[[#This Row],[Hr]]&gt;=19,"Evening Time",IF(Dataset_A[[#This Row],[Hr]]&gt;=9,"Day Time",IF(Dataset_A[[#This Row],[Hr]]&gt;=0,"Night Time","")))</f>
        <v>Night Time</v>
      </c>
    </row>
    <row r="990" spans="1:19" x14ac:dyDescent="0.2">
      <c r="A990">
        <v>989</v>
      </c>
      <c r="B990" s="3">
        <v>40588</v>
      </c>
      <c r="C990">
        <v>1</v>
      </c>
      <c r="D990">
        <v>2011</v>
      </c>
      <c r="E990" t="s">
        <v>25</v>
      </c>
      <c r="F990">
        <v>5</v>
      </c>
      <c r="G990" t="b">
        <v>0</v>
      </c>
      <c r="H990" t="s">
        <v>13</v>
      </c>
      <c r="I990">
        <v>1</v>
      </c>
      <c r="J990">
        <v>0.32</v>
      </c>
      <c r="K990">
        <v>0.30299999999999999</v>
      </c>
      <c r="L990">
        <v>0.53</v>
      </c>
      <c r="M990">
        <v>0.28360000000000002</v>
      </c>
      <c r="N990">
        <v>0</v>
      </c>
      <c r="O990">
        <v>3</v>
      </c>
      <c r="P990">
        <v>3</v>
      </c>
      <c r="S990" t="str">
        <f>IF(Dataset_A[[#This Row],[Hr]]&gt;=19,"Evening Time",IF(Dataset_A[[#This Row],[Hr]]&gt;=9,"Day Time",IF(Dataset_A[[#This Row],[Hr]]&gt;=0,"Night Time","")))</f>
        <v>Night Time</v>
      </c>
    </row>
    <row r="991" spans="1:19" x14ac:dyDescent="0.2">
      <c r="A991">
        <v>990</v>
      </c>
      <c r="B991" s="3">
        <v>40588</v>
      </c>
      <c r="C991">
        <v>1</v>
      </c>
      <c r="D991">
        <v>2011</v>
      </c>
      <c r="E991" t="s">
        <v>25</v>
      </c>
      <c r="F991">
        <v>6</v>
      </c>
      <c r="G991" t="b">
        <v>0</v>
      </c>
      <c r="H991" t="s">
        <v>13</v>
      </c>
      <c r="I991">
        <v>1</v>
      </c>
      <c r="J991">
        <v>0.34</v>
      </c>
      <c r="K991">
        <v>0.30299999999999999</v>
      </c>
      <c r="L991">
        <v>0.46</v>
      </c>
      <c r="M991">
        <v>0.29849999999999999</v>
      </c>
      <c r="N991">
        <v>1</v>
      </c>
      <c r="O991">
        <v>25</v>
      </c>
      <c r="P991">
        <v>26</v>
      </c>
      <c r="S991" t="str">
        <f>IF(Dataset_A[[#This Row],[Hr]]&gt;=19,"Evening Time",IF(Dataset_A[[#This Row],[Hr]]&gt;=9,"Day Time",IF(Dataset_A[[#This Row],[Hr]]&gt;=0,"Night Time","")))</f>
        <v>Night Time</v>
      </c>
    </row>
    <row r="992" spans="1:19" x14ac:dyDescent="0.2">
      <c r="A992">
        <v>991</v>
      </c>
      <c r="B992" s="3">
        <v>40588</v>
      </c>
      <c r="C992">
        <v>1</v>
      </c>
      <c r="D992">
        <v>2011</v>
      </c>
      <c r="E992" t="s">
        <v>25</v>
      </c>
      <c r="F992">
        <v>7</v>
      </c>
      <c r="G992" t="b">
        <v>0</v>
      </c>
      <c r="H992" t="s">
        <v>13</v>
      </c>
      <c r="I992">
        <v>1</v>
      </c>
      <c r="J992">
        <v>0.34</v>
      </c>
      <c r="K992">
        <v>0.30299999999999999</v>
      </c>
      <c r="L992">
        <v>0.46</v>
      </c>
      <c r="M992">
        <v>0.29849999999999999</v>
      </c>
      <c r="N992">
        <v>2</v>
      </c>
      <c r="O992">
        <v>96</v>
      </c>
      <c r="P992">
        <v>98</v>
      </c>
      <c r="S992" t="str">
        <f>IF(Dataset_A[[#This Row],[Hr]]&gt;=19,"Evening Time",IF(Dataset_A[[#This Row],[Hr]]&gt;=9,"Day Time",IF(Dataset_A[[#This Row],[Hr]]&gt;=0,"Night Time","")))</f>
        <v>Night Time</v>
      </c>
    </row>
    <row r="993" spans="1:19" x14ac:dyDescent="0.2">
      <c r="A993">
        <v>992</v>
      </c>
      <c r="B993" s="3">
        <v>40571</v>
      </c>
      <c r="C993">
        <v>1</v>
      </c>
      <c r="D993">
        <v>2011</v>
      </c>
      <c r="E993" t="s">
        <v>10</v>
      </c>
      <c r="F993">
        <v>16</v>
      </c>
      <c r="G993" t="b">
        <v>0</v>
      </c>
      <c r="H993" t="s">
        <v>17</v>
      </c>
      <c r="I993">
        <v>1</v>
      </c>
      <c r="J993">
        <v>0.22</v>
      </c>
      <c r="K993">
        <v>0.2727</v>
      </c>
      <c r="L993">
        <v>0.8</v>
      </c>
      <c r="M993">
        <v>0</v>
      </c>
      <c r="N993">
        <v>10</v>
      </c>
      <c r="O993">
        <v>70</v>
      </c>
      <c r="P993">
        <v>80</v>
      </c>
      <c r="S993" t="str">
        <f>IF(Dataset_A[[#This Row],[Hr]]&gt;=19,"Evening Time",IF(Dataset_A[[#This Row],[Hr]]&gt;=9,"Day Time",IF(Dataset_A[[#This Row],[Hr]]&gt;=0,"Night Time","")))</f>
        <v>Day Time</v>
      </c>
    </row>
    <row r="994" spans="1:19" x14ac:dyDescent="0.2">
      <c r="A994">
        <v>993</v>
      </c>
      <c r="B994" s="3">
        <v>40571</v>
      </c>
      <c r="C994">
        <v>1</v>
      </c>
      <c r="D994">
        <v>2011</v>
      </c>
      <c r="E994" t="s">
        <v>10</v>
      </c>
      <c r="F994">
        <v>17</v>
      </c>
      <c r="G994" t="b">
        <v>0</v>
      </c>
      <c r="H994" t="s">
        <v>17</v>
      </c>
      <c r="I994">
        <v>1</v>
      </c>
      <c r="J994">
        <v>0.24</v>
      </c>
      <c r="K994">
        <v>0.2424</v>
      </c>
      <c r="L994">
        <v>0.75</v>
      </c>
      <c r="M994">
        <v>0.1343</v>
      </c>
      <c r="N994">
        <v>2</v>
      </c>
      <c r="O994">
        <v>147</v>
      </c>
      <c r="P994">
        <v>149</v>
      </c>
      <c r="S994" t="str">
        <f>IF(Dataset_A[[#This Row],[Hr]]&gt;=19,"Evening Time",IF(Dataset_A[[#This Row],[Hr]]&gt;=9,"Day Time",IF(Dataset_A[[#This Row],[Hr]]&gt;=0,"Night Time","")))</f>
        <v>Day Time</v>
      </c>
    </row>
    <row r="995" spans="1:19" x14ac:dyDescent="0.2">
      <c r="A995">
        <v>994</v>
      </c>
      <c r="B995" s="3">
        <v>40571</v>
      </c>
      <c r="C995">
        <v>1</v>
      </c>
      <c r="D995">
        <v>2011</v>
      </c>
      <c r="E995" t="s">
        <v>10</v>
      </c>
      <c r="F995">
        <v>18</v>
      </c>
      <c r="G995" t="b">
        <v>0</v>
      </c>
      <c r="H995" t="s">
        <v>17</v>
      </c>
      <c r="I995">
        <v>1</v>
      </c>
      <c r="J995">
        <v>0.24</v>
      </c>
      <c r="K995">
        <v>0.2273</v>
      </c>
      <c r="L995">
        <v>0.75</v>
      </c>
      <c r="M995">
        <v>0.19400000000000001</v>
      </c>
      <c r="N995">
        <v>2</v>
      </c>
      <c r="O995">
        <v>107</v>
      </c>
      <c r="P995">
        <v>109</v>
      </c>
      <c r="S995" t="str">
        <f>IF(Dataset_A[[#This Row],[Hr]]&gt;=19,"Evening Time",IF(Dataset_A[[#This Row],[Hr]]&gt;=9,"Day Time",IF(Dataset_A[[#This Row],[Hr]]&gt;=0,"Night Time","")))</f>
        <v>Day Time</v>
      </c>
    </row>
    <row r="996" spans="1:19" x14ac:dyDescent="0.2">
      <c r="A996">
        <v>995</v>
      </c>
      <c r="B996" s="3">
        <v>40571</v>
      </c>
      <c r="C996">
        <v>1</v>
      </c>
      <c r="D996">
        <v>2011</v>
      </c>
      <c r="E996" t="s">
        <v>10</v>
      </c>
      <c r="F996">
        <v>19</v>
      </c>
      <c r="G996" t="b">
        <v>0</v>
      </c>
      <c r="H996" t="s">
        <v>17</v>
      </c>
      <c r="I996">
        <v>2</v>
      </c>
      <c r="J996">
        <v>0.24</v>
      </c>
      <c r="K996">
        <v>0.2424</v>
      </c>
      <c r="L996">
        <v>0.75</v>
      </c>
      <c r="M996">
        <v>0.1343</v>
      </c>
      <c r="N996">
        <v>5</v>
      </c>
      <c r="O996">
        <v>84</v>
      </c>
      <c r="P996">
        <v>89</v>
      </c>
      <c r="S996" t="str">
        <f>IF(Dataset_A[[#This Row],[Hr]]&gt;=19,"Evening Time",IF(Dataset_A[[#This Row],[Hr]]&gt;=9,"Day Time",IF(Dataset_A[[#This Row],[Hr]]&gt;=0,"Night Time","")))</f>
        <v>Evening Time</v>
      </c>
    </row>
    <row r="997" spans="1:19" x14ac:dyDescent="0.2">
      <c r="A997">
        <v>996</v>
      </c>
      <c r="B997" s="3">
        <v>40571</v>
      </c>
      <c r="C997">
        <v>1</v>
      </c>
      <c r="D997">
        <v>2011</v>
      </c>
      <c r="E997" t="s">
        <v>10</v>
      </c>
      <c r="F997">
        <v>20</v>
      </c>
      <c r="G997" t="b">
        <v>0</v>
      </c>
      <c r="H997" t="s">
        <v>17</v>
      </c>
      <c r="I997">
        <v>2</v>
      </c>
      <c r="J997">
        <v>0.24</v>
      </c>
      <c r="K997">
        <v>0.2273</v>
      </c>
      <c r="L997">
        <v>0.7</v>
      </c>
      <c r="M997">
        <v>0.19400000000000001</v>
      </c>
      <c r="N997">
        <v>1</v>
      </c>
      <c r="O997">
        <v>61</v>
      </c>
      <c r="P997">
        <v>62</v>
      </c>
      <c r="S997" t="str">
        <f>IF(Dataset_A[[#This Row],[Hr]]&gt;=19,"Evening Time",IF(Dataset_A[[#This Row],[Hr]]&gt;=9,"Day Time",IF(Dataset_A[[#This Row],[Hr]]&gt;=0,"Night Time","")))</f>
        <v>Evening Time</v>
      </c>
    </row>
    <row r="998" spans="1:19" x14ac:dyDescent="0.2">
      <c r="A998">
        <v>997</v>
      </c>
      <c r="B998" s="3">
        <v>40571</v>
      </c>
      <c r="C998">
        <v>1</v>
      </c>
      <c r="D998">
        <v>2011</v>
      </c>
      <c r="E998" t="s">
        <v>10</v>
      </c>
      <c r="F998">
        <v>21</v>
      </c>
      <c r="G998" t="b">
        <v>0</v>
      </c>
      <c r="H998" t="s">
        <v>17</v>
      </c>
      <c r="I998">
        <v>2</v>
      </c>
      <c r="J998">
        <v>0.22</v>
      </c>
      <c r="K998">
        <v>0.2273</v>
      </c>
      <c r="L998">
        <v>0.75</v>
      </c>
      <c r="M998">
        <v>0.1343</v>
      </c>
      <c r="N998">
        <v>1</v>
      </c>
      <c r="O998">
        <v>57</v>
      </c>
      <c r="P998">
        <v>58</v>
      </c>
      <c r="S998" t="str">
        <f>IF(Dataset_A[[#This Row],[Hr]]&gt;=19,"Evening Time",IF(Dataset_A[[#This Row],[Hr]]&gt;=9,"Day Time",IF(Dataset_A[[#This Row],[Hr]]&gt;=0,"Night Time","")))</f>
        <v>Evening Time</v>
      </c>
    </row>
    <row r="999" spans="1:19" x14ac:dyDescent="0.2">
      <c r="A999">
        <v>998</v>
      </c>
      <c r="B999" s="3">
        <v>40571</v>
      </c>
      <c r="C999">
        <v>1</v>
      </c>
      <c r="D999">
        <v>2011</v>
      </c>
      <c r="E999" t="s">
        <v>10</v>
      </c>
      <c r="F999">
        <v>22</v>
      </c>
      <c r="G999" t="b">
        <v>0</v>
      </c>
      <c r="H999" t="s">
        <v>17</v>
      </c>
      <c r="I999">
        <v>1</v>
      </c>
      <c r="J999">
        <v>0.24</v>
      </c>
      <c r="K999">
        <v>0.21210000000000001</v>
      </c>
      <c r="L999">
        <v>0.65</v>
      </c>
      <c r="M999">
        <v>0.35820000000000002</v>
      </c>
      <c r="N999">
        <v>0</v>
      </c>
      <c r="O999">
        <v>26</v>
      </c>
      <c r="P999">
        <v>26</v>
      </c>
      <c r="S999" t="str">
        <f>IF(Dataset_A[[#This Row],[Hr]]&gt;=19,"Evening Time",IF(Dataset_A[[#This Row],[Hr]]&gt;=9,"Day Time",IF(Dataset_A[[#This Row],[Hr]]&gt;=0,"Night Time","")))</f>
        <v>Evening Time</v>
      </c>
    </row>
    <row r="1000" spans="1:19" x14ac:dyDescent="0.2">
      <c r="A1000">
        <v>999</v>
      </c>
      <c r="B1000" s="3">
        <v>40571</v>
      </c>
      <c r="C1000">
        <v>1</v>
      </c>
      <c r="D1000">
        <v>2011</v>
      </c>
      <c r="E1000" t="s">
        <v>10</v>
      </c>
      <c r="F1000">
        <v>23</v>
      </c>
      <c r="G1000" t="b">
        <v>0</v>
      </c>
      <c r="H1000" t="s">
        <v>17</v>
      </c>
      <c r="I1000">
        <v>1</v>
      </c>
      <c r="J1000">
        <v>0.24</v>
      </c>
      <c r="K1000">
        <v>0.2273</v>
      </c>
      <c r="L1000">
        <v>0.6</v>
      </c>
      <c r="M1000">
        <v>0.22389999999999999</v>
      </c>
      <c r="N1000">
        <v>1</v>
      </c>
      <c r="O1000">
        <v>22</v>
      </c>
      <c r="P1000">
        <v>23</v>
      </c>
      <c r="S1000" t="str">
        <f>IF(Dataset_A[[#This Row],[Hr]]&gt;=19,"Evening Time",IF(Dataset_A[[#This Row],[Hr]]&gt;=9,"Day Time",IF(Dataset_A[[#This Row],[Hr]]&gt;=0,"Night Time","")))</f>
        <v>Evening Time</v>
      </c>
    </row>
    <row r="1001" spans="1:19" x14ac:dyDescent="0.2">
      <c r="A1001">
        <v>1000</v>
      </c>
      <c r="B1001" s="3">
        <v>40572</v>
      </c>
      <c r="C1001">
        <v>1</v>
      </c>
      <c r="D1001">
        <v>2011</v>
      </c>
      <c r="E1001" t="s">
        <v>10</v>
      </c>
      <c r="F1001">
        <v>0</v>
      </c>
      <c r="G1001" t="b">
        <v>0</v>
      </c>
      <c r="H1001" t="s">
        <v>11</v>
      </c>
      <c r="I1001">
        <v>1</v>
      </c>
      <c r="J1001">
        <v>0.22</v>
      </c>
      <c r="K1001">
        <v>0.19700000000000001</v>
      </c>
      <c r="L1001">
        <v>0.64</v>
      </c>
      <c r="M1001">
        <v>0.35820000000000002</v>
      </c>
      <c r="N1001">
        <v>2</v>
      </c>
      <c r="O1001">
        <v>26</v>
      </c>
      <c r="P1001">
        <v>28</v>
      </c>
      <c r="S1001" t="str">
        <f>IF(Dataset_A[[#This Row],[Hr]]&gt;=19,"Evening Time",IF(Dataset_A[[#This Row],[Hr]]&gt;=9,"Day Time",IF(Dataset_A[[#This Row],[Hr]]&gt;=0,"Night Time","")))</f>
        <v>Night Time</v>
      </c>
    </row>
  </sheetData>
  <mergeCells count="1">
    <mergeCell ref="T3:U3"/>
  </mergeCells>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6569-DF04-4452-977D-C380472EB259}">
  <dimension ref="A1:P611"/>
  <sheetViews>
    <sheetView workbookViewId="0"/>
  </sheetViews>
  <sheetFormatPr defaultRowHeight="12.75" x14ac:dyDescent="0.2"/>
  <cols>
    <col min="1" max="1" width="9.28515625" bestFit="1" customWidth="1"/>
    <col min="2" max="2" width="8.140625" bestFit="1" customWidth="1"/>
    <col min="3" max="3" width="10" bestFit="1" customWidth="1"/>
    <col min="4" max="4" width="7.42578125" bestFit="1" customWidth="1"/>
    <col min="5" max="5" width="8.85546875" bestFit="1" customWidth="1"/>
    <col min="6" max="6" width="5.28515625" bestFit="1" customWidth="1"/>
    <col min="7" max="7" width="10.140625" bestFit="1" customWidth="1"/>
    <col min="8" max="8" width="11.7109375" bestFit="1" customWidth="1"/>
    <col min="9" max="9" width="14" bestFit="1" customWidth="1"/>
    <col min="10" max="10" width="8.42578125" bestFit="1" customWidth="1"/>
    <col min="11" max="11" width="10.7109375" bestFit="1" customWidth="1"/>
    <col min="12" max="12" width="11.28515625" bestFit="1" customWidth="1"/>
    <col min="13" max="13" width="14.42578125" bestFit="1" customWidth="1"/>
    <col min="14" max="14" width="9.42578125" bestFit="1" customWidth="1"/>
    <col min="15" max="15" width="13" bestFit="1" customWidth="1"/>
    <col min="16" max="16" width="14.140625" bestFit="1" customWidth="1"/>
  </cols>
  <sheetData>
    <row r="1" spans="1:16" x14ac:dyDescent="0.2">
      <c r="A1" t="s">
        <v>8</v>
      </c>
      <c r="B1" t="s">
        <v>9</v>
      </c>
      <c r="C1" t="s">
        <v>0</v>
      </c>
      <c r="D1" t="s">
        <v>1</v>
      </c>
      <c r="E1" t="s">
        <v>2</v>
      </c>
      <c r="F1" t="s">
        <v>3</v>
      </c>
      <c r="G1" t="s">
        <v>4</v>
      </c>
      <c r="H1" t="s">
        <v>5</v>
      </c>
      <c r="I1" t="s">
        <v>6</v>
      </c>
      <c r="J1" t="s">
        <v>7</v>
      </c>
      <c r="K1" t="s">
        <v>18</v>
      </c>
      <c r="L1" t="s">
        <v>19</v>
      </c>
      <c r="M1" t="s">
        <v>20</v>
      </c>
      <c r="N1" t="s">
        <v>21</v>
      </c>
      <c r="O1" t="s">
        <v>22</v>
      </c>
      <c r="P1" t="s">
        <v>23</v>
      </c>
    </row>
    <row r="2" spans="1:16" x14ac:dyDescent="0.2">
      <c r="A2">
        <v>1</v>
      </c>
      <c r="B2" s="3">
        <v>40544</v>
      </c>
      <c r="C2">
        <v>1</v>
      </c>
      <c r="D2">
        <v>2011</v>
      </c>
      <c r="E2" t="s">
        <v>10</v>
      </c>
      <c r="F2">
        <v>0</v>
      </c>
      <c r="G2" t="b">
        <v>0</v>
      </c>
      <c r="H2" t="s">
        <v>11</v>
      </c>
      <c r="I2">
        <v>1</v>
      </c>
      <c r="J2">
        <v>0.24</v>
      </c>
      <c r="K2">
        <v>0.28789999999999999</v>
      </c>
      <c r="L2">
        <v>0.81</v>
      </c>
      <c r="M2">
        <v>0</v>
      </c>
      <c r="N2">
        <v>3</v>
      </c>
      <c r="O2">
        <v>13</v>
      </c>
      <c r="P2">
        <v>16</v>
      </c>
    </row>
    <row r="3" spans="1:16" x14ac:dyDescent="0.2">
      <c r="A3">
        <v>2</v>
      </c>
      <c r="B3" s="3">
        <v>40544</v>
      </c>
      <c r="C3">
        <v>1</v>
      </c>
      <c r="D3">
        <v>2011</v>
      </c>
      <c r="E3" t="s">
        <v>10</v>
      </c>
      <c r="F3">
        <v>1</v>
      </c>
      <c r="G3" t="b">
        <v>0</v>
      </c>
      <c r="H3" t="s">
        <v>11</v>
      </c>
      <c r="I3">
        <v>1</v>
      </c>
      <c r="J3">
        <v>0.22</v>
      </c>
      <c r="K3">
        <v>0.2727</v>
      </c>
      <c r="L3">
        <v>0.8</v>
      </c>
      <c r="M3">
        <v>0</v>
      </c>
      <c r="N3">
        <v>8</v>
      </c>
      <c r="O3">
        <v>32</v>
      </c>
      <c r="P3">
        <v>40</v>
      </c>
    </row>
    <row r="4" spans="1:16" x14ac:dyDescent="0.2">
      <c r="A4">
        <v>3</v>
      </c>
      <c r="B4" s="3">
        <v>40544</v>
      </c>
      <c r="C4">
        <v>1</v>
      </c>
      <c r="D4">
        <v>2011</v>
      </c>
      <c r="E4" t="s">
        <v>10</v>
      </c>
      <c r="F4">
        <v>2</v>
      </c>
      <c r="G4" t="b">
        <v>0</v>
      </c>
      <c r="H4" t="s">
        <v>11</v>
      </c>
      <c r="I4">
        <v>1</v>
      </c>
      <c r="J4">
        <v>0.22</v>
      </c>
      <c r="K4">
        <v>0.2727</v>
      </c>
      <c r="L4">
        <v>0.8</v>
      </c>
      <c r="M4">
        <v>0</v>
      </c>
      <c r="N4">
        <v>5</v>
      </c>
      <c r="O4">
        <v>27</v>
      </c>
      <c r="P4">
        <v>32</v>
      </c>
    </row>
    <row r="5" spans="1:16" x14ac:dyDescent="0.2">
      <c r="A5">
        <v>4</v>
      </c>
      <c r="B5" s="3">
        <v>40544</v>
      </c>
      <c r="C5">
        <v>1</v>
      </c>
      <c r="D5">
        <v>2011</v>
      </c>
      <c r="E5" t="s">
        <v>10</v>
      </c>
      <c r="F5">
        <v>3</v>
      </c>
      <c r="G5" t="b">
        <v>0</v>
      </c>
      <c r="H5" t="s">
        <v>11</v>
      </c>
      <c r="I5">
        <v>1</v>
      </c>
      <c r="J5">
        <v>0.24</v>
      </c>
      <c r="K5">
        <v>0.28789999999999999</v>
      </c>
      <c r="L5">
        <v>0.75</v>
      </c>
      <c r="M5">
        <v>0</v>
      </c>
      <c r="N5">
        <v>3</v>
      </c>
      <c r="O5">
        <v>10</v>
      </c>
      <c r="P5">
        <v>13</v>
      </c>
    </row>
    <row r="6" spans="1:16" x14ac:dyDescent="0.2">
      <c r="A6">
        <v>5</v>
      </c>
      <c r="B6" s="3">
        <v>40544</v>
      </c>
      <c r="C6">
        <v>1</v>
      </c>
      <c r="D6">
        <v>2011</v>
      </c>
      <c r="E6" t="s">
        <v>10</v>
      </c>
      <c r="F6">
        <v>4</v>
      </c>
      <c r="G6" t="b">
        <v>0</v>
      </c>
      <c r="H6" t="s">
        <v>11</v>
      </c>
      <c r="I6">
        <v>1</v>
      </c>
      <c r="J6">
        <v>0.24</v>
      </c>
      <c r="K6">
        <v>0.28789999999999999</v>
      </c>
      <c r="L6">
        <v>0.75</v>
      </c>
      <c r="M6">
        <v>0</v>
      </c>
      <c r="N6">
        <v>0</v>
      </c>
      <c r="O6">
        <v>1</v>
      </c>
      <c r="P6">
        <v>1</v>
      </c>
    </row>
    <row r="7" spans="1:16" x14ac:dyDescent="0.2">
      <c r="A7">
        <v>6</v>
      </c>
      <c r="B7" s="3">
        <v>40544</v>
      </c>
      <c r="C7">
        <v>1</v>
      </c>
      <c r="D7">
        <v>2011</v>
      </c>
      <c r="E7" t="s">
        <v>10</v>
      </c>
      <c r="F7">
        <v>5</v>
      </c>
      <c r="G7" t="b">
        <v>0</v>
      </c>
      <c r="H7" t="s">
        <v>11</v>
      </c>
      <c r="I7">
        <v>2</v>
      </c>
      <c r="J7">
        <v>0.24</v>
      </c>
      <c r="K7">
        <v>0.2576</v>
      </c>
      <c r="L7">
        <v>0.75</v>
      </c>
      <c r="M7">
        <v>8.9599999999999999E-2</v>
      </c>
      <c r="N7">
        <v>0</v>
      </c>
      <c r="O7">
        <v>1</v>
      </c>
      <c r="P7">
        <v>1</v>
      </c>
    </row>
    <row r="8" spans="1:16" x14ac:dyDescent="0.2">
      <c r="A8">
        <v>7</v>
      </c>
      <c r="B8" s="3">
        <v>40544</v>
      </c>
      <c r="C8">
        <v>1</v>
      </c>
      <c r="D8">
        <v>2011</v>
      </c>
      <c r="E8" t="s">
        <v>10</v>
      </c>
      <c r="F8">
        <v>6</v>
      </c>
      <c r="G8" t="b">
        <v>0</v>
      </c>
      <c r="H8" t="s">
        <v>11</v>
      </c>
      <c r="I8">
        <v>1</v>
      </c>
      <c r="J8">
        <v>0.22</v>
      </c>
      <c r="K8">
        <v>0.2727</v>
      </c>
      <c r="L8">
        <v>0.8</v>
      </c>
      <c r="M8">
        <v>0</v>
      </c>
      <c r="N8">
        <v>2</v>
      </c>
      <c r="O8">
        <v>0</v>
      </c>
      <c r="P8">
        <v>2</v>
      </c>
    </row>
    <row r="9" spans="1:16" x14ac:dyDescent="0.2">
      <c r="A9">
        <v>8</v>
      </c>
      <c r="B9" s="3">
        <v>40544</v>
      </c>
      <c r="C9">
        <v>1</v>
      </c>
      <c r="D9">
        <v>2011</v>
      </c>
      <c r="E9" t="s">
        <v>10</v>
      </c>
      <c r="F9">
        <v>7</v>
      </c>
      <c r="G9" t="b">
        <v>0</v>
      </c>
      <c r="H9" t="s">
        <v>11</v>
      </c>
      <c r="I9">
        <v>1</v>
      </c>
      <c r="J9">
        <v>0.2</v>
      </c>
      <c r="K9">
        <v>0.2576</v>
      </c>
      <c r="L9">
        <v>0.86</v>
      </c>
      <c r="M9">
        <v>0</v>
      </c>
      <c r="N9">
        <v>1</v>
      </c>
      <c r="O9">
        <v>2</v>
      </c>
      <c r="P9">
        <v>3</v>
      </c>
    </row>
    <row r="10" spans="1:16" x14ac:dyDescent="0.2">
      <c r="A10">
        <v>9</v>
      </c>
      <c r="B10" s="3">
        <v>40544</v>
      </c>
      <c r="C10">
        <v>1</v>
      </c>
      <c r="D10">
        <v>2011</v>
      </c>
      <c r="E10" t="s">
        <v>10</v>
      </c>
      <c r="F10">
        <v>8</v>
      </c>
      <c r="G10" t="b">
        <v>0</v>
      </c>
      <c r="H10" t="s">
        <v>11</v>
      </c>
      <c r="I10">
        <v>1</v>
      </c>
      <c r="J10">
        <v>0.24</v>
      </c>
      <c r="K10">
        <v>0</v>
      </c>
      <c r="L10">
        <v>0.75</v>
      </c>
      <c r="M10">
        <v>0</v>
      </c>
      <c r="N10">
        <v>1</v>
      </c>
      <c r="O10">
        <v>7</v>
      </c>
      <c r="P10">
        <v>8</v>
      </c>
    </row>
    <row r="11" spans="1:16" x14ac:dyDescent="0.2">
      <c r="A11">
        <v>10</v>
      </c>
      <c r="B11" s="3">
        <v>40544</v>
      </c>
      <c r="C11">
        <v>1</v>
      </c>
      <c r="D11">
        <v>2011</v>
      </c>
      <c r="E11" t="s">
        <v>10</v>
      </c>
      <c r="F11">
        <v>9</v>
      </c>
      <c r="G11" t="b">
        <v>0</v>
      </c>
      <c r="H11" t="s">
        <v>11</v>
      </c>
      <c r="I11">
        <v>1</v>
      </c>
      <c r="J11">
        <v>0.32</v>
      </c>
      <c r="K11">
        <v>0.34849999999999998</v>
      </c>
      <c r="L11">
        <v>0.76</v>
      </c>
      <c r="M11">
        <v>0</v>
      </c>
      <c r="N11">
        <v>8</v>
      </c>
      <c r="O11">
        <v>6</v>
      </c>
      <c r="P11">
        <v>14</v>
      </c>
    </row>
    <row r="12" spans="1:16" x14ac:dyDescent="0.2">
      <c r="A12">
        <v>11</v>
      </c>
      <c r="B12" s="3">
        <v>40544</v>
      </c>
      <c r="C12">
        <v>1</v>
      </c>
      <c r="D12">
        <v>2011</v>
      </c>
      <c r="E12" t="s">
        <v>10</v>
      </c>
      <c r="F12">
        <v>10</v>
      </c>
      <c r="G12" t="b">
        <v>0</v>
      </c>
      <c r="H12" t="s">
        <v>11</v>
      </c>
      <c r="I12">
        <v>1</v>
      </c>
      <c r="J12">
        <v>0.38</v>
      </c>
      <c r="K12">
        <v>0.39389999999999997</v>
      </c>
      <c r="L12">
        <v>0.76</v>
      </c>
      <c r="M12">
        <v>0.25369999999999998</v>
      </c>
      <c r="N12">
        <v>12</v>
      </c>
      <c r="O12">
        <v>24</v>
      </c>
      <c r="P12">
        <v>36</v>
      </c>
    </row>
    <row r="13" spans="1:16" x14ac:dyDescent="0.2">
      <c r="A13">
        <v>12</v>
      </c>
      <c r="B13" s="3">
        <v>40544</v>
      </c>
      <c r="C13">
        <v>1</v>
      </c>
      <c r="D13">
        <v>2011</v>
      </c>
      <c r="E13" t="s">
        <v>10</v>
      </c>
      <c r="F13">
        <v>11</v>
      </c>
      <c r="G13" t="b">
        <v>0</v>
      </c>
      <c r="H13" t="s">
        <v>11</v>
      </c>
      <c r="I13">
        <v>1</v>
      </c>
      <c r="J13">
        <v>0.36</v>
      </c>
      <c r="K13">
        <v>0.33329999999999999</v>
      </c>
      <c r="L13">
        <v>0.81</v>
      </c>
      <c r="M13">
        <v>0.28360000000000002</v>
      </c>
      <c r="N13">
        <v>26</v>
      </c>
      <c r="O13">
        <v>30</v>
      </c>
      <c r="P13">
        <v>56</v>
      </c>
    </row>
    <row r="14" spans="1:16" x14ac:dyDescent="0.2">
      <c r="A14">
        <v>13</v>
      </c>
      <c r="B14" s="3">
        <v>40544</v>
      </c>
      <c r="C14">
        <v>1</v>
      </c>
      <c r="D14">
        <v>2011</v>
      </c>
      <c r="E14" t="s">
        <v>10</v>
      </c>
      <c r="F14">
        <v>12</v>
      </c>
      <c r="G14" t="b">
        <v>0</v>
      </c>
      <c r="H14" t="s">
        <v>11</v>
      </c>
      <c r="I14">
        <v>1</v>
      </c>
      <c r="J14">
        <v>0.42</v>
      </c>
      <c r="K14">
        <v>0.42420000000000002</v>
      </c>
      <c r="L14">
        <v>0.77</v>
      </c>
      <c r="M14">
        <v>0.28360000000000002</v>
      </c>
      <c r="N14">
        <v>29</v>
      </c>
      <c r="O14">
        <v>55</v>
      </c>
      <c r="P14">
        <v>84</v>
      </c>
    </row>
    <row r="15" spans="1:16" x14ac:dyDescent="0.2">
      <c r="A15">
        <v>14</v>
      </c>
      <c r="B15" s="3">
        <v>40544</v>
      </c>
      <c r="C15">
        <v>1</v>
      </c>
      <c r="D15">
        <v>2011</v>
      </c>
      <c r="E15" t="s">
        <v>10</v>
      </c>
      <c r="F15">
        <v>13</v>
      </c>
      <c r="G15" t="b">
        <v>0</v>
      </c>
      <c r="H15" t="s">
        <v>11</v>
      </c>
      <c r="I15">
        <v>2</v>
      </c>
      <c r="J15">
        <v>0.46</v>
      </c>
      <c r="K15">
        <v>0.45450000000000002</v>
      </c>
      <c r="L15">
        <v>0.72</v>
      </c>
      <c r="M15">
        <v>0.29849999999999999</v>
      </c>
      <c r="N15">
        <v>47</v>
      </c>
      <c r="O15">
        <v>47</v>
      </c>
      <c r="P15">
        <v>94</v>
      </c>
    </row>
    <row r="16" spans="1:16" x14ac:dyDescent="0.2">
      <c r="A16">
        <v>15</v>
      </c>
      <c r="B16" s="3">
        <v>40544</v>
      </c>
      <c r="C16">
        <v>1</v>
      </c>
      <c r="D16">
        <v>2011</v>
      </c>
      <c r="E16" t="s">
        <v>10</v>
      </c>
      <c r="F16">
        <v>14</v>
      </c>
      <c r="G16" t="b">
        <v>0</v>
      </c>
      <c r="H16" t="s">
        <v>11</v>
      </c>
      <c r="I16">
        <v>2</v>
      </c>
      <c r="J16">
        <v>0.46</v>
      </c>
      <c r="K16">
        <v>0.45450000000000002</v>
      </c>
      <c r="L16">
        <v>0.72</v>
      </c>
      <c r="M16">
        <v>0.28360000000000002</v>
      </c>
      <c r="N16">
        <v>35</v>
      </c>
      <c r="O16">
        <v>71</v>
      </c>
      <c r="P16">
        <v>106</v>
      </c>
    </row>
    <row r="17" spans="1:16" x14ac:dyDescent="0.2">
      <c r="A17">
        <v>16</v>
      </c>
      <c r="B17" s="3">
        <v>40544</v>
      </c>
      <c r="C17">
        <v>1</v>
      </c>
      <c r="D17">
        <v>2011</v>
      </c>
      <c r="E17" t="s">
        <v>10</v>
      </c>
      <c r="F17">
        <v>15</v>
      </c>
      <c r="G17" t="b">
        <v>0</v>
      </c>
      <c r="H17" t="s">
        <v>11</v>
      </c>
      <c r="I17">
        <v>2</v>
      </c>
      <c r="J17">
        <v>0.44</v>
      </c>
      <c r="K17">
        <v>0.43940000000000001</v>
      </c>
      <c r="L17">
        <v>0.77</v>
      </c>
      <c r="M17">
        <v>0.29849999999999999</v>
      </c>
      <c r="N17">
        <v>40</v>
      </c>
      <c r="O17">
        <v>70</v>
      </c>
      <c r="P17">
        <v>110</v>
      </c>
    </row>
    <row r="18" spans="1:16" x14ac:dyDescent="0.2">
      <c r="A18">
        <v>17</v>
      </c>
      <c r="B18" s="3">
        <v>40544</v>
      </c>
      <c r="C18">
        <v>1</v>
      </c>
      <c r="D18">
        <v>2011</v>
      </c>
      <c r="E18" t="s">
        <v>10</v>
      </c>
      <c r="F18">
        <v>16</v>
      </c>
      <c r="G18" t="b">
        <v>0</v>
      </c>
      <c r="H18" t="s">
        <v>11</v>
      </c>
      <c r="I18">
        <v>2</v>
      </c>
      <c r="J18">
        <v>0.42</v>
      </c>
      <c r="K18">
        <v>0.42420000000000002</v>
      </c>
      <c r="L18">
        <v>0.82</v>
      </c>
      <c r="M18">
        <v>0.29849999999999999</v>
      </c>
      <c r="N18">
        <v>41</v>
      </c>
      <c r="O18">
        <v>52</v>
      </c>
      <c r="P18">
        <v>93</v>
      </c>
    </row>
    <row r="19" spans="1:16" x14ac:dyDescent="0.2">
      <c r="A19">
        <v>18</v>
      </c>
      <c r="B19" s="3">
        <v>40544</v>
      </c>
      <c r="C19">
        <v>1</v>
      </c>
      <c r="D19">
        <v>2011</v>
      </c>
      <c r="E19" t="s">
        <v>10</v>
      </c>
      <c r="F19">
        <v>17</v>
      </c>
      <c r="G19" t="b">
        <v>0</v>
      </c>
      <c r="H19" t="s">
        <v>11</v>
      </c>
      <c r="I19">
        <v>2</v>
      </c>
      <c r="J19">
        <v>0.44</v>
      </c>
      <c r="K19">
        <v>0</v>
      </c>
      <c r="L19">
        <v>0.82</v>
      </c>
      <c r="M19">
        <v>0.28360000000000002</v>
      </c>
      <c r="N19">
        <v>15</v>
      </c>
      <c r="O19">
        <v>52</v>
      </c>
      <c r="P19">
        <v>67</v>
      </c>
    </row>
    <row r="20" spans="1:16" x14ac:dyDescent="0.2">
      <c r="A20">
        <v>19</v>
      </c>
      <c r="B20" s="3">
        <v>40544</v>
      </c>
      <c r="C20">
        <v>1</v>
      </c>
      <c r="D20">
        <v>2011</v>
      </c>
      <c r="E20" t="s">
        <v>10</v>
      </c>
      <c r="F20">
        <v>18</v>
      </c>
      <c r="G20" t="b">
        <v>0</v>
      </c>
      <c r="H20" t="s">
        <v>11</v>
      </c>
      <c r="I20">
        <v>3</v>
      </c>
      <c r="J20">
        <v>0.42</v>
      </c>
      <c r="K20">
        <v>0.42420000000000002</v>
      </c>
      <c r="L20">
        <v>0.88</v>
      </c>
      <c r="M20">
        <v>0.25369999999999998</v>
      </c>
      <c r="N20">
        <v>9</v>
      </c>
      <c r="O20">
        <v>26</v>
      </c>
      <c r="P20">
        <v>35</v>
      </c>
    </row>
    <row r="21" spans="1:16" x14ac:dyDescent="0.2">
      <c r="A21">
        <v>20</v>
      </c>
      <c r="B21" s="3">
        <v>40544</v>
      </c>
      <c r="C21">
        <v>1</v>
      </c>
      <c r="D21">
        <v>2011</v>
      </c>
      <c r="E21" t="s">
        <v>10</v>
      </c>
      <c r="F21">
        <v>19</v>
      </c>
      <c r="G21" t="b">
        <v>0</v>
      </c>
      <c r="H21" t="s">
        <v>11</v>
      </c>
      <c r="I21">
        <v>3</v>
      </c>
      <c r="J21">
        <v>0.42</v>
      </c>
      <c r="K21">
        <v>0.42420000000000002</v>
      </c>
      <c r="L21">
        <v>0.88</v>
      </c>
      <c r="M21">
        <v>0.25369999999999998</v>
      </c>
      <c r="N21">
        <v>6</v>
      </c>
      <c r="O21">
        <v>31</v>
      </c>
      <c r="P21">
        <v>37</v>
      </c>
    </row>
    <row r="22" spans="1:16" x14ac:dyDescent="0.2">
      <c r="A22">
        <v>21</v>
      </c>
      <c r="B22" s="3">
        <v>40544</v>
      </c>
      <c r="C22">
        <v>1</v>
      </c>
      <c r="D22">
        <v>2011</v>
      </c>
      <c r="E22" t="s">
        <v>10</v>
      </c>
      <c r="F22">
        <v>20</v>
      </c>
      <c r="G22" t="b">
        <v>0</v>
      </c>
      <c r="H22" t="s">
        <v>11</v>
      </c>
      <c r="I22">
        <v>2</v>
      </c>
      <c r="J22">
        <v>0.4</v>
      </c>
      <c r="K22">
        <v>0.40910000000000002</v>
      </c>
      <c r="L22">
        <v>0.87</v>
      </c>
      <c r="M22">
        <v>0.25369999999999998</v>
      </c>
      <c r="N22">
        <v>11</v>
      </c>
      <c r="O22">
        <v>25</v>
      </c>
      <c r="P22">
        <v>36</v>
      </c>
    </row>
    <row r="23" spans="1:16" x14ac:dyDescent="0.2">
      <c r="A23">
        <v>22</v>
      </c>
      <c r="B23" s="3">
        <v>40544</v>
      </c>
      <c r="C23">
        <v>1</v>
      </c>
      <c r="D23">
        <v>2011</v>
      </c>
      <c r="E23" t="s">
        <v>10</v>
      </c>
      <c r="F23">
        <v>21</v>
      </c>
      <c r="G23" t="b">
        <v>0</v>
      </c>
      <c r="H23" t="s">
        <v>11</v>
      </c>
      <c r="I23">
        <v>2</v>
      </c>
      <c r="J23">
        <v>0.4</v>
      </c>
      <c r="K23">
        <v>0.40910000000000002</v>
      </c>
      <c r="L23">
        <v>0.87</v>
      </c>
      <c r="M23">
        <v>0.19400000000000001</v>
      </c>
      <c r="N23">
        <v>3</v>
      </c>
      <c r="O23">
        <v>31</v>
      </c>
      <c r="P23">
        <v>34</v>
      </c>
    </row>
    <row r="24" spans="1:16" x14ac:dyDescent="0.2">
      <c r="A24">
        <v>23</v>
      </c>
      <c r="B24" s="3">
        <v>40544</v>
      </c>
      <c r="C24">
        <v>1</v>
      </c>
      <c r="D24">
        <v>2011</v>
      </c>
      <c r="E24" t="s">
        <v>10</v>
      </c>
      <c r="F24">
        <v>22</v>
      </c>
      <c r="G24" t="b">
        <v>0</v>
      </c>
      <c r="H24" t="s">
        <v>11</v>
      </c>
      <c r="I24">
        <v>2</v>
      </c>
      <c r="J24">
        <v>0.4</v>
      </c>
      <c r="K24">
        <v>0.40910000000000002</v>
      </c>
      <c r="L24">
        <v>0.94</v>
      </c>
      <c r="M24">
        <v>0.22389999999999999</v>
      </c>
      <c r="N24">
        <v>11</v>
      </c>
      <c r="O24">
        <v>17</v>
      </c>
      <c r="P24">
        <v>28</v>
      </c>
    </row>
    <row r="25" spans="1:16" x14ac:dyDescent="0.2">
      <c r="A25">
        <v>24</v>
      </c>
      <c r="B25" s="3">
        <v>40544</v>
      </c>
      <c r="C25">
        <v>1</v>
      </c>
      <c r="D25">
        <v>2011</v>
      </c>
      <c r="E25" t="s">
        <v>10</v>
      </c>
      <c r="F25">
        <v>23</v>
      </c>
      <c r="G25" t="b">
        <v>0</v>
      </c>
      <c r="H25" t="s">
        <v>11</v>
      </c>
      <c r="I25">
        <v>2</v>
      </c>
      <c r="J25">
        <v>0.46</v>
      </c>
      <c r="K25">
        <v>0</v>
      </c>
      <c r="L25">
        <v>0.88</v>
      </c>
      <c r="M25">
        <v>0.29849999999999999</v>
      </c>
      <c r="N25">
        <v>15</v>
      </c>
      <c r="O25">
        <v>24</v>
      </c>
      <c r="P25">
        <v>39</v>
      </c>
    </row>
    <row r="26" spans="1:16" x14ac:dyDescent="0.2">
      <c r="A26">
        <v>25</v>
      </c>
      <c r="B26" s="3">
        <v>40545</v>
      </c>
      <c r="C26">
        <v>1</v>
      </c>
      <c r="D26">
        <v>2011</v>
      </c>
      <c r="E26" t="s">
        <v>10</v>
      </c>
      <c r="F26">
        <v>0</v>
      </c>
      <c r="G26" t="b">
        <v>1</v>
      </c>
      <c r="H26" t="s">
        <v>12</v>
      </c>
      <c r="I26">
        <v>2</v>
      </c>
      <c r="J26">
        <v>0.46</v>
      </c>
      <c r="K26">
        <v>0.45450000000000002</v>
      </c>
      <c r="L26">
        <v>0.88</v>
      </c>
      <c r="M26">
        <v>0.29849999999999999</v>
      </c>
      <c r="N26">
        <v>4</v>
      </c>
      <c r="O26">
        <v>13</v>
      </c>
      <c r="P26">
        <v>17</v>
      </c>
    </row>
    <row r="27" spans="1:16" x14ac:dyDescent="0.2">
      <c r="A27">
        <v>26</v>
      </c>
      <c r="B27" s="3">
        <v>40545</v>
      </c>
      <c r="C27">
        <v>1</v>
      </c>
      <c r="D27">
        <v>2011</v>
      </c>
      <c r="E27" t="s">
        <v>10</v>
      </c>
      <c r="F27">
        <v>1</v>
      </c>
      <c r="G27" t="b">
        <v>1</v>
      </c>
      <c r="H27" t="s">
        <v>12</v>
      </c>
      <c r="I27">
        <v>2</v>
      </c>
      <c r="J27">
        <v>0.44</v>
      </c>
      <c r="K27">
        <v>0.43940000000000001</v>
      </c>
      <c r="L27">
        <v>0.94</v>
      </c>
      <c r="M27">
        <v>0.25369999999999998</v>
      </c>
      <c r="N27">
        <v>1</v>
      </c>
      <c r="O27">
        <v>16</v>
      </c>
      <c r="P27">
        <v>17</v>
      </c>
    </row>
    <row r="28" spans="1:16" x14ac:dyDescent="0.2">
      <c r="A28">
        <v>27</v>
      </c>
      <c r="B28" s="3">
        <v>40545</v>
      </c>
      <c r="C28">
        <v>1</v>
      </c>
      <c r="D28">
        <v>2011</v>
      </c>
      <c r="E28" t="s">
        <v>10</v>
      </c>
      <c r="F28">
        <v>2</v>
      </c>
      <c r="G28" t="b">
        <v>1</v>
      </c>
      <c r="H28" t="s">
        <v>12</v>
      </c>
      <c r="I28">
        <v>2</v>
      </c>
      <c r="J28">
        <v>0.42</v>
      </c>
      <c r="K28">
        <v>0.42420000000000002</v>
      </c>
      <c r="L28">
        <v>1</v>
      </c>
      <c r="M28">
        <v>0.28360000000000002</v>
      </c>
      <c r="N28">
        <v>1</v>
      </c>
      <c r="O28">
        <v>8</v>
      </c>
      <c r="P28">
        <v>9</v>
      </c>
    </row>
    <row r="29" spans="1:16" x14ac:dyDescent="0.2">
      <c r="A29">
        <v>28</v>
      </c>
      <c r="B29" s="3">
        <v>40545</v>
      </c>
      <c r="C29">
        <v>1</v>
      </c>
      <c r="D29">
        <v>2011</v>
      </c>
      <c r="E29" t="s">
        <v>10</v>
      </c>
      <c r="F29">
        <v>3</v>
      </c>
      <c r="G29" t="b">
        <v>1</v>
      </c>
      <c r="H29" t="s">
        <v>12</v>
      </c>
      <c r="I29">
        <v>2</v>
      </c>
      <c r="J29">
        <v>0.46</v>
      </c>
      <c r="K29">
        <v>0.45450000000000002</v>
      </c>
      <c r="L29">
        <v>0.94</v>
      </c>
      <c r="M29">
        <v>0.19400000000000001</v>
      </c>
      <c r="N29">
        <v>2</v>
      </c>
      <c r="O29">
        <v>4</v>
      </c>
      <c r="P29">
        <v>6</v>
      </c>
    </row>
    <row r="30" spans="1:16" x14ac:dyDescent="0.2">
      <c r="A30">
        <v>29</v>
      </c>
      <c r="B30" s="3">
        <v>40545</v>
      </c>
      <c r="C30">
        <v>1</v>
      </c>
      <c r="D30">
        <v>2011</v>
      </c>
      <c r="E30" t="s">
        <v>10</v>
      </c>
      <c r="F30">
        <v>4</v>
      </c>
      <c r="G30" t="b">
        <v>1</v>
      </c>
      <c r="H30" t="s">
        <v>12</v>
      </c>
      <c r="I30">
        <v>2</v>
      </c>
      <c r="J30">
        <v>0.46</v>
      </c>
      <c r="K30">
        <v>0</v>
      </c>
      <c r="L30">
        <v>0.94</v>
      </c>
      <c r="M30">
        <v>0.19400000000000001</v>
      </c>
      <c r="N30">
        <v>2</v>
      </c>
      <c r="O30">
        <v>1</v>
      </c>
      <c r="P30">
        <v>3</v>
      </c>
    </row>
    <row r="31" spans="1:16" x14ac:dyDescent="0.2">
      <c r="A31">
        <v>30</v>
      </c>
      <c r="B31" s="3">
        <v>40545</v>
      </c>
      <c r="C31">
        <v>1</v>
      </c>
      <c r="D31">
        <v>2011</v>
      </c>
      <c r="E31" t="s">
        <v>10</v>
      </c>
      <c r="F31">
        <v>6</v>
      </c>
      <c r="G31" t="b">
        <v>1</v>
      </c>
      <c r="H31" t="s">
        <v>12</v>
      </c>
      <c r="I31">
        <v>3</v>
      </c>
      <c r="J31">
        <v>0.42</v>
      </c>
      <c r="K31">
        <v>0.42420000000000002</v>
      </c>
      <c r="L31">
        <v>0.77</v>
      </c>
      <c r="M31">
        <v>0.29849999999999999</v>
      </c>
      <c r="N31">
        <v>0</v>
      </c>
      <c r="O31">
        <v>2</v>
      </c>
      <c r="P31">
        <v>2</v>
      </c>
    </row>
    <row r="32" spans="1:16" x14ac:dyDescent="0.2">
      <c r="A32">
        <v>31</v>
      </c>
      <c r="B32" s="3">
        <v>40545</v>
      </c>
      <c r="C32">
        <v>1</v>
      </c>
      <c r="D32">
        <v>2011</v>
      </c>
      <c r="E32" t="s">
        <v>10</v>
      </c>
      <c r="F32">
        <v>7</v>
      </c>
      <c r="G32" t="b">
        <v>1</v>
      </c>
      <c r="H32" t="s">
        <v>12</v>
      </c>
      <c r="I32">
        <v>2</v>
      </c>
      <c r="J32">
        <v>0.4</v>
      </c>
      <c r="K32">
        <v>0.40910000000000002</v>
      </c>
      <c r="L32">
        <v>0.76</v>
      </c>
      <c r="M32">
        <v>0.19400000000000001</v>
      </c>
      <c r="N32">
        <v>0</v>
      </c>
      <c r="O32">
        <v>1</v>
      </c>
      <c r="P32">
        <v>1</v>
      </c>
    </row>
    <row r="33" spans="1:16" x14ac:dyDescent="0.2">
      <c r="A33">
        <v>32</v>
      </c>
      <c r="B33" s="3">
        <v>40545</v>
      </c>
      <c r="C33">
        <v>1</v>
      </c>
      <c r="D33">
        <v>2011</v>
      </c>
      <c r="E33" t="s">
        <v>10</v>
      </c>
      <c r="F33">
        <v>8</v>
      </c>
      <c r="G33" t="b">
        <v>1</v>
      </c>
      <c r="H33" t="s">
        <v>12</v>
      </c>
      <c r="I33">
        <v>3</v>
      </c>
      <c r="J33">
        <v>0.4</v>
      </c>
      <c r="K33">
        <v>0.40910000000000002</v>
      </c>
      <c r="L33">
        <v>0.71</v>
      </c>
      <c r="M33">
        <v>0.22389999999999999</v>
      </c>
      <c r="N33">
        <v>0</v>
      </c>
      <c r="O33">
        <v>8</v>
      </c>
      <c r="P33">
        <v>8</v>
      </c>
    </row>
    <row r="34" spans="1:16" x14ac:dyDescent="0.2">
      <c r="A34">
        <v>33</v>
      </c>
      <c r="B34" s="3">
        <v>40545</v>
      </c>
      <c r="C34">
        <v>1</v>
      </c>
      <c r="D34">
        <v>2011</v>
      </c>
      <c r="E34" t="s">
        <v>10</v>
      </c>
      <c r="F34">
        <v>9</v>
      </c>
      <c r="G34" t="b">
        <v>1</v>
      </c>
      <c r="H34" t="s">
        <v>12</v>
      </c>
      <c r="I34">
        <v>2</v>
      </c>
      <c r="J34">
        <v>0.38</v>
      </c>
      <c r="K34">
        <v>0</v>
      </c>
      <c r="L34">
        <v>0.76</v>
      </c>
      <c r="M34">
        <v>0.22389999999999999</v>
      </c>
      <c r="N34">
        <v>1</v>
      </c>
      <c r="O34">
        <v>19</v>
      </c>
      <c r="P34">
        <v>20</v>
      </c>
    </row>
    <row r="35" spans="1:16" x14ac:dyDescent="0.2">
      <c r="A35">
        <v>34</v>
      </c>
      <c r="B35" s="3">
        <v>40545</v>
      </c>
      <c r="C35">
        <v>1</v>
      </c>
      <c r="D35">
        <v>2011</v>
      </c>
      <c r="E35" t="s">
        <v>10</v>
      </c>
      <c r="F35">
        <v>10</v>
      </c>
      <c r="G35" t="b">
        <v>1</v>
      </c>
      <c r="H35" t="s">
        <v>12</v>
      </c>
      <c r="I35">
        <v>2</v>
      </c>
      <c r="J35">
        <v>0.36</v>
      </c>
      <c r="K35">
        <v>0.34849999999999998</v>
      </c>
      <c r="L35">
        <v>0.81</v>
      </c>
      <c r="M35">
        <v>0.22389999999999999</v>
      </c>
      <c r="N35">
        <v>7</v>
      </c>
      <c r="O35">
        <v>46</v>
      </c>
      <c r="P35">
        <v>53</v>
      </c>
    </row>
    <row r="36" spans="1:16" x14ac:dyDescent="0.2">
      <c r="A36">
        <v>35</v>
      </c>
      <c r="B36" s="3">
        <v>40545</v>
      </c>
      <c r="C36">
        <v>1</v>
      </c>
      <c r="D36">
        <v>2011</v>
      </c>
      <c r="E36" t="s">
        <v>10</v>
      </c>
      <c r="F36">
        <v>11</v>
      </c>
      <c r="G36" t="b">
        <v>1</v>
      </c>
      <c r="H36" t="s">
        <v>12</v>
      </c>
      <c r="I36">
        <v>2</v>
      </c>
      <c r="J36">
        <v>0.36</v>
      </c>
      <c r="K36">
        <v>0.33329999999999999</v>
      </c>
      <c r="L36">
        <v>0.71</v>
      </c>
      <c r="M36">
        <v>0.25369999999999998</v>
      </c>
      <c r="N36">
        <v>16</v>
      </c>
      <c r="O36">
        <v>54</v>
      </c>
      <c r="P36">
        <v>70</v>
      </c>
    </row>
    <row r="37" spans="1:16" x14ac:dyDescent="0.2">
      <c r="A37">
        <v>36</v>
      </c>
      <c r="B37" s="3">
        <v>40545</v>
      </c>
      <c r="C37">
        <v>1</v>
      </c>
      <c r="D37">
        <v>2011</v>
      </c>
      <c r="E37" t="s">
        <v>10</v>
      </c>
      <c r="F37">
        <v>12</v>
      </c>
      <c r="G37" t="b">
        <v>1</v>
      </c>
      <c r="H37" t="s">
        <v>12</v>
      </c>
      <c r="I37">
        <v>2</v>
      </c>
      <c r="J37">
        <v>0.36</v>
      </c>
      <c r="K37">
        <v>0.33329999999999999</v>
      </c>
      <c r="L37">
        <v>0.66</v>
      </c>
      <c r="M37">
        <v>0.29849999999999999</v>
      </c>
      <c r="N37">
        <v>20</v>
      </c>
      <c r="O37">
        <v>73</v>
      </c>
      <c r="P37">
        <v>93</v>
      </c>
    </row>
    <row r="38" spans="1:16" x14ac:dyDescent="0.2">
      <c r="A38">
        <v>37</v>
      </c>
      <c r="B38" s="3">
        <v>40545</v>
      </c>
      <c r="C38">
        <v>1</v>
      </c>
      <c r="D38">
        <v>2011</v>
      </c>
      <c r="E38" t="s">
        <v>10</v>
      </c>
      <c r="F38">
        <v>13</v>
      </c>
      <c r="G38" t="b">
        <v>1</v>
      </c>
      <c r="H38" t="s">
        <v>12</v>
      </c>
      <c r="I38">
        <v>2</v>
      </c>
      <c r="J38">
        <v>0.36</v>
      </c>
      <c r="K38">
        <v>0.34849999999999998</v>
      </c>
      <c r="L38">
        <v>0.66</v>
      </c>
      <c r="M38">
        <v>0.1343</v>
      </c>
      <c r="N38">
        <v>11</v>
      </c>
      <c r="O38">
        <v>64</v>
      </c>
      <c r="P38">
        <v>75</v>
      </c>
    </row>
    <row r="39" spans="1:16" x14ac:dyDescent="0.2">
      <c r="A39">
        <v>38</v>
      </c>
      <c r="B39" s="3">
        <v>40545</v>
      </c>
      <c r="C39">
        <v>1</v>
      </c>
      <c r="D39">
        <v>2011</v>
      </c>
      <c r="E39" t="s">
        <v>10</v>
      </c>
      <c r="F39">
        <v>14</v>
      </c>
      <c r="G39" t="b">
        <v>1</v>
      </c>
      <c r="H39" t="s">
        <v>12</v>
      </c>
      <c r="I39">
        <v>3</v>
      </c>
      <c r="J39">
        <v>0.36</v>
      </c>
      <c r="K39">
        <v>0</v>
      </c>
      <c r="L39">
        <v>0.76</v>
      </c>
      <c r="M39">
        <v>0.19400000000000001</v>
      </c>
      <c r="N39">
        <v>4</v>
      </c>
      <c r="O39">
        <v>55</v>
      </c>
      <c r="P39">
        <v>59</v>
      </c>
    </row>
    <row r="40" spans="1:16" x14ac:dyDescent="0.2">
      <c r="A40">
        <v>39</v>
      </c>
      <c r="B40" s="3">
        <v>40545</v>
      </c>
      <c r="C40">
        <v>1</v>
      </c>
      <c r="D40">
        <v>2011</v>
      </c>
      <c r="E40" t="s">
        <v>10</v>
      </c>
      <c r="F40">
        <v>15</v>
      </c>
      <c r="G40" t="b">
        <v>1</v>
      </c>
      <c r="H40" t="s">
        <v>12</v>
      </c>
      <c r="I40">
        <v>3</v>
      </c>
      <c r="J40">
        <v>0.34</v>
      </c>
      <c r="K40">
        <v>0.33329999999999999</v>
      </c>
      <c r="L40">
        <v>0.81</v>
      </c>
      <c r="M40">
        <v>0.16420000000000001</v>
      </c>
      <c r="N40">
        <v>19</v>
      </c>
      <c r="O40">
        <v>55</v>
      </c>
      <c r="P40">
        <v>74</v>
      </c>
    </row>
    <row r="41" spans="1:16" x14ac:dyDescent="0.2">
      <c r="A41">
        <v>40</v>
      </c>
      <c r="B41" s="3">
        <v>40545</v>
      </c>
      <c r="C41">
        <v>1</v>
      </c>
      <c r="D41">
        <v>2011</v>
      </c>
      <c r="E41" t="s">
        <v>10</v>
      </c>
      <c r="F41">
        <v>16</v>
      </c>
      <c r="G41" t="b">
        <v>1</v>
      </c>
      <c r="H41" t="s">
        <v>12</v>
      </c>
      <c r="I41">
        <v>3</v>
      </c>
      <c r="J41">
        <v>0.34</v>
      </c>
      <c r="K41">
        <v>0.33329999999999999</v>
      </c>
      <c r="L41">
        <v>0.71</v>
      </c>
      <c r="M41">
        <v>0.16420000000000001</v>
      </c>
      <c r="N41">
        <v>9</v>
      </c>
      <c r="O41">
        <v>67</v>
      </c>
      <c r="P41">
        <v>76</v>
      </c>
    </row>
    <row r="42" spans="1:16" x14ac:dyDescent="0.2">
      <c r="A42">
        <v>41</v>
      </c>
      <c r="B42" s="3">
        <v>40545</v>
      </c>
      <c r="C42">
        <v>1</v>
      </c>
      <c r="D42">
        <v>2011</v>
      </c>
      <c r="E42" t="s">
        <v>10</v>
      </c>
      <c r="F42">
        <v>17</v>
      </c>
      <c r="G42" t="b">
        <v>1</v>
      </c>
      <c r="H42" t="s">
        <v>12</v>
      </c>
      <c r="I42">
        <v>1</v>
      </c>
      <c r="J42">
        <v>0.34</v>
      </c>
      <c r="K42">
        <v>0.33329999999999999</v>
      </c>
      <c r="L42">
        <v>0.56999999999999995</v>
      </c>
      <c r="M42">
        <v>0.19400000000000001</v>
      </c>
      <c r="N42">
        <v>7</v>
      </c>
      <c r="O42">
        <v>58</v>
      </c>
      <c r="P42">
        <v>65</v>
      </c>
    </row>
    <row r="43" spans="1:16" x14ac:dyDescent="0.2">
      <c r="A43">
        <v>42</v>
      </c>
      <c r="B43" s="3">
        <v>40545</v>
      </c>
      <c r="C43">
        <v>1</v>
      </c>
      <c r="D43">
        <v>2011</v>
      </c>
      <c r="E43" t="s">
        <v>10</v>
      </c>
      <c r="F43">
        <v>18</v>
      </c>
      <c r="G43" t="b">
        <v>1</v>
      </c>
      <c r="H43" t="s">
        <v>12</v>
      </c>
      <c r="I43">
        <v>2</v>
      </c>
      <c r="J43">
        <v>0.36</v>
      </c>
      <c r="K43">
        <v>0.33329999999999999</v>
      </c>
      <c r="L43">
        <v>0.46</v>
      </c>
      <c r="M43">
        <v>0.32840000000000003</v>
      </c>
      <c r="N43">
        <v>10</v>
      </c>
      <c r="O43">
        <v>43</v>
      </c>
      <c r="P43">
        <v>53</v>
      </c>
    </row>
    <row r="44" spans="1:16" x14ac:dyDescent="0.2">
      <c r="A44">
        <v>43</v>
      </c>
      <c r="B44" s="3">
        <v>40545</v>
      </c>
      <c r="C44">
        <v>1</v>
      </c>
      <c r="D44">
        <v>2011</v>
      </c>
      <c r="E44" t="s">
        <v>10</v>
      </c>
      <c r="F44">
        <v>19</v>
      </c>
      <c r="G44" t="b">
        <v>1</v>
      </c>
      <c r="H44" t="s">
        <v>12</v>
      </c>
      <c r="I44">
        <v>1</v>
      </c>
      <c r="J44">
        <v>0.32</v>
      </c>
      <c r="K44">
        <v>0.28789999999999999</v>
      </c>
      <c r="L44">
        <v>0.42</v>
      </c>
      <c r="M44">
        <v>0.44779999999999998</v>
      </c>
      <c r="N44">
        <v>1</v>
      </c>
      <c r="O44">
        <v>29</v>
      </c>
      <c r="P44">
        <v>30</v>
      </c>
    </row>
    <row r="45" spans="1:16" x14ac:dyDescent="0.2">
      <c r="A45">
        <v>44</v>
      </c>
      <c r="B45" s="3">
        <v>40545</v>
      </c>
      <c r="C45">
        <v>1</v>
      </c>
      <c r="D45">
        <v>2011</v>
      </c>
      <c r="E45" t="s">
        <v>10</v>
      </c>
      <c r="F45">
        <v>20</v>
      </c>
      <c r="G45" t="b">
        <v>1</v>
      </c>
      <c r="H45" t="s">
        <v>12</v>
      </c>
      <c r="I45">
        <v>1</v>
      </c>
      <c r="J45">
        <v>0.3</v>
      </c>
      <c r="K45">
        <v>0</v>
      </c>
      <c r="L45">
        <v>0.39</v>
      </c>
      <c r="M45">
        <v>0.35820000000000002</v>
      </c>
      <c r="N45">
        <v>5</v>
      </c>
      <c r="O45">
        <v>17</v>
      </c>
      <c r="P45">
        <v>22</v>
      </c>
    </row>
    <row r="46" spans="1:16" x14ac:dyDescent="0.2">
      <c r="A46">
        <v>45</v>
      </c>
      <c r="B46" s="3">
        <v>40545</v>
      </c>
      <c r="C46">
        <v>1</v>
      </c>
      <c r="D46">
        <v>2011</v>
      </c>
      <c r="E46" t="s">
        <v>10</v>
      </c>
      <c r="F46">
        <v>21</v>
      </c>
      <c r="G46" t="b">
        <v>1</v>
      </c>
      <c r="H46" t="s">
        <v>12</v>
      </c>
      <c r="I46">
        <v>1</v>
      </c>
      <c r="J46">
        <v>0.26</v>
      </c>
      <c r="K46">
        <v>0.2273</v>
      </c>
      <c r="L46">
        <v>0.44</v>
      </c>
      <c r="M46">
        <v>0.32840000000000003</v>
      </c>
      <c r="N46">
        <v>11</v>
      </c>
      <c r="O46">
        <v>20</v>
      </c>
      <c r="P46">
        <v>31</v>
      </c>
    </row>
    <row r="47" spans="1:16" x14ac:dyDescent="0.2">
      <c r="A47">
        <v>46</v>
      </c>
      <c r="B47" s="3">
        <v>40545</v>
      </c>
      <c r="C47">
        <v>1</v>
      </c>
      <c r="D47">
        <v>2011</v>
      </c>
      <c r="E47" t="s">
        <v>10</v>
      </c>
      <c r="F47">
        <v>22</v>
      </c>
      <c r="G47" t="b">
        <v>1</v>
      </c>
      <c r="H47" t="s">
        <v>12</v>
      </c>
      <c r="I47">
        <v>1</v>
      </c>
      <c r="J47">
        <v>0.24</v>
      </c>
      <c r="K47">
        <v>0.21210000000000001</v>
      </c>
      <c r="L47">
        <v>0.44</v>
      </c>
      <c r="M47">
        <v>0.29849999999999999</v>
      </c>
      <c r="N47">
        <v>0</v>
      </c>
      <c r="O47">
        <v>9</v>
      </c>
      <c r="P47">
        <v>9</v>
      </c>
    </row>
    <row r="48" spans="1:16" x14ac:dyDescent="0.2">
      <c r="A48">
        <v>47</v>
      </c>
      <c r="B48" s="3">
        <v>40545</v>
      </c>
      <c r="C48">
        <v>1</v>
      </c>
      <c r="D48">
        <v>2011</v>
      </c>
      <c r="E48" t="s">
        <v>10</v>
      </c>
      <c r="F48">
        <v>23</v>
      </c>
      <c r="G48" t="b">
        <v>1</v>
      </c>
      <c r="H48" t="s">
        <v>12</v>
      </c>
      <c r="I48">
        <v>1</v>
      </c>
      <c r="J48">
        <v>0.22</v>
      </c>
      <c r="K48">
        <v>0.2273</v>
      </c>
      <c r="L48">
        <v>0.47</v>
      </c>
      <c r="M48">
        <v>0.16420000000000001</v>
      </c>
      <c r="N48">
        <v>0</v>
      </c>
      <c r="O48">
        <v>8</v>
      </c>
      <c r="P48">
        <v>8</v>
      </c>
    </row>
    <row r="49" spans="1:16" x14ac:dyDescent="0.2">
      <c r="A49">
        <v>48</v>
      </c>
      <c r="B49" s="3">
        <v>40546</v>
      </c>
      <c r="C49">
        <v>1</v>
      </c>
      <c r="D49">
        <v>2011</v>
      </c>
      <c r="E49" t="s">
        <v>10</v>
      </c>
      <c r="F49">
        <v>0</v>
      </c>
      <c r="G49" t="b">
        <v>0</v>
      </c>
      <c r="H49" t="s">
        <v>13</v>
      </c>
      <c r="I49">
        <v>1</v>
      </c>
      <c r="J49">
        <v>0.22</v>
      </c>
      <c r="K49">
        <v>0.19700000000000001</v>
      </c>
      <c r="L49">
        <v>0.44</v>
      </c>
      <c r="M49">
        <v>0.35820000000000002</v>
      </c>
      <c r="N49">
        <v>0</v>
      </c>
      <c r="O49">
        <v>5</v>
      </c>
      <c r="P49">
        <v>5</v>
      </c>
    </row>
    <row r="50" spans="1:16" x14ac:dyDescent="0.2">
      <c r="A50">
        <v>49</v>
      </c>
      <c r="B50" s="3">
        <v>40546</v>
      </c>
      <c r="C50">
        <v>1</v>
      </c>
      <c r="D50">
        <v>2011</v>
      </c>
      <c r="E50" t="s">
        <v>10</v>
      </c>
      <c r="F50">
        <v>1</v>
      </c>
      <c r="G50" t="b">
        <v>0</v>
      </c>
      <c r="H50" t="s">
        <v>13</v>
      </c>
      <c r="I50">
        <v>1</v>
      </c>
      <c r="J50">
        <v>0.2</v>
      </c>
      <c r="K50">
        <v>0</v>
      </c>
      <c r="L50">
        <v>0.44</v>
      </c>
      <c r="M50">
        <v>0.41789999999999999</v>
      </c>
      <c r="N50">
        <v>0</v>
      </c>
      <c r="O50">
        <v>2</v>
      </c>
      <c r="P50">
        <v>2</v>
      </c>
    </row>
    <row r="51" spans="1:16" x14ac:dyDescent="0.2">
      <c r="A51">
        <v>50</v>
      </c>
      <c r="B51" s="3">
        <v>40546</v>
      </c>
      <c r="C51">
        <v>1</v>
      </c>
      <c r="D51">
        <v>2011</v>
      </c>
      <c r="E51" t="s">
        <v>10</v>
      </c>
      <c r="F51">
        <v>4</v>
      </c>
      <c r="G51" t="b">
        <v>0</v>
      </c>
      <c r="H51" t="s">
        <v>13</v>
      </c>
      <c r="I51">
        <v>1</v>
      </c>
      <c r="J51">
        <v>0.16</v>
      </c>
      <c r="K51">
        <v>0.13639999999999999</v>
      </c>
      <c r="L51">
        <v>0.47</v>
      </c>
      <c r="M51">
        <v>0.3881</v>
      </c>
      <c r="N51">
        <v>0</v>
      </c>
      <c r="O51">
        <v>1</v>
      </c>
      <c r="P51">
        <v>1</v>
      </c>
    </row>
    <row r="52" spans="1:16" x14ac:dyDescent="0.2">
      <c r="A52">
        <v>51</v>
      </c>
      <c r="B52" s="3">
        <v>40546</v>
      </c>
      <c r="C52">
        <v>1</v>
      </c>
      <c r="D52">
        <v>2011</v>
      </c>
      <c r="E52" t="s">
        <v>10</v>
      </c>
      <c r="F52">
        <v>5</v>
      </c>
      <c r="G52" t="b">
        <v>0</v>
      </c>
      <c r="H52" t="s">
        <v>13</v>
      </c>
      <c r="I52">
        <v>1</v>
      </c>
      <c r="J52">
        <v>0.16</v>
      </c>
      <c r="K52">
        <v>0.13639999999999999</v>
      </c>
      <c r="L52">
        <v>0.47</v>
      </c>
      <c r="M52">
        <v>0.28360000000000002</v>
      </c>
      <c r="N52">
        <v>0</v>
      </c>
      <c r="O52">
        <v>3</v>
      </c>
      <c r="P52">
        <v>3</v>
      </c>
    </row>
    <row r="53" spans="1:16" x14ac:dyDescent="0.2">
      <c r="A53">
        <v>52</v>
      </c>
      <c r="B53" s="3">
        <v>40546</v>
      </c>
      <c r="C53">
        <v>1</v>
      </c>
      <c r="D53">
        <v>2011</v>
      </c>
      <c r="E53" t="s">
        <v>10</v>
      </c>
      <c r="F53">
        <v>6</v>
      </c>
      <c r="G53" t="b">
        <v>0</v>
      </c>
      <c r="H53" t="s">
        <v>13</v>
      </c>
      <c r="I53">
        <v>1</v>
      </c>
      <c r="J53">
        <v>0.14000000000000001</v>
      </c>
      <c r="K53">
        <v>0.1061</v>
      </c>
      <c r="L53">
        <v>0.5</v>
      </c>
      <c r="M53">
        <v>0.3881</v>
      </c>
      <c r="N53">
        <v>0</v>
      </c>
      <c r="O53">
        <v>30</v>
      </c>
      <c r="P53">
        <v>30</v>
      </c>
    </row>
    <row r="54" spans="1:16" x14ac:dyDescent="0.2">
      <c r="A54">
        <v>53</v>
      </c>
      <c r="B54" s="3">
        <v>40546</v>
      </c>
      <c r="C54">
        <v>1</v>
      </c>
      <c r="D54">
        <v>2011</v>
      </c>
      <c r="E54" t="s">
        <v>10</v>
      </c>
      <c r="F54">
        <v>7</v>
      </c>
      <c r="G54" t="b">
        <v>0</v>
      </c>
      <c r="H54" t="s">
        <v>13</v>
      </c>
      <c r="I54">
        <v>1</v>
      </c>
      <c r="J54">
        <v>0.14000000000000001</v>
      </c>
      <c r="K54">
        <v>0.13639999999999999</v>
      </c>
      <c r="L54">
        <v>0.5</v>
      </c>
      <c r="M54">
        <v>0.19400000000000001</v>
      </c>
      <c r="N54">
        <v>1</v>
      </c>
      <c r="O54">
        <v>63</v>
      </c>
      <c r="P54">
        <v>64</v>
      </c>
    </row>
    <row r="55" spans="1:16" x14ac:dyDescent="0.2">
      <c r="A55">
        <v>54</v>
      </c>
      <c r="B55" s="3">
        <v>40546</v>
      </c>
      <c r="C55">
        <v>1</v>
      </c>
      <c r="D55">
        <v>2011</v>
      </c>
      <c r="E55" t="s">
        <v>10</v>
      </c>
      <c r="F55">
        <v>8</v>
      </c>
      <c r="G55" t="b">
        <v>0</v>
      </c>
      <c r="H55" t="s">
        <v>13</v>
      </c>
      <c r="I55">
        <v>1</v>
      </c>
      <c r="J55">
        <v>0.14000000000000001</v>
      </c>
      <c r="K55">
        <v>0.1212</v>
      </c>
      <c r="L55">
        <v>0.5</v>
      </c>
      <c r="M55">
        <v>0.28360000000000002</v>
      </c>
      <c r="N55">
        <v>1</v>
      </c>
      <c r="O55">
        <v>153</v>
      </c>
      <c r="P55">
        <v>154</v>
      </c>
    </row>
    <row r="56" spans="1:16" x14ac:dyDescent="0.2">
      <c r="A56">
        <v>55</v>
      </c>
      <c r="B56" s="3">
        <v>40546</v>
      </c>
      <c r="C56">
        <v>1</v>
      </c>
      <c r="D56">
        <v>2011</v>
      </c>
      <c r="E56" t="s">
        <v>10</v>
      </c>
      <c r="F56">
        <v>9</v>
      </c>
      <c r="G56" t="b">
        <v>0</v>
      </c>
      <c r="H56" t="s">
        <v>13</v>
      </c>
      <c r="I56">
        <v>1</v>
      </c>
      <c r="J56">
        <v>0.16</v>
      </c>
      <c r="K56">
        <v>0.13639999999999999</v>
      </c>
      <c r="L56">
        <v>0.43</v>
      </c>
      <c r="M56">
        <v>0.3881</v>
      </c>
      <c r="N56">
        <v>7</v>
      </c>
      <c r="O56">
        <v>81</v>
      </c>
      <c r="P56">
        <v>88</v>
      </c>
    </row>
    <row r="57" spans="1:16" x14ac:dyDescent="0.2">
      <c r="A57">
        <v>56</v>
      </c>
      <c r="B57" s="3">
        <v>40546</v>
      </c>
      <c r="C57">
        <v>1</v>
      </c>
      <c r="D57">
        <v>2011</v>
      </c>
      <c r="E57" t="s">
        <v>10</v>
      </c>
      <c r="F57">
        <v>10</v>
      </c>
      <c r="G57" t="b">
        <v>0</v>
      </c>
      <c r="H57" t="s">
        <v>13</v>
      </c>
      <c r="I57">
        <v>1</v>
      </c>
      <c r="J57">
        <v>0.18</v>
      </c>
      <c r="K57">
        <v>0.16669999999999999</v>
      </c>
      <c r="L57">
        <v>0.43</v>
      </c>
      <c r="M57">
        <v>0.25369999999999998</v>
      </c>
      <c r="N57">
        <v>11</v>
      </c>
      <c r="O57">
        <v>33</v>
      </c>
      <c r="P57">
        <v>44</v>
      </c>
    </row>
    <row r="58" spans="1:16" x14ac:dyDescent="0.2">
      <c r="A58">
        <v>57</v>
      </c>
      <c r="B58" s="3">
        <v>40546</v>
      </c>
      <c r="C58">
        <v>1</v>
      </c>
      <c r="D58">
        <v>2011</v>
      </c>
      <c r="E58" t="s">
        <v>10</v>
      </c>
      <c r="F58">
        <v>11</v>
      </c>
      <c r="G58" t="b">
        <v>0</v>
      </c>
      <c r="H58" t="s">
        <v>13</v>
      </c>
      <c r="I58">
        <v>1</v>
      </c>
      <c r="J58">
        <v>0.2</v>
      </c>
      <c r="K58">
        <v>0.18179999999999999</v>
      </c>
      <c r="L58">
        <v>0.4</v>
      </c>
      <c r="M58">
        <v>0.32840000000000003</v>
      </c>
      <c r="N58">
        <v>10</v>
      </c>
      <c r="O58">
        <v>41</v>
      </c>
      <c r="P58">
        <v>51</v>
      </c>
    </row>
    <row r="59" spans="1:16" x14ac:dyDescent="0.2">
      <c r="A59">
        <v>58</v>
      </c>
      <c r="B59" s="3">
        <v>40546</v>
      </c>
      <c r="C59">
        <v>1</v>
      </c>
      <c r="D59">
        <v>2011</v>
      </c>
      <c r="E59" t="s">
        <v>10</v>
      </c>
      <c r="F59">
        <v>12</v>
      </c>
      <c r="G59" t="b">
        <v>0</v>
      </c>
      <c r="H59" t="s">
        <v>13</v>
      </c>
      <c r="I59">
        <v>1</v>
      </c>
      <c r="J59">
        <v>0.22</v>
      </c>
      <c r="K59">
        <v>0.21210000000000001</v>
      </c>
      <c r="L59">
        <v>0.35</v>
      </c>
      <c r="M59">
        <v>0.29849999999999999</v>
      </c>
      <c r="N59">
        <v>13</v>
      </c>
      <c r="O59">
        <v>48</v>
      </c>
      <c r="P59">
        <v>61</v>
      </c>
    </row>
    <row r="60" spans="1:16" x14ac:dyDescent="0.2">
      <c r="A60">
        <v>59</v>
      </c>
      <c r="B60" s="3">
        <v>40546</v>
      </c>
      <c r="C60">
        <v>1</v>
      </c>
      <c r="D60">
        <v>2011</v>
      </c>
      <c r="E60" t="s">
        <v>10</v>
      </c>
      <c r="F60">
        <v>13</v>
      </c>
      <c r="G60" t="b">
        <v>0</v>
      </c>
      <c r="H60" t="s">
        <v>13</v>
      </c>
      <c r="I60">
        <v>1</v>
      </c>
      <c r="J60">
        <v>0.24</v>
      </c>
      <c r="K60">
        <v>0</v>
      </c>
      <c r="L60">
        <v>0.35</v>
      </c>
      <c r="M60">
        <v>0.28360000000000002</v>
      </c>
      <c r="N60">
        <v>8</v>
      </c>
      <c r="O60">
        <v>53</v>
      </c>
      <c r="P60">
        <v>61</v>
      </c>
    </row>
    <row r="61" spans="1:16" x14ac:dyDescent="0.2">
      <c r="A61">
        <v>60</v>
      </c>
      <c r="B61" s="3">
        <v>40546</v>
      </c>
      <c r="C61">
        <v>1</v>
      </c>
      <c r="D61">
        <v>2011</v>
      </c>
      <c r="E61" t="s">
        <v>10</v>
      </c>
      <c r="F61">
        <v>14</v>
      </c>
      <c r="G61" t="b">
        <v>0</v>
      </c>
      <c r="H61" t="s">
        <v>13</v>
      </c>
      <c r="I61">
        <v>1</v>
      </c>
      <c r="J61">
        <v>0.26</v>
      </c>
      <c r="K61">
        <v>0.2424</v>
      </c>
      <c r="L61">
        <v>0.3</v>
      </c>
      <c r="M61">
        <v>0.28360000000000002</v>
      </c>
      <c r="N61">
        <v>11</v>
      </c>
      <c r="O61">
        <v>66</v>
      </c>
      <c r="P61">
        <v>77</v>
      </c>
    </row>
    <row r="62" spans="1:16" x14ac:dyDescent="0.2">
      <c r="A62">
        <v>61</v>
      </c>
      <c r="B62" s="3">
        <v>40546</v>
      </c>
      <c r="C62">
        <v>1</v>
      </c>
      <c r="D62">
        <v>2011</v>
      </c>
      <c r="E62" t="s">
        <v>10</v>
      </c>
      <c r="F62">
        <v>15</v>
      </c>
      <c r="G62" t="b">
        <v>0</v>
      </c>
      <c r="H62" t="s">
        <v>13</v>
      </c>
      <c r="I62">
        <v>1</v>
      </c>
      <c r="J62">
        <v>0.26</v>
      </c>
      <c r="K62">
        <v>0.2424</v>
      </c>
      <c r="L62">
        <v>0.3</v>
      </c>
      <c r="M62">
        <v>0.25369999999999998</v>
      </c>
      <c r="N62">
        <v>14</v>
      </c>
      <c r="O62">
        <v>58</v>
      </c>
      <c r="P62">
        <v>72</v>
      </c>
    </row>
    <row r="63" spans="1:16" x14ac:dyDescent="0.2">
      <c r="A63">
        <v>62</v>
      </c>
      <c r="B63" s="3">
        <v>40546</v>
      </c>
      <c r="C63">
        <v>1</v>
      </c>
      <c r="D63">
        <v>2011</v>
      </c>
      <c r="E63" t="s">
        <v>10</v>
      </c>
      <c r="F63">
        <v>16</v>
      </c>
      <c r="G63" t="b">
        <v>0</v>
      </c>
      <c r="H63" t="s">
        <v>13</v>
      </c>
      <c r="I63">
        <v>1</v>
      </c>
      <c r="J63">
        <v>0.26</v>
      </c>
      <c r="K63">
        <v>0.2424</v>
      </c>
      <c r="L63">
        <v>0.3</v>
      </c>
      <c r="M63">
        <v>0.25369999999999998</v>
      </c>
      <c r="N63">
        <v>9</v>
      </c>
      <c r="O63">
        <v>67</v>
      </c>
      <c r="P63">
        <v>76</v>
      </c>
    </row>
    <row r="64" spans="1:16" x14ac:dyDescent="0.2">
      <c r="A64">
        <v>63</v>
      </c>
      <c r="B64" s="3">
        <v>40546</v>
      </c>
      <c r="C64">
        <v>1</v>
      </c>
      <c r="D64">
        <v>2011</v>
      </c>
      <c r="E64" t="s">
        <v>10</v>
      </c>
      <c r="F64">
        <v>17</v>
      </c>
      <c r="G64" t="b">
        <v>0</v>
      </c>
      <c r="H64" t="s">
        <v>13</v>
      </c>
      <c r="I64">
        <v>1</v>
      </c>
      <c r="J64">
        <v>0.24</v>
      </c>
      <c r="K64">
        <v>0.2273</v>
      </c>
      <c r="L64">
        <v>0.3</v>
      </c>
      <c r="M64">
        <v>0.22389999999999999</v>
      </c>
      <c r="N64">
        <v>11</v>
      </c>
      <c r="O64">
        <v>146</v>
      </c>
      <c r="P64">
        <v>157</v>
      </c>
    </row>
    <row r="65" spans="1:16" x14ac:dyDescent="0.2">
      <c r="A65">
        <v>64</v>
      </c>
      <c r="B65" s="3">
        <v>40546</v>
      </c>
      <c r="C65">
        <v>1</v>
      </c>
      <c r="D65">
        <v>2011</v>
      </c>
      <c r="E65" t="s">
        <v>10</v>
      </c>
      <c r="F65">
        <v>18</v>
      </c>
      <c r="G65" t="b">
        <v>0</v>
      </c>
      <c r="H65" t="s">
        <v>13</v>
      </c>
      <c r="I65">
        <v>1</v>
      </c>
      <c r="J65">
        <v>0.24</v>
      </c>
      <c r="K65">
        <v>0.2576</v>
      </c>
      <c r="L65">
        <v>0.32</v>
      </c>
      <c r="M65">
        <v>0.1045</v>
      </c>
      <c r="N65">
        <v>9</v>
      </c>
      <c r="O65">
        <v>148</v>
      </c>
      <c r="P65">
        <v>157</v>
      </c>
    </row>
    <row r="66" spans="1:16" x14ac:dyDescent="0.2">
      <c r="A66">
        <v>65</v>
      </c>
      <c r="B66" s="3">
        <v>40546</v>
      </c>
      <c r="C66">
        <v>1</v>
      </c>
      <c r="D66">
        <v>2011</v>
      </c>
      <c r="E66" t="s">
        <v>10</v>
      </c>
      <c r="F66">
        <v>19</v>
      </c>
      <c r="G66" t="b">
        <v>0</v>
      </c>
      <c r="H66" t="s">
        <v>13</v>
      </c>
      <c r="I66">
        <v>1</v>
      </c>
      <c r="J66">
        <v>0.2</v>
      </c>
      <c r="K66">
        <v>0.2576</v>
      </c>
      <c r="L66">
        <v>0.47</v>
      </c>
      <c r="M66">
        <v>0</v>
      </c>
      <c r="N66">
        <v>8</v>
      </c>
      <c r="O66">
        <v>102</v>
      </c>
      <c r="P66">
        <v>110</v>
      </c>
    </row>
    <row r="67" spans="1:16" x14ac:dyDescent="0.2">
      <c r="A67">
        <v>66</v>
      </c>
      <c r="B67" s="3">
        <v>40546</v>
      </c>
      <c r="C67">
        <v>1</v>
      </c>
      <c r="D67">
        <v>2011</v>
      </c>
      <c r="E67" t="s">
        <v>10</v>
      </c>
      <c r="F67">
        <v>20</v>
      </c>
      <c r="G67" t="b">
        <v>0</v>
      </c>
      <c r="H67" t="s">
        <v>13</v>
      </c>
      <c r="I67">
        <v>1</v>
      </c>
      <c r="J67">
        <v>0.2</v>
      </c>
      <c r="K67">
        <v>0</v>
      </c>
      <c r="L67">
        <v>0.47</v>
      </c>
      <c r="M67">
        <v>0.1045</v>
      </c>
      <c r="N67">
        <v>3</v>
      </c>
      <c r="O67">
        <v>49</v>
      </c>
      <c r="P67">
        <v>52</v>
      </c>
    </row>
    <row r="68" spans="1:16" x14ac:dyDescent="0.2">
      <c r="A68">
        <v>67</v>
      </c>
      <c r="B68" s="3">
        <v>40546</v>
      </c>
      <c r="C68">
        <v>1</v>
      </c>
      <c r="D68">
        <v>2011</v>
      </c>
      <c r="E68" t="s">
        <v>10</v>
      </c>
      <c r="F68">
        <v>21</v>
      </c>
      <c r="G68" t="b">
        <v>0</v>
      </c>
      <c r="H68" t="s">
        <v>13</v>
      </c>
      <c r="I68">
        <v>1</v>
      </c>
      <c r="J68">
        <v>0.18</v>
      </c>
      <c r="K68">
        <v>0.19700000000000001</v>
      </c>
      <c r="L68">
        <v>0.64</v>
      </c>
      <c r="M68">
        <v>0.1343</v>
      </c>
      <c r="N68">
        <v>3</v>
      </c>
      <c r="O68">
        <v>49</v>
      </c>
      <c r="P68">
        <v>52</v>
      </c>
    </row>
    <row r="69" spans="1:16" x14ac:dyDescent="0.2">
      <c r="A69">
        <v>68</v>
      </c>
      <c r="B69" s="3">
        <v>40546</v>
      </c>
      <c r="C69">
        <v>1</v>
      </c>
      <c r="D69">
        <v>2011</v>
      </c>
      <c r="E69" t="s">
        <v>10</v>
      </c>
      <c r="F69">
        <v>22</v>
      </c>
      <c r="G69" t="b">
        <v>0</v>
      </c>
      <c r="H69" t="s">
        <v>13</v>
      </c>
      <c r="I69">
        <v>1</v>
      </c>
      <c r="J69">
        <v>0.14000000000000001</v>
      </c>
      <c r="K69">
        <v>0.1515</v>
      </c>
      <c r="L69">
        <v>0.69</v>
      </c>
      <c r="M69">
        <v>0.1343</v>
      </c>
      <c r="N69">
        <v>0</v>
      </c>
      <c r="O69">
        <v>20</v>
      </c>
      <c r="P69">
        <v>20</v>
      </c>
    </row>
    <row r="70" spans="1:16" x14ac:dyDescent="0.2">
      <c r="A70">
        <v>69</v>
      </c>
      <c r="B70" s="3">
        <v>40546</v>
      </c>
      <c r="C70">
        <v>1</v>
      </c>
      <c r="D70">
        <v>2011</v>
      </c>
      <c r="E70" t="s">
        <v>10</v>
      </c>
      <c r="F70">
        <v>23</v>
      </c>
      <c r="G70" t="b">
        <v>0</v>
      </c>
      <c r="H70" t="s">
        <v>13</v>
      </c>
      <c r="I70">
        <v>1</v>
      </c>
      <c r="J70">
        <v>0.18</v>
      </c>
      <c r="K70">
        <v>0.21210000000000001</v>
      </c>
      <c r="L70">
        <v>0.55000000000000004</v>
      </c>
      <c r="M70">
        <v>0.1045</v>
      </c>
      <c r="N70">
        <v>1</v>
      </c>
      <c r="O70">
        <v>11</v>
      </c>
      <c r="P70">
        <v>12</v>
      </c>
    </row>
    <row r="71" spans="1:16" x14ac:dyDescent="0.2">
      <c r="A71">
        <v>70</v>
      </c>
      <c r="B71" s="3">
        <v>40547</v>
      </c>
      <c r="C71">
        <v>1</v>
      </c>
      <c r="D71">
        <v>2011</v>
      </c>
      <c r="E71" t="s">
        <v>10</v>
      </c>
      <c r="F71">
        <v>0</v>
      </c>
      <c r="G71" t="b">
        <v>0</v>
      </c>
      <c r="H71" t="s">
        <v>14</v>
      </c>
      <c r="I71">
        <v>1</v>
      </c>
      <c r="J71">
        <v>0.16</v>
      </c>
      <c r="K71">
        <v>0</v>
      </c>
      <c r="L71">
        <v>0.55000000000000004</v>
      </c>
      <c r="M71">
        <v>0.1045</v>
      </c>
      <c r="N71">
        <v>0</v>
      </c>
      <c r="O71">
        <v>5</v>
      </c>
      <c r="P71">
        <v>5</v>
      </c>
    </row>
    <row r="72" spans="1:16" x14ac:dyDescent="0.2">
      <c r="A72">
        <v>71</v>
      </c>
      <c r="B72" s="3">
        <v>40547</v>
      </c>
      <c r="C72">
        <v>1</v>
      </c>
      <c r="D72">
        <v>2011</v>
      </c>
      <c r="E72" t="s">
        <v>10</v>
      </c>
      <c r="F72">
        <v>1</v>
      </c>
      <c r="G72" t="b">
        <v>0</v>
      </c>
      <c r="H72" t="s">
        <v>14</v>
      </c>
      <c r="I72">
        <v>1</v>
      </c>
      <c r="J72">
        <v>0.16</v>
      </c>
      <c r="K72">
        <v>0.18179999999999999</v>
      </c>
      <c r="L72">
        <v>0.59</v>
      </c>
      <c r="M72">
        <v>0.1045</v>
      </c>
      <c r="N72">
        <v>0</v>
      </c>
      <c r="O72">
        <v>2</v>
      </c>
      <c r="P72">
        <v>2</v>
      </c>
    </row>
    <row r="73" spans="1:16" x14ac:dyDescent="0.2">
      <c r="A73">
        <v>72</v>
      </c>
      <c r="B73" s="3">
        <v>40547</v>
      </c>
      <c r="C73">
        <v>1</v>
      </c>
      <c r="D73">
        <v>2011</v>
      </c>
      <c r="E73" t="s">
        <v>10</v>
      </c>
      <c r="F73">
        <v>2</v>
      </c>
      <c r="G73" t="b">
        <v>0</v>
      </c>
      <c r="H73" t="s">
        <v>14</v>
      </c>
      <c r="I73">
        <v>1</v>
      </c>
      <c r="J73">
        <v>0.14000000000000001</v>
      </c>
      <c r="K73">
        <v>0.1515</v>
      </c>
      <c r="L73">
        <v>0.63</v>
      </c>
      <c r="M73">
        <v>0.1343</v>
      </c>
      <c r="N73">
        <v>0</v>
      </c>
      <c r="O73">
        <v>1</v>
      </c>
      <c r="P73">
        <v>1</v>
      </c>
    </row>
    <row r="74" spans="1:16" x14ac:dyDescent="0.2">
      <c r="A74">
        <v>73</v>
      </c>
      <c r="B74" s="3">
        <v>40547</v>
      </c>
      <c r="C74">
        <v>1</v>
      </c>
      <c r="D74">
        <v>2011</v>
      </c>
      <c r="E74" t="s">
        <v>10</v>
      </c>
      <c r="F74">
        <v>4</v>
      </c>
      <c r="G74" t="b">
        <v>0</v>
      </c>
      <c r="H74" t="s">
        <v>14</v>
      </c>
      <c r="I74">
        <v>1</v>
      </c>
      <c r="J74">
        <v>0.14000000000000001</v>
      </c>
      <c r="K74">
        <v>0.18179999999999999</v>
      </c>
      <c r="L74">
        <v>0.63</v>
      </c>
      <c r="M74">
        <v>8.9599999999999999E-2</v>
      </c>
      <c r="N74">
        <v>0</v>
      </c>
      <c r="O74">
        <v>2</v>
      </c>
      <c r="P74">
        <v>2</v>
      </c>
    </row>
    <row r="75" spans="1:16" x14ac:dyDescent="0.2">
      <c r="A75">
        <v>74</v>
      </c>
      <c r="B75" s="3">
        <v>40547</v>
      </c>
      <c r="C75">
        <v>1</v>
      </c>
      <c r="D75">
        <v>2011</v>
      </c>
      <c r="E75" t="s">
        <v>10</v>
      </c>
      <c r="F75">
        <v>5</v>
      </c>
      <c r="G75" t="b">
        <v>0</v>
      </c>
      <c r="H75" t="s">
        <v>14</v>
      </c>
      <c r="I75">
        <v>1</v>
      </c>
      <c r="J75">
        <v>0.12</v>
      </c>
      <c r="K75">
        <v>0.1515</v>
      </c>
      <c r="L75">
        <v>0.68</v>
      </c>
      <c r="M75">
        <v>0.1045</v>
      </c>
      <c r="N75">
        <v>0</v>
      </c>
      <c r="O75">
        <v>4</v>
      </c>
      <c r="P75">
        <v>4</v>
      </c>
    </row>
    <row r="76" spans="1:16" x14ac:dyDescent="0.2">
      <c r="A76">
        <v>75</v>
      </c>
      <c r="B76" s="3">
        <v>40547</v>
      </c>
      <c r="C76">
        <v>1</v>
      </c>
      <c r="D76">
        <v>2011</v>
      </c>
      <c r="E76" t="s">
        <v>10</v>
      </c>
      <c r="F76">
        <v>6</v>
      </c>
      <c r="G76" t="b">
        <v>0</v>
      </c>
      <c r="H76" t="s">
        <v>14</v>
      </c>
      <c r="I76">
        <v>1</v>
      </c>
      <c r="J76">
        <v>0.12</v>
      </c>
      <c r="K76">
        <v>0.1515</v>
      </c>
      <c r="L76">
        <v>0.74</v>
      </c>
      <c r="M76">
        <v>0.1045</v>
      </c>
      <c r="N76">
        <v>0</v>
      </c>
      <c r="O76">
        <v>36</v>
      </c>
      <c r="P76">
        <v>36</v>
      </c>
    </row>
    <row r="77" spans="1:16" x14ac:dyDescent="0.2">
      <c r="A77">
        <v>76</v>
      </c>
      <c r="B77" s="3">
        <v>40547</v>
      </c>
      <c r="C77">
        <v>1</v>
      </c>
      <c r="D77">
        <v>2011</v>
      </c>
      <c r="E77" t="s">
        <v>10</v>
      </c>
      <c r="F77">
        <v>7</v>
      </c>
      <c r="G77" t="b">
        <v>0</v>
      </c>
      <c r="H77" t="s">
        <v>14</v>
      </c>
      <c r="I77">
        <v>1</v>
      </c>
      <c r="J77">
        <v>0.12</v>
      </c>
      <c r="K77">
        <v>0.1515</v>
      </c>
      <c r="L77">
        <v>0.74</v>
      </c>
      <c r="M77">
        <v>0.1343</v>
      </c>
      <c r="N77">
        <v>2</v>
      </c>
      <c r="O77">
        <v>92</v>
      </c>
      <c r="P77">
        <v>94</v>
      </c>
    </row>
    <row r="78" spans="1:16" x14ac:dyDescent="0.2">
      <c r="A78">
        <v>77</v>
      </c>
      <c r="B78" s="3">
        <v>40547</v>
      </c>
      <c r="C78">
        <v>1</v>
      </c>
      <c r="D78">
        <v>2011</v>
      </c>
      <c r="E78" t="s">
        <v>10</v>
      </c>
      <c r="F78">
        <v>8</v>
      </c>
      <c r="G78" t="b">
        <v>0</v>
      </c>
      <c r="H78" t="s">
        <v>14</v>
      </c>
      <c r="I78">
        <v>1</v>
      </c>
      <c r="J78">
        <v>0.14000000000000001</v>
      </c>
      <c r="K78">
        <v>0.1515</v>
      </c>
      <c r="L78">
        <v>0.69</v>
      </c>
      <c r="M78">
        <v>0.16420000000000001</v>
      </c>
      <c r="N78">
        <v>2</v>
      </c>
      <c r="O78">
        <v>177</v>
      </c>
      <c r="P78">
        <v>179</v>
      </c>
    </row>
    <row r="79" spans="1:16" x14ac:dyDescent="0.2">
      <c r="A79">
        <v>78</v>
      </c>
      <c r="B79" s="3">
        <v>40547</v>
      </c>
      <c r="C79">
        <v>1</v>
      </c>
      <c r="D79">
        <v>2011</v>
      </c>
      <c r="E79" t="s">
        <v>10</v>
      </c>
      <c r="F79">
        <v>9</v>
      </c>
      <c r="G79" t="b">
        <v>0</v>
      </c>
      <c r="H79" t="s">
        <v>14</v>
      </c>
      <c r="I79">
        <v>1</v>
      </c>
      <c r="J79">
        <v>0.16</v>
      </c>
      <c r="K79">
        <v>0.1515</v>
      </c>
      <c r="L79">
        <v>0.64</v>
      </c>
      <c r="M79">
        <v>0.22389999999999999</v>
      </c>
      <c r="N79">
        <v>2</v>
      </c>
      <c r="O79">
        <v>98</v>
      </c>
      <c r="P79">
        <v>100</v>
      </c>
    </row>
    <row r="80" spans="1:16" x14ac:dyDescent="0.2">
      <c r="A80">
        <v>79</v>
      </c>
      <c r="B80" s="3">
        <v>40547</v>
      </c>
      <c r="C80">
        <v>1</v>
      </c>
      <c r="D80">
        <v>2011</v>
      </c>
      <c r="E80" t="s">
        <v>10</v>
      </c>
      <c r="F80">
        <v>10</v>
      </c>
      <c r="G80" t="b">
        <v>0</v>
      </c>
      <c r="H80" t="s">
        <v>14</v>
      </c>
      <c r="I80">
        <v>2</v>
      </c>
      <c r="J80">
        <v>0.16</v>
      </c>
      <c r="K80">
        <v>0.13639999999999999</v>
      </c>
      <c r="L80">
        <v>0.69</v>
      </c>
      <c r="M80">
        <v>0.32840000000000003</v>
      </c>
      <c r="N80">
        <v>5</v>
      </c>
      <c r="O80">
        <v>37</v>
      </c>
      <c r="P80">
        <v>42</v>
      </c>
    </row>
    <row r="81" spans="1:16" x14ac:dyDescent="0.2">
      <c r="A81">
        <v>80</v>
      </c>
      <c r="B81" s="3">
        <v>40547</v>
      </c>
      <c r="C81">
        <v>1</v>
      </c>
      <c r="D81">
        <v>2011</v>
      </c>
      <c r="E81" t="s">
        <v>10</v>
      </c>
      <c r="F81">
        <v>11</v>
      </c>
      <c r="G81" t="b">
        <v>0</v>
      </c>
      <c r="H81" t="s">
        <v>14</v>
      </c>
      <c r="I81">
        <v>1</v>
      </c>
      <c r="J81">
        <v>0.22</v>
      </c>
      <c r="K81">
        <v>0.21210000000000001</v>
      </c>
      <c r="L81">
        <v>0.51</v>
      </c>
      <c r="M81">
        <v>0.29849999999999999</v>
      </c>
      <c r="N81">
        <v>7</v>
      </c>
      <c r="O81">
        <v>50</v>
      </c>
      <c r="P81">
        <v>57</v>
      </c>
    </row>
    <row r="82" spans="1:16" x14ac:dyDescent="0.2">
      <c r="A82">
        <v>81</v>
      </c>
      <c r="B82" s="3">
        <v>40547</v>
      </c>
      <c r="C82">
        <v>1</v>
      </c>
      <c r="D82">
        <v>2011</v>
      </c>
      <c r="E82" t="s">
        <v>10</v>
      </c>
      <c r="F82">
        <v>12</v>
      </c>
      <c r="G82" t="b">
        <v>0</v>
      </c>
      <c r="H82" t="s">
        <v>14</v>
      </c>
      <c r="I82">
        <v>1</v>
      </c>
      <c r="J82">
        <v>0.22</v>
      </c>
      <c r="K82">
        <v>0.2273</v>
      </c>
      <c r="L82">
        <v>0.51</v>
      </c>
      <c r="M82">
        <v>0.16420000000000001</v>
      </c>
      <c r="N82">
        <v>12</v>
      </c>
      <c r="O82">
        <v>66</v>
      </c>
      <c r="P82">
        <v>78</v>
      </c>
    </row>
    <row r="83" spans="1:16" x14ac:dyDescent="0.2">
      <c r="A83">
        <v>82</v>
      </c>
      <c r="B83" s="3">
        <v>40547</v>
      </c>
      <c r="C83">
        <v>1</v>
      </c>
      <c r="D83">
        <v>2011</v>
      </c>
      <c r="E83" t="s">
        <v>10</v>
      </c>
      <c r="F83">
        <v>13</v>
      </c>
      <c r="G83" t="b">
        <v>0</v>
      </c>
      <c r="H83" t="s">
        <v>14</v>
      </c>
      <c r="I83">
        <v>1</v>
      </c>
      <c r="J83">
        <v>0.24</v>
      </c>
      <c r="K83">
        <v>0.2273</v>
      </c>
      <c r="L83">
        <v>0.56000000000000005</v>
      </c>
      <c r="M83">
        <v>0.19400000000000001</v>
      </c>
      <c r="N83">
        <v>18</v>
      </c>
      <c r="O83">
        <v>79</v>
      </c>
      <c r="P83">
        <v>97</v>
      </c>
    </row>
    <row r="84" spans="1:16" x14ac:dyDescent="0.2">
      <c r="A84">
        <v>83</v>
      </c>
      <c r="B84" s="3">
        <v>40547</v>
      </c>
      <c r="C84">
        <v>1</v>
      </c>
      <c r="D84">
        <v>2011</v>
      </c>
      <c r="E84" t="s">
        <v>10</v>
      </c>
      <c r="F84">
        <v>14</v>
      </c>
      <c r="G84" t="b">
        <v>0</v>
      </c>
      <c r="H84" t="s">
        <v>14</v>
      </c>
      <c r="I84">
        <v>1</v>
      </c>
      <c r="J84">
        <v>0.26</v>
      </c>
      <c r="K84">
        <v>0.2576</v>
      </c>
      <c r="L84">
        <v>0.52</v>
      </c>
      <c r="M84">
        <v>0.22389999999999999</v>
      </c>
      <c r="N84">
        <v>9</v>
      </c>
      <c r="O84">
        <v>54</v>
      </c>
      <c r="P84">
        <v>63</v>
      </c>
    </row>
    <row r="85" spans="1:16" x14ac:dyDescent="0.2">
      <c r="A85">
        <v>84</v>
      </c>
      <c r="B85" s="3">
        <v>40547</v>
      </c>
      <c r="C85">
        <v>1</v>
      </c>
      <c r="D85">
        <v>2011</v>
      </c>
      <c r="E85" t="s">
        <v>10</v>
      </c>
      <c r="F85">
        <v>15</v>
      </c>
      <c r="G85" t="b">
        <v>0</v>
      </c>
      <c r="H85" t="s">
        <v>14</v>
      </c>
      <c r="I85">
        <v>1</v>
      </c>
      <c r="J85">
        <v>0.28000000000000003</v>
      </c>
      <c r="K85">
        <v>0.2727</v>
      </c>
      <c r="L85">
        <v>0.52</v>
      </c>
      <c r="M85">
        <v>0.25369999999999998</v>
      </c>
      <c r="N85">
        <v>17</v>
      </c>
      <c r="O85">
        <v>48</v>
      </c>
      <c r="P85">
        <v>65</v>
      </c>
    </row>
    <row r="86" spans="1:16" x14ac:dyDescent="0.2">
      <c r="A86">
        <v>85</v>
      </c>
      <c r="B86" s="3">
        <v>40547</v>
      </c>
      <c r="C86">
        <v>1</v>
      </c>
      <c r="D86">
        <v>2011</v>
      </c>
      <c r="E86" t="s">
        <v>10</v>
      </c>
      <c r="F86">
        <v>16</v>
      </c>
      <c r="G86" t="b">
        <v>0</v>
      </c>
      <c r="H86" t="s">
        <v>14</v>
      </c>
      <c r="I86">
        <v>1</v>
      </c>
      <c r="J86">
        <v>0.3</v>
      </c>
      <c r="K86">
        <v>0.28789999999999999</v>
      </c>
      <c r="L86">
        <v>0.49</v>
      </c>
      <c r="M86">
        <v>0.25369999999999998</v>
      </c>
      <c r="N86">
        <v>15</v>
      </c>
      <c r="O86">
        <v>68</v>
      </c>
      <c r="P86">
        <v>83</v>
      </c>
    </row>
    <row r="87" spans="1:16" x14ac:dyDescent="0.2">
      <c r="A87">
        <v>86</v>
      </c>
      <c r="B87" s="3">
        <v>40547</v>
      </c>
      <c r="C87">
        <v>1</v>
      </c>
      <c r="D87">
        <v>2011</v>
      </c>
      <c r="E87" t="s">
        <v>10</v>
      </c>
      <c r="F87">
        <v>17</v>
      </c>
      <c r="G87" t="b">
        <v>0</v>
      </c>
      <c r="H87" t="s">
        <v>14</v>
      </c>
      <c r="I87">
        <v>1</v>
      </c>
      <c r="J87">
        <v>0.28000000000000003</v>
      </c>
      <c r="K87">
        <v>0.2727</v>
      </c>
      <c r="L87">
        <v>0.48</v>
      </c>
      <c r="M87">
        <v>0.22389999999999999</v>
      </c>
      <c r="N87">
        <v>10</v>
      </c>
      <c r="O87">
        <v>202</v>
      </c>
      <c r="P87">
        <v>212</v>
      </c>
    </row>
    <row r="88" spans="1:16" x14ac:dyDescent="0.2">
      <c r="A88">
        <v>87</v>
      </c>
      <c r="B88" s="3">
        <v>40547</v>
      </c>
      <c r="C88">
        <v>1</v>
      </c>
      <c r="D88">
        <v>2011</v>
      </c>
      <c r="E88" t="s">
        <v>10</v>
      </c>
      <c r="F88">
        <v>18</v>
      </c>
      <c r="G88" t="b">
        <v>0</v>
      </c>
      <c r="H88" t="s">
        <v>14</v>
      </c>
      <c r="I88">
        <v>1</v>
      </c>
      <c r="J88">
        <v>0.26</v>
      </c>
      <c r="K88">
        <v>0.2576</v>
      </c>
      <c r="L88">
        <v>0.48</v>
      </c>
      <c r="M88">
        <v>0.19400000000000001</v>
      </c>
      <c r="N88">
        <v>3</v>
      </c>
      <c r="O88">
        <v>179</v>
      </c>
      <c r="P88">
        <v>182</v>
      </c>
    </row>
    <row r="89" spans="1:16" x14ac:dyDescent="0.2">
      <c r="A89">
        <v>88</v>
      </c>
      <c r="B89" s="3">
        <v>40547</v>
      </c>
      <c r="C89">
        <v>1</v>
      </c>
      <c r="D89">
        <v>2011</v>
      </c>
      <c r="E89" t="s">
        <v>10</v>
      </c>
      <c r="F89">
        <v>19</v>
      </c>
      <c r="G89" t="b">
        <v>0</v>
      </c>
      <c r="H89" t="s">
        <v>14</v>
      </c>
      <c r="I89">
        <v>1</v>
      </c>
      <c r="J89">
        <v>0.24</v>
      </c>
      <c r="K89">
        <v>0.2576</v>
      </c>
      <c r="L89">
        <v>0.48</v>
      </c>
      <c r="M89">
        <v>0.1045</v>
      </c>
      <c r="N89">
        <v>2</v>
      </c>
      <c r="O89">
        <v>110</v>
      </c>
      <c r="P89">
        <v>112</v>
      </c>
    </row>
    <row r="90" spans="1:16" x14ac:dyDescent="0.2">
      <c r="A90">
        <v>89</v>
      </c>
      <c r="B90" s="3">
        <v>40547</v>
      </c>
      <c r="C90">
        <v>1</v>
      </c>
      <c r="D90">
        <v>2011</v>
      </c>
      <c r="E90" t="s">
        <v>10</v>
      </c>
      <c r="F90">
        <v>20</v>
      </c>
      <c r="G90" t="b">
        <v>0</v>
      </c>
      <c r="H90" t="s">
        <v>14</v>
      </c>
      <c r="I90">
        <v>1</v>
      </c>
      <c r="J90">
        <v>0.24</v>
      </c>
      <c r="K90">
        <v>0.2576</v>
      </c>
      <c r="L90">
        <v>0.48</v>
      </c>
      <c r="M90">
        <v>0.1045</v>
      </c>
      <c r="N90">
        <v>1</v>
      </c>
      <c r="O90">
        <v>53</v>
      </c>
      <c r="P90">
        <v>54</v>
      </c>
    </row>
    <row r="91" spans="1:16" x14ac:dyDescent="0.2">
      <c r="A91">
        <v>90</v>
      </c>
      <c r="B91" s="3">
        <v>40547</v>
      </c>
      <c r="C91">
        <v>1</v>
      </c>
      <c r="D91">
        <v>2011</v>
      </c>
      <c r="E91" t="s">
        <v>10</v>
      </c>
      <c r="F91">
        <v>21</v>
      </c>
      <c r="G91" t="b">
        <v>0</v>
      </c>
      <c r="H91" t="s">
        <v>14</v>
      </c>
      <c r="I91">
        <v>1</v>
      </c>
      <c r="J91">
        <v>0.22</v>
      </c>
      <c r="K91">
        <v>0.2727</v>
      </c>
      <c r="L91">
        <v>0.64</v>
      </c>
      <c r="M91">
        <v>0</v>
      </c>
      <c r="N91">
        <v>0</v>
      </c>
      <c r="O91">
        <v>48</v>
      </c>
      <c r="P91">
        <v>48</v>
      </c>
    </row>
    <row r="92" spans="1:16" x14ac:dyDescent="0.2">
      <c r="A92">
        <v>91</v>
      </c>
      <c r="B92" s="3">
        <v>40547</v>
      </c>
      <c r="C92">
        <v>1</v>
      </c>
      <c r="D92">
        <v>2011</v>
      </c>
      <c r="E92" t="s">
        <v>10</v>
      </c>
      <c r="F92">
        <v>22</v>
      </c>
      <c r="G92" t="b">
        <v>0</v>
      </c>
      <c r="H92" t="s">
        <v>14</v>
      </c>
      <c r="I92">
        <v>1</v>
      </c>
      <c r="J92">
        <v>0.22</v>
      </c>
      <c r="K92">
        <v>0.2576</v>
      </c>
      <c r="L92">
        <v>0.64</v>
      </c>
      <c r="M92">
        <v>8.9599999999999999E-2</v>
      </c>
      <c r="N92">
        <v>1</v>
      </c>
      <c r="O92">
        <v>34</v>
      </c>
      <c r="P92">
        <v>35</v>
      </c>
    </row>
    <row r="93" spans="1:16" x14ac:dyDescent="0.2">
      <c r="A93">
        <v>92</v>
      </c>
      <c r="B93" s="3">
        <v>40547</v>
      </c>
      <c r="C93">
        <v>1</v>
      </c>
      <c r="D93">
        <v>2011</v>
      </c>
      <c r="E93" t="s">
        <v>10</v>
      </c>
      <c r="F93">
        <v>23</v>
      </c>
      <c r="G93" t="b">
        <v>0</v>
      </c>
      <c r="H93" t="s">
        <v>14</v>
      </c>
      <c r="I93">
        <v>1</v>
      </c>
      <c r="J93">
        <v>0.2</v>
      </c>
      <c r="K93">
        <v>0.2273</v>
      </c>
      <c r="L93">
        <v>0.69</v>
      </c>
      <c r="M93">
        <v>8.9599999999999999E-2</v>
      </c>
      <c r="N93">
        <v>2</v>
      </c>
      <c r="O93">
        <v>9</v>
      </c>
      <c r="P93">
        <v>11</v>
      </c>
    </row>
    <row r="94" spans="1:16" x14ac:dyDescent="0.2">
      <c r="A94">
        <v>93</v>
      </c>
      <c r="B94" s="3">
        <v>40548</v>
      </c>
      <c r="C94">
        <v>1</v>
      </c>
      <c r="D94">
        <v>2011</v>
      </c>
      <c r="E94" t="s">
        <v>10</v>
      </c>
      <c r="F94">
        <v>0</v>
      </c>
      <c r="G94" t="b">
        <v>0</v>
      </c>
      <c r="H94" t="s">
        <v>15</v>
      </c>
      <c r="I94">
        <v>1</v>
      </c>
      <c r="J94">
        <v>0.2</v>
      </c>
      <c r="K94">
        <v>0.2576</v>
      </c>
      <c r="L94">
        <v>0.64</v>
      </c>
      <c r="M94">
        <v>0</v>
      </c>
      <c r="N94">
        <v>0</v>
      </c>
      <c r="O94">
        <v>6</v>
      </c>
      <c r="P94">
        <v>6</v>
      </c>
    </row>
    <row r="95" spans="1:16" x14ac:dyDescent="0.2">
      <c r="A95">
        <v>94</v>
      </c>
      <c r="B95" s="3">
        <v>40548</v>
      </c>
      <c r="C95">
        <v>1</v>
      </c>
      <c r="D95">
        <v>2011</v>
      </c>
      <c r="E95" t="s">
        <v>10</v>
      </c>
      <c r="F95">
        <v>1</v>
      </c>
      <c r="G95" t="b">
        <v>0</v>
      </c>
      <c r="H95" t="s">
        <v>15</v>
      </c>
      <c r="I95">
        <v>1</v>
      </c>
      <c r="J95">
        <v>0.16</v>
      </c>
      <c r="K95">
        <v>0.19700000000000001</v>
      </c>
      <c r="L95">
        <v>0.74</v>
      </c>
      <c r="M95">
        <v>8.9599999999999999E-2</v>
      </c>
      <c r="N95">
        <v>0</v>
      </c>
      <c r="O95">
        <v>6</v>
      </c>
      <c r="P95">
        <v>6</v>
      </c>
    </row>
    <row r="96" spans="1:16" x14ac:dyDescent="0.2">
      <c r="A96">
        <v>95</v>
      </c>
      <c r="B96" s="3">
        <v>40548</v>
      </c>
      <c r="C96">
        <v>1</v>
      </c>
      <c r="D96">
        <v>2011</v>
      </c>
      <c r="E96" t="s">
        <v>10</v>
      </c>
      <c r="F96">
        <v>2</v>
      </c>
      <c r="G96" t="b">
        <v>0</v>
      </c>
      <c r="H96" t="s">
        <v>15</v>
      </c>
      <c r="I96">
        <v>1</v>
      </c>
      <c r="J96">
        <v>0.16</v>
      </c>
      <c r="K96">
        <v>0.19700000000000001</v>
      </c>
      <c r="L96">
        <v>0.74</v>
      </c>
      <c r="M96">
        <v>8.9599999999999999E-2</v>
      </c>
      <c r="N96">
        <v>0</v>
      </c>
      <c r="O96">
        <v>2</v>
      </c>
      <c r="P96">
        <v>2</v>
      </c>
    </row>
    <row r="97" spans="1:16" x14ac:dyDescent="0.2">
      <c r="A97">
        <v>96</v>
      </c>
      <c r="B97" s="3">
        <v>40548</v>
      </c>
      <c r="C97">
        <v>1</v>
      </c>
      <c r="D97">
        <v>2011</v>
      </c>
      <c r="E97" t="s">
        <v>10</v>
      </c>
      <c r="F97">
        <v>4</v>
      </c>
      <c r="G97" t="b">
        <v>0</v>
      </c>
      <c r="H97" t="s">
        <v>15</v>
      </c>
      <c r="I97">
        <v>1</v>
      </c>
      <c r="J97">
        <v>0.24</v>
      </c>
      <c r="K97">
        <v>0.2273</v>
      </c>
      <c r="L97">
        <v>0.48</v>
      </c>
      <c r="M97">
        <v>0.22389999999999999</v>
      </c>
      <c r="N97">
        <v>0</v>
      </c>
      <c r="O97">
        <v>2</v>
      </c>
      <c r="P97">
        <v>2</v>
      </c>
    </row>
    <row r="98" spans="1:16" x14ac:dyDescent="0.2">
      <c r="A98">
        <v>97</v>
      </c>
      <c r="B98" s="3">
        <v>40548</v>
      </c>
      <c r="C98">
        <v>1</v>
      </c>
      <c r="D98">
        <v>2011</v>
      </c>
      <c r="E98" t="s">
        <v>10</v>
      </c>
      <c r="F98">
        <v>5</v>
      </c>
      <c r="G98" t="b">
        <v>0</v>
      </c>
      <c r="H98" t="s">
        <v>15</v>
      </c>
      <c r="I98">
        <v>1</v>
      </c>
      <c r="J98">
        <v>0.22</v>
      </c>
      <c r="K98">
        <v>0.2273</v>
      </c>
      <c r="L98">
        <v>0.47</v>
      </c>
      <c r="M98">
        <v>0.16420000000000001</v>
      </c>
      <c r="N98">
        <v>0</v>
      </c>
      <c r="O98">
        <v>3</v>
      </c>
      <c r="P98">
        <v>3</v>
      </c>
    </row>
    <row r="99" spans="1:16" x14ac:dyDescent="0.2">
      <c r="A99">
        <v>98</v>
      </c>
      <c r="B99" s="3">
        <v>40548</v>
      </c>
      <c r="C99">
        <v>1</v>
      </c>
      <c r="D99">
        <v>2011</v>
      </c>
      <c r="E99" t="s">
        <v>10</v>
      </c>
      <c r="F99">
        <v>6</v>
      </c>
      <c r="G99" t="b">
        <v>0</v>
      </c>
      <c r="H99" t="s">
        <v>15</v>
      </c>
      <c r="I99">
        <v>1</v>
      </c>
      <c r="J99">
        <v>0.2</v>
      </c>
      <c r="K99">
        <v>0.19700000000000001</v>
      </c>
      <c r="L99">
        <v>0.47</v>
      </c>
      <c r="M99">
        <v>0.22389999999999999</v>
      </c>
      <c r="N99">
        <v>0</v>
      </c>
      <c r="O99">
        <v>33</v>
      </c>
      <c r="P99">
        <v>33</v>
      </c>
    </row>
    <row r="100" spans="1:16" x14ac:dyDescent="0.2">
      <c r="A100">
        <v>99</v>
      </c>
      <c r="B100" s="3">
        <v>40548</v>
      </c>
      <c r="C100">
        <v>1</v>
      </c>
      <c r="D100">
        <v>2011</v>
      </c>
      <c r="E100" t="s">
        <v>10</v>
      </c>
      <c r="F100">
        <v>7</v>
      </c>
      <c r="G100" t="b">
        <v>0</v>
      </c>
      <c r="H100" t="s">
        <v>15</v>
      </c>
      <c r="I100">
        <v>1</v>
      </c>
      <c r="J100">
        <v>0.18</v>
      </c>
      <c r="K100">
        <v>0.18179999999999999</v>
      </c>
      <c r="L100">
        <v>0.43</v>
      </c>
      <c r="M100">
        <v>0.19400000000000001</v>
      </c>
      <c r="N100">
        <v>1</v>
      </c>
      <c r="O100">
        <v>87</v>
      </c>
      <c r="P100">
        <v>88</v>
      </c>
    </row>
    <row r="101" spans="1:16" x14ac:dyDescent="0.2">
      <c r="A101">
        <v>100</v>
      </c>
      <c r="B101" s="3">
        <v>40548</v>
      </c>
      <c r="C101">
        <v>1</v>
      </c>
      <c r="D101">
        <v>2011</v>
      </c>
      <c r="E101" t="s">
        <v>10</v>
      </c>
      <c r="F101">
        <v>8</v>
      </c>
      <c r="G101" t="b">
        <v>0</v>
      </c>
      <c r="H101" t="s">
        <v>15</v>
      </c>
      <c r="I101">
        <v>1</v>
      </c>
      <c r="J101">
        <v>0.2</v>
      </c>
      <c r="K101">
        <v>0.18179999999999999</v>
      </c>
      <c r="L101">
        <v>0.4</v>
      </c>
      <c r="M101">
        <v>0.29849999999999999</v>
      </c>
      <c r="N101">
        <v>3</v>
      </c>
      <c r="O101">
        <v>192</v>
      </c>
      <c r="P101">
        <v>195</v>
      </c>
    </row>
    <row r="102" spans="1:16" x14ac:dyDescent="0.2">
      <c r="A102">
        <v>101</v>
      </c>
      <c r="B102" s="3">
        <v>40548</v>
      </c>
      <c r="C102">
        <v>1</v>
      </c>
      <c r="D102">
        <v>2011</v>
      </c>
      <c r="E102" t="s">
        <v>10</v>
      </c>
      <c r="F102">
        <v>9</v>
      </c>
      <c r="G102" t="b">
        <v>0</v>
      </c>
      <c r="H102" t="s">
        <v>15</v>
      </c>
      <c r="I102">
        <v>1</v>
      </c>
      <c r="J102">
        <v>0.22</v>
      </c>
      <c r="K102">
        <v>0.19700000000000001</v>
      </c>
      <c r="L102">
        <v>0.37</v>
      </c>
      <c r="M102">
        <v>0.32840000000000003</v>
      </c>
      <c r="N102">
        <v>6</v>
      </c>
      <c r="O102">
        <v>109</v>
      </c>
      <c r="P102">
        <v>115</v>
      </c>
    </row>
    <row r="103" spans="1:16" x14ac:dyDescent="0.2">
      <c r="A103">
        <v>102</v>
      </c>
      <c r="B103" s="3">
        <v>40548</v>
      </c>
      <c r="C103">
        <v>1</v>
      </c>
      <c r="D103">
        <v>2011</v>
      </c>
      <c r="E103" t="s">
        <v>10</v>
      </c>
      <c r="F103">
        <v>10</v>
      </c>
      <c r="G103" t="b">
        <v>0</v>
      </c>
      <c r="H103" t="s">
        <v>15</v>
      </c>
      <c r="I103">
        <v>1</v>
      </c>
      <c r="J103">
        <v>0.22</v>
      </c>
      <c r="K103">
        <v>0.19700000000000001</v>
      </c>
      <c r="L103">
        <v>0.37</v>
      </c>
      <c r="M103">
        <v>0.32840000000000003</v>
      </c>
      <c r="N103">
        <v>4</v>
      </c>
      <c r="O103">
        <v>53</v>
      </c>
      <c r="P103">
        <v>57</v>
      </c>
    </row>
    <row r="104" spans="1:16" x14ac:dyDescent="0.2">
      <c r="A104">
        <v>103</v>
      </c>
      <c r="B104" s="3">
        <v>40548</v>
      </c>
      <c r="C104">
        <v>1</v>
      </c>
      <c r="D104">
        <v>2011</v>
      </c>
      <c r="E104" t="s">
        <v>10</v>
      </c>
      <c r="F104">
        <v>11</v>
      </c>
      <c r="G104" t="b">
        <v>0</v>
      </c>
      <c r="H104" t="s">
        <v>15</v>
      </c>
      <c r="I104">
        <v>1</v>
      </c>
      <c r="J104">
        <v>0.26</v>
      </c>
      <c r="K104">
        <v>0.2273</v>
      </c>
      <c r="L104">
        <v>0.33</v>
      </c>
      <c r="M104">
        <v>0.32840000000000003</v>
      </c>
      <c r="N104">
        <v>12</v>
      </c>
      <c r="O104">
        <v>34</v>
      </c>
      <c r="P104">
        <v>46</v>
      </c>
    </row>
    <row r="105" spans="1:16" x14ac:dyDescent="0.2">
      <c r="A105">
        <v>104</v>
      </c>
      <c r="B105" s="3">
        <v>40548</v>
      </c>
      <c r="C105">
        <v>1</v>
      </c>
      <c r="D105">
        <v>2011</v>
      </c>
      <c r="E105" t="s">
        <v>10</v>
      </c>
      <c r="F105">
        <v>12</v>
      </c>
      <c r="G105" t="b">
        <v>0</v>
      </c>
      <c r="H105" t="s">
        <v>15</v>
      </c>
      <c r="I105">
        <v>1</v>
      </c>
      <c r="J105">
        <v>0.26</v>
      </c>
      <c r="K105">
        <v>0.2273</v>
      </c>
      <c r="L105">
        <v>0.33</v>
      </c>
      <c r="M105">
        <v>0.32840000000000003</v>
      </c>
      <c r="N105">
        <v>5</v>
      </c>
      <c r="O105">
        <v>74</v>
      </c>
      <c r="P105">
        <v>79</v>
      </c>
    </row>
    <row r="106" spans="1:16" x14ac:dyDescent="0.2">
      <c r="A106">
        <v>105</v>
      </c>
      <c r="B106" s="3">
        <v>40548</v>
      </c>
      <c r="C106">
        <v>1</v>
      </c>
      <c r="D106">
        <v>2011</v>
      </c>
      <c r="E106" t="s">
        <v>10</v>
      </c>
      <c r="F106">
        <v>13</v>
      </c>
      <c r="G106" t="b">
        <v>0</v>
      </c>
      <c r="H106" t="s">
        <v>15</v>
      </c>
      <c r="I106">
        <v>1</v>
      </c>
      <c r="J106">
        <v>0.28000000000000003</v>
      </c>
      <c r="K106">
        <v>0.2576</v>
      </c>
      <c r="L106">
        <v>0.3</v>
      </c>
      <c r="M106">
        <v>0.29849999999999999</v>
      </c>
      <c r="N106">
        <v>6</v>
      </c>
      <c r="O106">
        <v>65</v>
      </c>
      <c r="P106">
        <v>71</v>
      </c>
    </row>
    <row r="107" spans="1:16" x14ac:dyDescent="0.2">
      <c r="A107">
        <v>106</v>
      </c>
      <c r="B107" s="3">
        <v>40548</v>
      </c>
      <c r="C107">
        <v>1</v>
      </c>
      <c r="D107">
        <v>2011</v>
      </c>
      <c r="E107" t="s">
        <v>10</v>
      </c>
      <c r="F107">
        <v>14</v>
      </c>
      <c r="G107" t="b">
        <v>0</v>
      </c>
      <c r="H107" t="s">
        <v>15</v>
      </c>
      <c r="I107">
        <v>1</v>
      </c>
      <c r="J107">
        <v>0.3</v>
      </c>
      <c r="K107">
        <v>0.28789999999999999</v>
      </c>
      <c r="L107">
        <v>0.28000000000000003</v>
      </c>
      <c r="M107">
        <v>0.19400000000000001</v>
      </c>
      <c r="N107">
        <v>10</v>
      </c>
      <c r="O107">
        <v>52</v>
      </c>
      <c r="P107">
        <v>62</v>
      </c>
    </row>
    <row r="108" spans="1:16" x14ac:dyDescent="0.2">
      <c r="A108">
        <v>107</v>
      </c>
      <c r="B108" s="3">
        <v>40548</v>
      </c>
      <c r="C108">
        <v>1</v>
      </c>
      <c r="D108">
        <v>2011</v>
      </c>
      <c r="E108" t="s">
        <v>10</v>
      </c>
      <c r="F108">
        <v>15</v>
      </c>
      <c r="G108" t="b">
        <v>0</v>
      </c>
      <c r="H108" t="s">
        <v>15</v>
      </c>
      <c r="I108">
        <v>1</v>
      </c>
      <c r="J108">
        <v>0.3</v>
      </c>
      <c r="K108">
        <v>0.28789999999999999</v>
      </c>
      <c r="L108">
        <v>0.28000000000000003</v>
      </c>
      <c r="M108">
        <v>0.19400000000000001</v>
      </c>
      <c r="N108">
        <v>7</v>
      </c>
      <c r="O108">
        <v>55</v>
      </c>
      <c r="P108">
        <v>62</v>
      </c>
    </row>
    <row r="109" spans="1:16" x14ac:dyDescent="0.2">
      <c r="A109">
        <v>108</v>
      </c>
      <c r="B109" s="3">
        <v>40548</v>
      </c>
      <c r="C109">
        <v>1</v>
      </c>
      <c r="D109">
        <v>2011</v>
      </c>
      <c r="E109" t="s">
        <v>10</v>
      </c>
      <c r="F109">
        <v>16</v>
      </c>
      <c r="G109" t="b">
        <v>0</v>
      </c>
      <c r="H109" t="s">
        <v>15</v>
      </c>
      <c r="I109">
        <v>1</v>
      </c>
      <c r="J109">
        <v>0.3</v>
      </c>
      <c r="K109">
        <v>0.31819999999999998</v>
      </c>
      <c r="L109">
        <v>0.28000000000000003</v>
      </c>
      <c r="M109">
        <v>8.9599999999999999E-2</v>
      </c>
      <c r="N109">
        <v>4</v>
      </c>
      <c r="O109">
        <v>85</v>
      </c>
      <c r="P109">
        <v>89</v>
      </c>
    </row>
    <row r="110" spans="1:16" x14ac:dyDescent="0.2">
      <c r="A110">
        <v>109</v>
      </c>
      <c r="B110" s="3">
        <v>40548</v>
      </c>
      <c r="C110">
        <v>1</v>
      </c>
      <c r="D110">
        <v>2011</v>
      </c>
      <c r="E110" t="s">
        <v>10</v>
      </c>
      <c r="F110">
        <v>17</v>
      </c>
      <c r="G110" t="b">
        <v>0</v>
      </c>
      <c r="H110" t="s">
        <v>15</v>
      </c>
      <c r="I110">
        <v>1</v>
      </c>
      <c r="J110">
        <v>0.24</v>
      </c>
      <c r="K110">
        <v>0.2273</v>
      </c>
      <c r="L110">
        <v>0.38</v>
      </c>
      <c r="M110">
        <v>0.19400000000000001</v>
      </c>
      <c r="N110">
        <v>4</v>
      </c>
      <c r="O110">
        <v>186</v>
      </c>
      <c r="P110">
        <v>190</v>
      </c>
    </row>
    <row r="111" spans="1:16" x14ac:dyDescent="0.2">
      <c r="A111">
        <v>110</v>
      </c>
      <c r="B111" s="3">
        <v>40548</v>
      </c>
      <c r="C111">
        <v>1</v>
      </c>
      <c r="D111">
        <v>2011</v>
      </c>
      <c r="E111" t="s">
        <v>10</v>
      </c>
      <c r="F111">
        <v>18</v>
      </c>
      <c r="G111" t="b">
        <v>0</v>
      </c>
      <c r="H111" t="s">
        <v>15</v>
      </c>
      <c r="I111">
        <v>1</v>
      </c>
      <c r="J111">
        <v>0.24</v>
      </c>
      <c r="K111">
        <v>0.2424</v>
      </c>
      <c r="L111">
        <v>0.38</v>
      </c>
      <c r="M111">
        <v>0.1343</v>
      </c>
      <c r="N111">
        <v>3</v>
      </c>
      <c r="O111">
        <v>166</v>
      </c>
      <c r="P111">
        <v>169</v>
      </c>
    </row>
    <row r="112" spans="1:16" x14ac:dyDescent="0.2">
      <c r="A112">
        <v>111</v>
      </c>
      <c r="B112" s="3">
        <v>40548</v>
      </c>
      <c r="C112">
        <v>1</v>
      </c>
      <c r="D112">
        <v>2011</v>
      </c>
      <c r="E112" t="s">
        <v>10</v>
      </c>
      <c r="F112">
        <v>19</v>
      </c>
      <c r="G112" t="b">
        <v>0</v>
      </c>
      <c r="H112" t="s">
        <v>15</v>
      </c>
      <c r="I112">
        <v>1</v>
      </c>
      <c r="J112">
        <v>0.24</v>
      </c>
      <c r="K112">
        <v>0.2576</v>
      </c>
      <c r="L112">
        <v>0.38</v>
      </c>
      <c r="M112">
        <v>0.1045</v>
      </c>
      <c r="N112">
        <v>5</v>
      </c>
      <c r="O112">
        <v>127</v>
      </c>
      <c r="P112">
        <v>132</v>
      </c>
    </row>
    <row r="113" spans="1:16" x14ac:dyDescent="0.2">
      <c r="A113">
        <v>112</v>
      </c>
      <c r="B113" s="3">
        <v>40548</v>
      </c>
      <c r="C113">
        <v>1</v>
      </c>
      <c r="D113">
        <v>2011</v>
      </c>
      <c r="E113" t="s">
        <v>10</v>
      </c>
      <c r="F113">
        <v>20</v>
      </c>
      <c r="G113" t="b">
        <v>0</v>
      </c>
      <c r="H113" t="s">
        <v>15</v>
      </c>
      <c r="I113">
        <v>1</v>
      </c>
      <c r="J113">
        <v>0.22</v>
      </c>
      <c r="K113">
        <v>0.2273</v>
      </c>
      <c r="L113">
        <v>0.47</v>
      </c>
      <c r="M113">
        <v>0.16420000000000001</v>
      </c>
      <c r="N113">
        <v>7</v>
      </c>
      <c r="O113">
        <v>82</v>
      </c>
      <c r="P113">
        <v>89</v>
      </c>
    </row>
    <row r="114" spans="1:16" x14ac:dyDescent="0.2">
      <c r="A114">
        <v>113</v>
      </c>
      <c r="B114" s="3">
        <v>40548</v>
      </c>
      <c r="C114">
        <v>1</v>
      </c>
      <c r="D114">
        <v>2011</v>
      </c>
      <c r="E114" t="s">
        <v>10</v>
      </c>
      <c r="F114">
        <v>21</v>
      </c>
      <c r="G114" t="b">
        <v>0</v>
      </c>
      <c r="H114" t="s">
        <v>15</v>
      </c>
      <c r="I114">
        <v>1</v>
      </c>
      <c r="J114">
        <v>0.2</v>
      </c>
      <c r="K114">
        <v>0.19700000000000001</v>
      </c>
      <c r="L114">
        <v>0.51</v>
      </c>
      <c r="M114">
        <v>0.19400000000000001</v>
      </c>
      <c r="N114">
        <v>3</v>
      </c>
      <c r="O114">
        <v>40</v>
      </c>
      <c r="P114">
        <v>43</v>
      </c>
    </row>
    <row r="115" spans="1:16" x14ac:dyDescent="0.2">
      <c r="A115">
        <v>114</v>
      </c>
      <c r="B115" s="3">
        <v>40548</v>
      </c>
      <c r="C115">
        <v>1</v>
      </c>
      <c r="D115">
        <v>2011</v>
      </c>
      <c r="E115" t="s">
        <v>10</v>
      </c>
      <c r="F115">
        <v>22</v>
      </c>
      <c r="G115" t="b">
        <v>0</v>
      </c>
      <c r="H115" t="s">
        <v>15</v>
      </c>
      <c r="I115">
        <v>1</v>
      </c>
      <c r="J115">
        <v>0.18</v>
      </c>
      <c r="K115">
        <v>0.19700000000000001</v>
      </c>
      <c r="L115">
        <v>0.55000000000000004</v>
      </c>
      <c r="M115">
        <v>0.1343</v>
      </c>
      <c r="N115">
        <v>1</v>
      </c>
      <c r="O115">
        <v>41</v>
      </c>
      <c r="P115">
        <v>42</v>
      </c>
    </row>
    <row r="116" spans="1:16" x14ac:dyDescent="0.2">
      <c r="A116">
        <v>115</v>
      </c>
      <c r="B116" s="3">
        <v>40548</v>
      </c>
      <c r="C116">
        <v>1</v>
      </c>
      <c r="D116">
        <v>2011</v>
      </c>
      <c r="E116" t="s">
        <v>10</v>
      </c>
      <c r="F116">
        <v>23</v>
      </c>
      <c r="G116" t="b">
        <v>0</v>
      </c>
      <c r="H116" t="s">
        <v>15</v>
      </c>
      <c r="I116">
        <v>1</v>
      </c>
      <c r="J116">
        <v>0.2</v>
      </c>
      <c r="K116">
        <v>0.2576</v>
      </c>
      <c r="L116">
        <v>0.47</v>
      </c>
      <c r="M116">
        <v>0</v>
      </c>
      <c r="N116">
        <v>1</v>
      </c>
      <c r="O116">
        <v>18</v>
      </c>
      <c r="P116">
        <v>19</v>
      </c>
    </row>
    <row r="117" spans="1:16" x14ac:dyDescent="0.2">
      <c r="A117">
        <v>116</v>
      </c>
      <c r="B117" s="3">
        <v>40549</v>
      </c>
      <c r="C117">
        <v>1</v>
      </c>
      <c r="D117">
        <v>2011</v>
      </c>
      <c r="E117" t="s">
        <v>10</v>
      </c>
      <c r="F117">
        <v>0</v>
      </c>
      <c r="G117" t="b">
        <v>0</v>
      </c>
      <c r="H117" t="s">
        <v>16</v>
      </c>
      <c r="I117">
        <v>1</v>
      </c>
      <c r="J117">
        <v>0.18</v>
      </c>
      <c r="K117">
        <v>0.2424</v>
      </c>
      <c r="L117">
        <v>0.55000000000000004</v>
      </c>
      <c r="M117">
        <v>0</v>
      </c>
      <c r="N117">
        <v>0</v>
      </c>
      <c r="O117">
        <v>11</v>
      </c>
      <c r="P117">
        <v>11</v>
      </c>
    </row>
    <row r="118" spans="1:16" x14ac:dyDescent="0.2">
      <c r="A118">
        <v>117</v>
      </c>
      <c r="B118" s="3">
        <v>40549</v>
      </c>
      <c r="C118">
        <v>1</v>
      </c>
      <c r="D118">
        <v>2011</v>
      </c>
      <c r="E118" t="s">
        <v>10</v>
      </c>
      <c r="F118">
        <v>1</v>
      </c>
      <c r="G118" t="b">
        <v>0</v>
      </c>
      <c r="H118" t="s">
        <v>16</v>
      </c>
      <c r="I118">
        <v>1</v>
      </c>
      <c r="J118">
        <v>0.16</v>
      </c>
      <c r="K118">
        <v>0.2273</v>
      </c>
      <c r="L118">
        <v>0.64</v>
      </c>
      <c r="M118">
        <v>0</v>
      </c>
      <c r="N118">
        <v>0</v>
      </c>
      <c r="O118">
        <v>4</v>
      </c>
      <c r="P118">
        <v>4</v>
      </c>
    </row>
    <row r="119" spans="1:16" x14ac:dyDescent="0.2">
      <c r="A119">
        <v>118</v>
      </c>
      <c r="B119" s="3">
        <v>40549</v>
      </c>
      <c r="C119">
        <v>1</v>
      </c>
      <c r="D119">
        <v>2011</v>
      </c>
      <c r="E119" t="s">
        <v>10</v>
      </c>
      <c r="F119">
        <v>2</v>
      </c>
      <c r="G119" t="b">
        <v>0</v>
      </c>
      <c r="H119" t="s">
        <v>16</v>
      </c>
      <c r="I119">
        <v>1</v>
      </c>
      <c r="J119">
        <v>0.16</v>
      </c>
      <c r="K119">
        <v>0.2273</v>
      </c>
      <c r="L119">
        <v>0.64</v>
      </c>
      <c r="M119">
        <v>0</v>
      </c>
      <c r="N119">
        <v>0</v>
      </c>
      <c r="O119">
        <v>2</v>
      </c>
      <c r="P119">
        <v>2</v>
      </c>
    </row>
    <row r="120" spans="1:16" x14ac:dyDescent="0.2">
      <c r="A120">
        <v>119</v>
      </c>
      <c r="B120" s="3">
        <v>40549</v>
      </c>
      <c r="C120">
        <v>1</v>
      </c>
      <c r="D120">
        <v>2011</v>
      </c>
      <c r="E120" t="s">
        <v>10</v>
      </c>
      <c r="F120">
        <v>4</v>
      </c>
      <c r="G120" t="b">
        <v>0</v>
      </c>
      <c r="H120" t="s">
        <v>16</v>
      </c>
      <c r="I120">
        <v>2</v>
      </c>
      <c r="J120">
        <v>0.16</v>
      </c>
      <c r="K120">
        <v>0.19700000000000001</v>
      </c>
      <c r="L120">
        <v>0.64</v>
      </c>
      <c r="M120">
        <v>8.9599999999999999E-2</v>
      </c>
      <c r="N120">
        <v>0</v>
      </c>
      <c r="O120">
        <v>1</v>
      </c>
      <c r="P120">
        <v>1</v>
      </c>
    </row>
    <row r="121" spans="1:16" x14ac:dyDescent="0.2">
      <c r="A121">
        <v>120</v>
      </c>
      <c r="B121" s="3">
        <v>40549</v>
      </c>
      <c r="C121">
        <v>1</v>
      </c>
      <c r="D121">
        <v>2011</v>
      </c>
      <c r="E121" t="s">
        <v>10</v>
      </c>
      <c r="F121">
        <v>5</v>
      </c>
      <c r="G121" t="b">
        <v>0</v>
      </c>
      <c r="H121" t="s">
        <v>16</v>
      </c>
      <c r="I121">
        <v>2</v>
      </c>
      <c r="J121">
        <v>0.14000000000000001</v>
      </c>
      <c r="K121">
        <v>0.18179999999999999</v>
      </c>
      <c r="L121">
        <v>0.69</v>
      </c>
      <c r="M121">
        <v>8.9599999999999999E-2</v>
      </c>
      <c r="N121">
        <v>0</v>
      </c>
      <c r="O121">
        <v>4</v>
      </c>
      <c r="P121">
        <v>4</v>
      </c>
    </row>
    <row r="122" spans="1:16" x14ac:dyDescent="0.2">
      <c r="A122">
        <v>121</v>
      </c>
      <c r="B122" s="3">
        <v>40549</v>
      </c>
      <c r="C122">
        <v>1</v>
      </c>
      <c r="D122">
        <v>2011</v>
      </c>
      <c r="E122" t="s">
        <v>10</v>
      </c>
      <c r="F122">
        <v>6</v>
      </c>
      <c r="G122" t="b">
        <v>0</v>
      </c>
      <c r="H122" t="s">
        <v>16</v>
      </c>
      <c r="I122">
        <v>2</v>
      </c>
      <c r="J122">
        <v>0.14000000000000001</v>
      </c>
      <c r="K122">
        <v>0.16669999999999999</v>
      </c>
      <c r="L122">
        <v>0.63</v>
      </c>
      <c r="M122">
        <v>0.1045</v>
      </c>
      <c r="N122">
        <v>0</v>
      </c>
      <c r="O122">
        <v>36</v>
      </c>
      <c r="P122">
        <v>36</v>
      </c>
    </row>
    <row r="123" spans="1:16" x14ac:dyDescent="0.2">
      <c r="A123">
        <v>122</v>
      </c>
      <c r="B123" s="3">
        <v>40549</v>
      </c>
      <c r="C123">
        <v>1</v>
      </c>
      <c r="D123">
        <v>2011</v>
      </c>
      <c r="E123" t="s">
        <v>10</v>
      </c>
      <c r="F123">
        <v>7</v>
      </c>
      <c r="G123" t="b">
        <v>0</v>
      </c>
      <c r="H123" t="s">
        <v>16</v>
      </c>
      <c r="I123">
        <v>2</v>
      </c>
      <c r="J123">
        <v>0.16</v>
      </c>
      <c r="K123">
        <v>0.2273</v>
      </c>
      <c r="L123">
        <v>0.59</v>
      </c>
      <c r="M123">
        <v>0</v>
      </c>
      <c r="N123">
        <v>0</v>
      </c>
      <c r="O123">
        <v>95</v>
      </c>
      <c r="P123">
        <v>95</v>
      </c>
    </row>
    <row r="124" spans="1:16" x14ac:dyDescent="0.2">
      <c r="A124">
        <v>123</v>
      </c>
      <c r="B124" s="3">
        <v>40549</v>
      </c>
      <c r="C124">
        <v>1</v>
      </c>
      <c r="D124">
        <v>2011</v>
      </c>
      <c r="E124" t="s">
        <v>10</v>
      </c>
      <c r="F124">
        <v>8</v>
      </c>
      <c r="G124" t="b">
        <v>0</v>
      </c>
      <c r="H124" t="s">
        <v>16</v>
      </c>
      <c r="I124">
        <v>1</v>
      </c>
      <c r="J124">
        <v>0.16</v>
      </c>
      <c r="K124">
        <v>0.2273</v>
      </c>
      <c r="L124">
        <v>0.59</v>
      </c>
      <c r="M124">
        <v>0</v>
      </c>
      <c r="N124">
        <v>3</v>
      </c>
      <c r="O124">
        <v>216</v>
      </c>
      <c r="P124">
        <v>219</v>
      </c>
    </row>
    <row r="125" spans="1:16" x14ac:dyDescent="0.2">
      <c r="A125">
        <v>124</v>
      </c>
      <c r="B125" s="3">
        <v>40549</v>
      </c>
      <c r="C125">
        <v>1</v>
      </c>
      <c r="D125">
        <v>2011</v>
      </c>
      <c r="E125" t="s">
        <v>10</v>
      </c>
      <c r="F125">
        <v>9</v>
      </c>
      <c r="G125" t="b">
        <v>0</v>
      </c>
      <c r="H125" t="s">
        <v>16</v>
      </c>
      <c r="I125">
        <v>2</v>
      </c>
      <c r="J125">
        <v>0.18</v>
      </c>
      <c r="K125">
        <v>0.2424</v>
      </c>
      <c r="L125">
        <v>0.51</v>
      </c>
      <c r="M125">
        <v>0</v>
      </c>
      <c r="N125">
        <v>6</v>
      </c>
      <c r="O125">
        <v>116</v>
      </c>
      <c r="P125">
        <v>122</v>
      </c>
    </row>
    <row r="126" spans="1:16" x14ac:dyDescent="0.2">
      <c r="A126">
        <v>125</v>
      </c>
      <c r="B126" s="3">
        <v>40549</v>
      </c>
      <c r="C126">
        <v>1</v>
      </c>
      <c r="D126">
        <v>2011</v>
      </c>
      <c r="E126" t="s">
        <v>10</v>
      </c>
      <c r="F126">
        <v>10</v>
      </c>
      <c r="G126" t="b">
        <v>0</v>
      </c>
      <c r="H126" t="s">
        <v>16</v>
      </c>
      <c r="I126">
        <v>1</v>
      </c>
      <c r="J126">
        <v>0.2</v>
      </c>
      <c r="K126">
        <v>0.2576</v>
      </c>
      <c r="L126">
        <v>0.47</v>
      </c>
      <c r="M126">
        <v>0</v>
      </c>
      <c r="N126">
        <v>3</v>
      </c>
      <c r="O126">
        <v>42</v>
      </c>
      <c r="P126">
        <v>45</v>
      </c>
    </row>
    <row r="127" spans="1:16" x14ac:dyDescent="0.2">
      <c r="A127">
        <v>126</v>
      </c>
      <c r="B127" s="3">
        <v>40549</v>
      </c>
      <c r="C127">
        <v>1</v>
      </c>
      <c r="D127">
        <v>2011</v>
      </c>
      <c r="E127" t="s">
        <v>10</v>
      </c>
      <c r="F127">
        <v>11</v>
      </c>
      <c r="G127" t="b">
        <v>0</v>
      </c>
      <c r="H127" t="s">
        <v>16</v>
      </c>
      <c r="I127">
        <v>1</v>
      </c>
      <c r="J127">
        <v>0.22</v>
      </c>
      <c r="K127">
        <v>0.2576</v>
      </c>
      <c r="L127">
        <v>0.44</v>
      </c>
      <c r="M127">
        <v>8.9599999999999999E-2</v>
      </c>
      <c r="N127">
        <v>2</v>
      </c>
      <c r="O127">
        <v>57</v>
      </c>
      <c r="P127">
        <v>59</v>
      </c>
    </row>
    <row r="128" spans="1:16" x14ac:dyDescent="0.2">
      <c r="A128">
        <v>127</v>
      </c>
      <c r="B128" s="3">
        <v>40549</v>
      </c>
      <c r="C128">
        <v>1</v>
      </c>
      <c r="D128">
        <v>2011</v>
      </c>
      <c r="E128" t="s">
        <v>10</v>
      </c>
      <c r="F128">
        <v>12</v>
      </c>
      <c r="G128" t="b">
        <v>0</v>
      </c>
      <c r="H128" t="s">
        <v>16</v>
      </c>
      <c r="I128">
        <v>1</v>
      </c>
      <c r="J128">
        <v>0.26</v>
      </c>
      <c r="K128">
        <v>0.28789999999999999</v>
      </c>
      <c r="L128">
        <v>0.35</v>
      </c>
      <c r="M128">
        <v>0</v>
      </c>
      <c r="N128">
        <v>6</v>
      </c>
      <c r="O128">
        <v>78</v>
      </c>
      <c r="P128">
        <v>84</v>
      </c>
    </row>
    <row r="129" spans="1:16" x14ac:dyDescent="0.2">
      <c r="A129">
        <v>128</v>
      </c>
      <c r="B129" s="3">
        <v>40549</v>
      </c>
      <c r="C129">
        <v>1</v>
      </c>
      <c r="D129">
        <v>2011</v>
      </c>
      <c r="E129" t="s">
        <v>10</v>
      </c>
      <c r="F129">
        <v>13</v>
      </c>
      <c r="G129" t="b">
        <v>0</v>
      </c>
      <c r="H129" t="s">
        <v>16</v>
      </c>
      <c r="I129">
        <v>1</v>
      </c>
      <c r="J129">
        <v>0.26</v>
      </c>
      <c r="K129">
        <v>0.2727</v>
      </c>
      <c r="L129">
        <v>0.35</v>
      </c>
      <c r="M129">
        <v>0.1045</v>
      </c>
      <c r="N129">
        <v>12</v>
      </c>
      <c r="O129">
        <v>55</v>
      </c>
      <c r="P129">
        <v>67</v>
      </c>
    </row>
    <row r="130" spans="1:16" x14ac:dyDescent="0.2">
      <c r="A130">
        <v>129</v>
      </c>
      <c r="B130" s="3">
        <v>40549</v>
      </c>
      <c r="C130">
        <v>1</v>
      </c>
      <c r="D130">
        <v>2011</v>
      </c>
      <c r="E130" t="s">
        <v>10</v>
      </c>
      <c r="F130">
        <v>14</v>
      </c>
      <c r="G130" t="b">
        <v>0</v>
      </c>
      <c r="H130" t="s">
        <v>16</v>
      </c>
      <c r="I130">
        <v>1</v>
      </c>
      <c r="J130">
        <v>0.28000000000000003</v>
      </c>
      <c r="K130">
        <v>0.2727</v>
      </c>
      <c r="L130">
        <v>0.36</v>
      </c>
      <c r="M130">
        <v>0.16420000000000001</v>
      </c>
      <c r="N130">
        <v>11</v>
      </c>
      <c r="O130">
        <v>59</v>
      </c>
      <c r="P130">
        <v>70</v>
      </c>
    </row>
    <row r="131" spans="1:16" x14ac:dyDescent="0.2">
      <c r="A131">
        <v>130</v>
      </c>
      <c r="B131" s="3">
        <v>40549</v>
      </c>
      <c r="C131">
        <v>1</v>
      </c>
      <c r="D131">
        <v>2011</v>
      </c>
      <c r="E131" t="s">
        <v>10</v>
      </c>
      <c r="F131">
        <v>15</v>
      </c>
      <c r="G131" t="b">
        <v>0</v>
      </c>
      <c r="H131" t="s">
        <v>16</v>
      </c>
      <c r="I131">
        <v>1</v>
      </c>
      <c r="J131">
        <v>0.28000000000000003</v>
      </c>
      <c r="K131">
        <v>0.2727</v>
      </c>
      <c r="L131">
        <v>0.36</v>
      </c>
      <c r="M131">
        <v>0</v>
      </c>
      <c r="N131">
        <v>8</v>
      </c>
      <c r="O131">
        <v>54</v>
      </c>
      <c r="P131">
        <v>62</v>
      </c>
    </row>
    <row r="132" spans="1:16" x14ac:dyDescent="0.2">
      <c r="A132">
        <v>131</v>
      </c>
      <c r="B132" s="3">
        <v>40549</v>
      </c>
      <c r="C132">
        <v>1</v>
      </c>
      <c r="D132">
        <v>2011</v>
      </c>
      <c r="E132" t="s">
        <v>10</v>
      </c>
      <c r="F132">
        <v>16</v>
      </c>
      <c r="G132" t="b">
        <v>0</v>
      </c>
      <c r="H132" t="s">
        <v>16</v>
      </c>
      <c r="I132">
        <v>1</v>
      </c>
      <c r="J132">
        <v>0.26</v>
      </c>
      <c r="K132">
        <v>0.2576</v>
      </c>
      <c r="L132">
        <v>0.38</v>
      </c>
      <c r="M132">
        <v>0.16420000000000001</v>
      </c>
      <c r="N132">
        <v>12</v>
      </c>
      <c r="O132">
        <v>74</v>
      </c>
      <c r="P132">
        <v>86</v>
      </c>
    </row>
    <row r="133" spans="1:16" x14ac:dyDescent="0.2">
      <c r="A133">
        <v>132</v>
      </c>
      <c r="B133" s="3">
        <v>40549</v>
      </c>
      <c r="C133">
        <v>1</v>
      </c>
      <c r="D133">
        <v>2011</v>
      </c>
      <c r="E133" t="s">
        <v>10</v>
      </c>
      <c r="F133">
        <v>17</v>
      </c>
      <c r="G133" t="b">
        <v>0</v>
      </c>
      <c r="H133" t="s">
        <v>16</v>
      </c>
      <c r="I133">
        <v>1</v>
      </c>
      <c r="J133">
        <v>0.22</v>
      </c>
      <c r="K133">
        <v>0.2273</v>
      </c>
      <c r="L133">
        <v>0.51</v>
      </c>
      <c r="M133">
        <v>0.16420000000000001</v>
      </c>
      <c r="N133">
        <v>9</v>
      </c>
      <c r="O133">
        <v>163</v>
      </c>
      <c r="P133">
        <v>172</v>
      </c>
    </row>
    <row r="134" spans="1:16" x14ac:dyDescent="0.2">
      <c r="A134">
        <v>133</v>
      </c>
      <c r="B134" s="3">
        <v>40549</v>
      </c>
      <c r="C134">
        <v>1</v>
      </c>
      <c r="D134">
        <v>2011</v>
      </c>
      <c r="E134" t="s">
        <v>10</v>
      </c>
      <c r="F134">
        <v>18</v>
      </c>
      <c r="G134" t="b">
        <v>0</v>
      </c>
      <c r="H134" t="s">
        <v>16</v>
      </c>
      <c r="I134">
        <v>1</v>
      </c>
      <c r="J134">
        <v>0.22</v>
      </c>
      <c r="K134">
        <v>0.2273</v>
      </c>
      <c r="L134">
        <v>0.51</v>
      </c>
      <c r="M134">
        <v>0.1343</v>
      </c>
      <c r="N134">
        <v>5</v>
      </c>
      <c r="O134">
        <v>158</v>
      </c>
      <c r="P134">
        <v>163</v>
      </c>
    </row>
    <row r="135" spans="1:16" x14ac:dyDescent="0.2">
      <c r="A135">
        <v>134</v>
      </c>
      <c r="B135" s="3">
        <v>40549</v>
      </c>
      <c r="C135">
        <v>1</v>
      </c>
      <c r="D135">
        <v>2011</v>
      </c>
      <c r="E135" t="s">
        <v>10</v>
      </c>
      <c r="F135">
        <v>19</v>
      </c>
      <c r="G135" t="b">
        <v>0</v>
      </c>
      <c r="H135" t="s">
        <v>16</v>
      </c>
      <c r="I135">
        <v>1</v>
      </c>
      <c r="J135">
        <v>0.22</v>
      </c>
      <c r="K135">
        <v>0.2576</v>
      </c>
      <c r="L135">
        <v>0.55000000000000004</v>
      </c>
      <c r="M135">
        <v>8.9599999999999999E-2</v>
      </c>
      <c r="N135">
        <v>3</v>
      </c>
      <c r="O135">
        <v>109</v>
      </c>
      <c r="P135">
        <v>112</v>
      </c>
    </row>
    <row r="136" spans="1:16" x14ac:dyDescent="0.2">
      <c r="A136">
        <v>135</v>
      </c>
      <c r="B136" s="3">
        <v>40549</v>
      </c>
      <c r="C136">
        <v>1</v>
      </c>
      <c r="D136">
        <v>2011</v>
      </c>
      <c r="E136" t="s">
        <v>10</v>
      </c>
      <c r="F136">
        <v>20</v>
      </c>
      <c r="G136" t="b">
        <v>0</v>
      </c>
      <c r="H136" t="s">
        <v>16</v>
      </c>
      <c r="I136">
        <v>1</v>
      </c>
      <c r="J136">
        <v>0.2</v>
      </c>
      <c r="K136">
        <v>0.21210000000000001</v>
      </c>
      <c r="L136">
        <v>0.51</v>
      </c>
      <c r="M136">
        <v>0.16420000000000001</v>
      </c>
      <c r="N136">
        <v>3</v>
      </c>
      <c r="O136">
        <v>66</v>
      </c>
      <c r="P136">
        <v>69</v>
      </c>
    </row>
    <row r="137" spans="1:16" x14ac:dyDescent="0.2">
      <c r="A137">
        <v>136</v>
      </c>
      <c r="B137" s="3">
        <v>40549</v>
      </c>
      <c r="C137">
        <v>1</v>
      </c>
      <c r="D137">
        <v>2011</v>
      </c>
      <c r="E137" t="s">
        <v>10</v>
      </c>
      <c r="F137">
        <v>21</v>
      </c>
      <c r="G137" t="b">
        <v>0</v>
      </c>
      <c r="H137" t="s">
        <v>16</v>
      </c>
      <c r="I137">
        <v>2</v>
      </c>
      <c r="J137">
        <v>0.22</v>
      </c>
      <c r="K137">
        <v>0.21210000000000001</v>
      </c>
      <c r="L137">
        <v>0.55000000000000004</v>
      </c>
      <c r="M137">
        <v>0.22389999999999999</v>
      </c>
      <c r="N137">
        <v>0</v>
      </c>
      <c r="O137">
        <v>48</v>
      </c>
      <c r="P137">
        <v>48</v>
      </c>
    </row>
    <row r="138" spans="1:16" x14ac:dyDescent="0.2">
      <c r="A138">
        <v>137</v>
      </c>
      <c r="B138" s="3">
        <v>40549</v>
      </c>
      <c r="C138">
        <v>1</v>
      </c>
      <c r="D138">
        <v>2011</v>
      </c>
      <c r="E138" t="s">
        <v>10</v>
      </c>
      <c r="F138">
        <v>22</v>
      </c>
      <c r="G138" t="b">
        <v>0</v>
      </c>
      <c r="H138" t="s">
        <v>16</v>
      </c>
      <c r="I138">
        <v>2</v>
      </c>
      <c r="J138">
        <v>0.22</v>
      </c>
      <c r="K138">
        <v>0.21210000000000001</v>
      </c>
      <c r="L138">
        <v>0.51</v>
      </c>
      <c r="M138">
        <v>0.28360000000000002</v>
      </c>
      <c r="N138">
        <v>1</v>
      </c>
      <c r="O138">
        <v>51</v>
      </c>
      <c r="P138">
        <v>52</v>
      </c>
    </row>
    <row r="139" spans="1:16" x14ac:dyDescent="0.2">
      <c r="A139">
        <v>138</v>
      </c>
      <c r="B139" s="3">
        <v>40549</v>
      </c>
      <c r="C139">
        <v>1</v>
      </c>
      <c r="D139">
        <v>2011</v>
      </c>
      <c r="E139" t="s">
        <v>10</v>
      </c>
      <c r="F139">
        <v>23</v>
      </c>
      <c r="G139" t="b">
        <v>0</v>
      </c>
      <c r="H139" t="s">
        <v>16</v>
      </c>
      <c r="I139">
        <v>2</v>
      </c>
      <c r="J139">
        <v>0.2</v>
      </c>
      <c r="K139">
        <v>0.19700000000000001</v>
      </c>
      <c r="L139">
        <v>0.59</v>
      </c>
      <c r="M139">
        <v>0.19400000000000001</v>
      </c>
      <c r="N139">
        <v>4</v>
      </c>
      <c r="O139">
        <v>19</v>
      </c>
      <c r="P139">
        <v>23</v>
      </c>
    </row>
    <row r="140" spans="1:16" x14ac:dyDescent="0.2">
      <c r="A140">
        <v>139</v>
      </c>
      <c r="B140" s="3">
        <v>40550</v>
      </c>
      <c r="C140">
        <v>1</v>
      </c>
      <c r="D140">
        <v>2011</v>
      </c>
      <c r="E140" t="s">
        <v>10</v>
      </c>
      <c r="F140">
        <v>0</v>
      </c>
      <c r="G140" t="b">
        <v>0</v>
      </c>
      <c r="H140" t="s">
        <v>17</v>
      </c>
      <c r="I140">
        <v>2</v>
      </c>
      <c r="J140">
        <v>0.2</v>
      </c>
      <c r="K140">
        <v>0.19700000000000001</v>
      </c>
      <c r="L140">
        <v>0.64</v>
      </c>
      <c r="M140">
        <v>0.19400000000000001</v>
      </c>
      <c r="N140">
        <v>4</v>
      </c>
      <c r="O140">
        <v>13</v>
      </c>
      <c r="P140">
        <v>17</v>
      </c>
    </row>
    <row r="141" spans="1:16" x14ac:dyDescent="0.2">
      <c r="A141">
        <v>140</v>
      </c>
      <c r="B141" s="3">
        <v>40550</v>
      </c>
      <c r="C141">
        <v>1</v>
      </c>
      <c r="D141">
        <v>2011</v>
      </c>
      <c r="E141" t="s">
        <v>10</v>
      </c>
      <c r="F141">
        <v>1</v>
      </c>
      <c r="G141" t="b">
        <v>0</v>
      </c>
      <c r="H141" t="s">
        <v>17</v>
      </c>
      <c r="I141">
        <v>2</v>
      </c>
      <c r="J141">
        <v>0.2</v>
      </c>
      <c r="K141">
        <v>0.19700000000000001</v>
      </c>
      <c r="L141">
        <v>0.69</v>
      </c>
      <c r="M141">
        <v>0.22389999999999999</v>
      </c>
      <c r="N141">
        <v>2</v>
      </c>
      <c r="O141">
        <v>5</v>
      </c>
      <c r="P141">
        <v>7</v>
      </c>
    </row>
    <row r="142" spans="1:16" x14ac:dyDescent="0.2">
      <c r="A142">
        <v>141</v>
      </c>
      <c r="B142" s="3">
        <v>40550</v>
      </c>
      <c r="C142">
        <v>1</v>
      </c>
      <c r="D142">
        <v>2011</v>
      </c>
      <c r="E142" t="s">
        <v>10</v>
      </c>
      <c r="F142">
        <v>2</v>
      </c>
      <c r="G142" t="b">
        <v>0</v>
      </c>
      <c r="H142" t="s">
        <v>17</v>
      </c>
      <c r="I142">
        <v>2</v>
      </c>
      <c r="J142">
        <v>0.2</v>
      </c>
      <c r="K142">
        <v>0.19700000000000001</v>
      </c>
      <c r="L142">
        <v>0.69</v>
      </c>
      <c r="M142">
        <v>0.22389999999999999</v>
      </c>
      <c r="N142">
        <v>0</v>
      </c>
      <c r="O142">
        <v>1</v>
      </c>
      <c r="P142">
        <v>1</v>
      </c>
    </row>
    <row r="143" spans="1:16" x14ac:dyDescent="0.2">
      <c r="A143">
        <v>142</v>
      </c>
      <c r="B143" s="3">
        <v>40550</v>
      </c>
      <c r="C143">
        <v>1</v>
      </c>
      <c r="D143">
        <v>2011</v>
      </c>
      <c r="E143" t="s">
        <v>10</v>
      </c>
      <c r="F143">
        <v>4</v>
      </c>
      <c r="G143" t="b">
        <v>0</v>
      </c>
      <c r="H143" t="s">
        <v>17</v>
      </c>
      <c r="I143">
        <v>2</v>
      </c>
      <c r="J143">
        <v>0.2</v>
      </c>
      <c r="K143">
        <v>0.21210000000000001</v>
      </c>
      <c r="L143">
        <v>0.69</v>
      </c>
      <c r="M143">
        <v>0.1343</v>
      </c>
      <c r="N143">
        <v>0</v>
      </c>
      <c r="O143">
        <v>1</v>
      </c>
      <c r="P143">
        <v>1</v>
      </c>
    </row>
    <row r="144" spans="1:16" x14ac:dyDescent="0.2">
      <c r="A144">
        <v>143</v>
      </c>
      <c r="B144" s="3">
        <v>40550</v>
      </c>
      <c r="C144">
        <v>1</v>
      </c>
      <c r="D144">
        <v>2011</v>
      </c>
      <c r="E144" t="s">
        <v>10</v>
      </c>
      <c r="F144">
        <v>5</v>
      </c>
      <c r="G144" t="b">
        <v>0</v>
      </c>
      <c r="H144" t="s">
        <v>17</v>
      </c>
      <c r="I144">
        <v>3</v>
      </c>
      <c r="J144">
        <v>0.22</v>
      </c>
      <c r="K144">
        <v>0.2727</v>
      </c>
      <c r="L144">
        <v>0.55000000000000004</v>
      </c>
      <c r="M144">
        <v>0</v>
      </c>
      <c r="N144">
        <v>0</v>
      </c>
      <c r="O144">
        <v>5</v>
      </c>
      <c r="P144">
        <v>5</v>
      </c>
    </row>
    <row r="145" spans="1:16" x14ac:dyDescent="0.2">
      <c r="A145">
        <v>144</v>
      </c>
      <c r="B145" s="3">
        <v>40550</v>
      </c>
      <c r="C145">
        <v>1</v>
      </c>
      <c r="D145">
        <v>2011</v>
      </c>
      <c r="E145" t="s">
        <v>10</v>
      </c>
      <c r="F145">
        <v>6</v>
      </c>
      <c r="G145" t="b">
        <v>0</v>
      </c>
      <c r="H145" t="s">
        <v>17</v>
      </c>
      <c r="I145">
        <v>2</v>
      </c>
      <c r="J145">
        <v>0.2</v>
      </c>
      <c r="K145">
        <v>0.2576</v>
      </c>
      <c r="L145">
        <v>0.69</v>
      </c>
      <c r="M145">
        <v>0</v>
      </c>
      <c r="N145">
        <v>8</v>
      </c>
      <c r="O145">
        <v>26</v>
      </c>
      <c r="P145">
        <v>34</v>
      </c>
    </row>
    <row r="146" spans="1:16" x14ac:dyDescent="0.2">
      <c r="A146">
        <v>145</v>
      </c>
      <c r="B146" s="3">
        <v>40550</v>
      </c>
      <c r="C146">
        <v>1</v>
      </c>
      <c r="D146">
        <v>2011</v>
      </c>
      <c r="E146" t="s">
        <v>10</v>
      </c>
      <c r="F146">
        <v>7</v>
      </c>
      <c r="G146" t="b">
        <v>0</v>
      </c>
      <c r="H146" t="s">
        <v>17</v>
      </c>
      <c r="I146">
        <v>1</v>
      </c>
      <c r="J146">
        <v>0.2</v>
      </c>
      <c r="K146">
        <v>0.21210000000000001</v>
      </c>
      <c r="L146">
        <v>0.69</v>
      </c>
      <c r="M146">
        <v>0.1343</v>
      </c>
      <c r="N146">
        <v>8</v>
      </c>
      <c r="O146">
        <v>76</v>
      </c>
      <c r="P146">
        <v>84</v>
      </c>
    </row>
    <row r="147" spans="1:16" x14ac:dyDescent="0.2">
      <c r="A147">
        <v>146</v>
      </c>
      <c r="B147" s="3">
        <v>40550</v>
      </c>
      <c r="C147">
        <v>1</v>
      </c>
      <c r="D147">
        <v>2011</v>
      </c>
      <c r="E147" t="s">
        <v>10</v>
      </c>
      <c r="F147">
        <v>8</v>
      </c>
      <c r="G147" t="b">
        <v>0</v>
      </c>
      <c r="H147" t="s">
        <v>17</v>
      </c>
      <c r="I147">
        <v>1</v>
      </c>
      <c r="J147">
        <v>0.2</v>
      </c>
      <c r="K147">
        <v>0.19700000000000001</v>
      </c>
      <c r="L147">
        <v>0.51</v>
      </c>
      <c r="M147">
        <v>0.25369999999999998</v>
      </c>
      <c r="N147">
        <v>20</v>
      </c>
      <c r="O147">
        <v>190</v>
      </c>
      <c r="P147">
        <v>210</v>
      </c>
    </row>
    <row r="148" spans="1:16" x14ac:dyDescent="0.2">
      <c r="A148">
        <v>147</v>
      </c>
      <c r="B148" s="3">
        <v>40550</v>
      </c>
      <c r="C148">
        <v>1</v>
      </c>
      <c r="D148">
        <v>2011</v>
      </c>
      <c r="E148" t="s">
        <v>10</v>
      </c>
      <c r="F148">
        <v>9</v>
      </c>
      <c r="G148" t="b">
        <v>0</v>
      </c>
      <c r="H148" t="s">
        <v>17</v>
      </c>
      <c r="I148">
        <v>1</v>
      </c>
      <c r="J148">
        <v>0.2</v>
      </c>
      <c r="K148">
        <v>0.18179999999999999</v>
      </c>
      <c r="L148">
        <v>0.47</v>
      </c>
      <c r="M148">
        <v>0.29849999999999999</v>
      </c>
      <c r="N148">
        <v>9</v>
      </c>
      <c r="O148">
        <v>125</v>
      </c>
      <c r="P148">
        <v>134</v>
      </c>
    </row>
    <row r="149" spans="1:16" x14ac:dyDescent="0.2">
      <c r="A149">
        <v>148</v>
      </c>
      <c r="B149" s="3">
        <v>40550</v>
      </c>
      <c r="C149">
        <v>1</v>
      </c>
      <c r="D149">
        <v>2011</v>
      </c>
      <c r="E149" t="s">
        <v>10</v>
      </c>
      <c r="F149">
        <v>10</v>
      </c>
      <c r="G149" t="b">
        <v>0</v>
      </c>
      <c r="H149" t="s">
        <v>17</v>
      </c>
      <c r="I149">
        <v>1</v>
      </c>
      <c r="J149">
        <v>0.22</v>
      </c>
      <c r="K149">
        <v>0.19700000000000001</v>
      </c>
      <c r="L149">
        <v>0.37</v>
      </c>
      <c r="M149">
        <v>0.32840000000000003</v>
      </c>
      <c r="N149">
        <v>16</v>
      </c>
      <c r="O149">
        <v>47</v>
      </c>
      <c r="P149">
        <v>63</v>
      </c>
    </row>
    <row r="150" spans="1:16" x14ac:dyDescent="0.2">
      <c r="A150">
        <v>149</v>
      </c>
      <c r="B150" s="3">
        <v>40550</v>
      </c>
      <c r="C150">
        <v>1</v>
      </c>
      <c r="D150">
        <v>2011</v>
      </c>
      <c r="E150" t="s">
        <v>10</v>
      </c>
      <c r="F150">
        <v>11</v>
      </c>
      <c r="G150" t="b">
        <v>0</v>
      </c>
      <c r="H150" t="s">
        <v>17</v>
      </c>
      <c r="I150">
        <v>2</v>
      </c>
      <c r="J150">
        <v>0.2</v>
      </c>
      <c r="K150">
        <v>0.19700000000000001</v>
      </c>
      <c r="L150">
        <v>0.4</v>
      </c>
      <c r="M150">
        <v>0.22389999999999999</v>
      </c>
      <c r="N150">
        <v>19</v>
      </c>
      <c r="O150">
        <v>48</v>
      </c>
      <c r="P150">
        <v>67</v>
      </c>
    </row>
    <row r="151" spans="1:16" x14ac:dyDescent="0.2">
      <c r="A151">
        <v>150</v>
      </c>
      <c r="B151" s="3">
        <v>40550</v>
      </c>
      <c r="C151">
        <v>1</v>
      </c>
      <c r="D151">
        <v>2011</v>
      </c>
      <c r="E151" t="s">
        <v>10</v>
      </c>
      <c r="F151">
        <v>12</v>
      </c>
      <c r="G151" t="b">
        <v>0</v>
      </c>
      <c r="H151" t="s">
        <v>17</v>
      </c>
      <c r="I151">
        <v>2</v>
      </c>
      <c r="J151">
        <v>0.2</v>
      </c>
      <c r="K151">
        <v>0.19700000000000001</v>
      </c>
      <c r="L151">
        <v>0.37</v>
      </c>
      <c r="M151">
        <v>0.25369999999999998</v>
      </c>
      <c r="N151">
        <v>9</v>
      </c>
      <c r="O151">
        <v>50</v>
      </c>
      <c r="P151">
        <v>59</v>
      </c>
    </row>
    <row r="152" spans="1:16" x14ac:dyDescent="0.2">
      <c r="A152">
        <v>151</v>
      </c>
      <c r="B152" s="3">
        <v>40550</v>
      </c>
      <c r="C152">
        <v>1</v>
      </c>
      <c r="D152">
        <v>2011</v>
      </c>
      <c r="E152" t="s">
        <v>10</v>
      </c>
      <c r="F152">
        <v>13</v>
      </c>
      <c r="G152" t="b">
        <v>0</v>
      </c>
      <c r="H152" t="s">
        <v>17</v>
      </c>
      <c r="I152">
        <v>2</v>
      </c>
      <c r="J152">
        <v>0.2</v>
      </c>
      <c r="K152">
        <v>0.18179999999999999</v>
      </c>
      <c r="L152">
        <v>0.37</v>
      </c>
      <c r="M152">
        <v>0.28360000000000002</v>
      </c>
      <c r="N152">
        <v>9</v>
      </c>
      <c r="O152">
        <v>64</v>
      </c>
      <c r="P152">
        <v>73</v>
      </c>
    </row>
    <row r="153" spans="1:16" x14ac:dyDescent="0.2">
      <c r="A153">
        <v>152</v>
      </c>
      <c r="B153" s="3">
        <v>40550</v>
      </c>
      <c r="C153">
        <v>1</v>
      </c>
      <c r="D153">
        <v>2011</v>
      </c>
      <c r="E153" t="s">
        <v>10</v>
      </c>
      <c r="F153">
        <v>14</v>
      </c>
      <c r="G153" t="b">
        <v>0</v>
      </c>
      <c r="H153" t="s">
        <v>17</v>
      </c>
      <c r="I153">
        <v>2</v>
      </c>
      <c r="J153">
        <v>0.2</v>
      </c>
      <c r="K153">
        <v>0.19700000000000001</v>
      </c>
      <c r="L153">
        <v>0.4</v>
      </c>
      <c r="M153">
        <v>0.25369999999999998</v>
      </c>
      <c r="N153">
        <v>7</v>
      </c>
      <c r="O153">
        <v>43</v>
      </c>
      <c r="P153">
        <v>50</v>
      </c>
    </row>
    <row r="154" spans="1:16" x14ac:dyDescent="0.2">
      <c r="A154">
        <v>153</v>
      </c>
      <c r="B154" s="3">
        <v>40550</v>
      </c>
      <c r="C154">
        <v>1</v>
      </c>
      <c r="D154">
        <v>2011</v>
      </c>
      <c r="E154" t="s">
        <v>10</v>
      </c>
      <c r="F154">
        <v>15</v>
      </c>
      <c r="G154" t="b">
        <v>0</v>
      </c>
      <c r="H154" t="s">
        <v>17</v>
      </c>
      <c r="I154">
        <v>2</v>
      </c>
      <c r="J154">
        <v>0.2</v>
      </c>
      <c r="K154">
        <v>0.21210000000000001</v>
      </c>
      <c r="L154">
        <v>0.37</v>
      </c>
      <c r="M154">
        <v>0.16420000000000001</v>
      </c>
      <c r="N154">
        <v>9</v>
      </c>
      <c r="O154">
        <v>63</v>
      </c>
      <c r="P154">
        <v>72</v>
      </c>
    </row>
    <row r="155" spans="1:16" x14ac:dyDescent="0.2">
      <c r="A155">
        <v>154</v>
      </c>
      <c r="B155" s="3">
        <v>40550</v>
      </c>
      <c r="C155">
        <v>1</v>
      </c>
      <c r="D155">
        <v>2011</v>
      </c>
      <c r="E155" t="s">
        <v>10</v>
      </c>
      <c r="F155">
        <v>16</v>
      </c>
      <c r="G155" t="b">
        <v>0</v>
      </c>
      <c r="H155" t="s">
        <v>17</v>
      </c>
      <c r="I155">
        <v>2</v>
      </c>
      <c r="J155">
        <v>0.2</v>
      </c>
      <c r="K155">
        <v>0.21210000000000001</v>
      </c>
      <c r="L155">
        <v>0.37</v>
      </c>
      <c r="M155">
        <v>0.16420000000000001</v>
      </c>
      <c r="N155">
        <v>5</v>
      </c>
      <c r="O155">
        <v>82</v>
      </c>
      <c r="P155">
        <v>87</v>
      </c>
    </row>
    <row r="156" spans="1:16" x14ac:dyDescent="0.2">
      <c r="A156">
        <v>155</v>
      </c>
      <c r="B156" s="3">
        <v>40550</v>
      </c>
      <c r="C156">
        <v>1</v>
      </c>
      <c r="D156">
        <v>2011</v>
      </c>
      <c r="E156" t="s">
        <v>10</v>
      </c>
      <c r="F156">
        <v>17</v>
      </c>
      <c r="G156" t="b">
        <v>0</v>
      </c>
      <c r="H156" t="s">
        <v>17</v>
      </c>
      <c r="I156">
        <v>2</v>
      </c>
      <c r="J156">
        <v>0.2</v>
      </c>
      <c r="K156">
        <v>0.2576</v>
      </c>
      <c r="L156">
        <v>0.37</v>
      </c>
      <c r="M156">
        <v>0</v>
      </c>
      <c r="N156">
        <v>9</v>
      </c>
      <c r="O156">
        <v>178</v>
      </c>
      <c r="P156">
        <v>187</v>
      </c>
    </row>
    <row r="157" spans="1:16" x14ac:dyDescent="0.2">
      <c r="A157">
        <v>156</v>
      </c>
      <c r="B157" s="3">
        <v>40550</v>
      </c>
      <c r="C157">
        <v>1</v>
      </c>
      <c r="D157">
        <v>2011</v>
      </c>
      <c r="E157" t="s">
        <v>10</v>
      </c>
      <c r="F157">
        <v>18</v>
      </c>
      <c r="G157" t="b">
        <v>0</v>
      </c>
      <c r="H157" t="s">
        <v>17</v>
      </c>
      <c r="I157">
        <v>1</v>
      </c>
      <c r="J157">
        <v>0.2</v>
      </c>
      <c r="K157">
        <v>0.2273</v>
      </c>
      <c r="L157">
        <v>0.4</v>
      </c>
      <c r="M157">
        <v>8.9599999999999999E-2</v>
      </c>
      <c r="N157">
        <v>7</v>
      </c>
      <c r="O157">
        <v>116</v>
      </c>
      <c r="P157">
        <v>123</v>
      </c>
    </row>
    <row r="158" spans="1:16" x14ac:dyDescent="0.2">
      <c r="A158">
        <v>157</v>
      </c>
      <c r="B158" s="3">
        <v>40550</v>
      </c>
      <c r="C158">
        <v>1</v>
      </c>
      <c r="D158">
        <v>2011</v>
      </c>
      <c r="E158" t="s">
        <v>10</v>
      </c>
      <c r="F158">
        <v>19</v>
      </c>
      <c r="G158" t="b">
        <v>0</v>
      </c>
      <c r="H158" t="s">
        <v>17</v>
      </c>
      <c r="I158">
        <v>1</v>
      </c>
      <c r="J158">
        <v>0.16</v>
      </c>
      <c r="K158">
        <v>0.19700000000000001</v>
      </c>
      <c r="L158">
        <v>0.55000000000000004</v>
      </c>
      <c r="M158">
        <v>8.9599999999999999E-2</v>
      </c>
      <c r="N158">
        <v>3</v>
      </c>
      <c r="O158">
        <v>92</v>
      </c>
      <c r="P158">
        <v>95</v>
      </c>
    </row>
    <row r="159" spans="1:16" x14ac:dyDescent="0.2">
      <c r="A159">
        <v>158</v>
      </c>
      <c r="B159" s="3">
        <v>40550</v>
      </c>
      <c r="C159">
        <v>1</v>
      </c>
      <c r="D159">
        <v>2011</v>
      </c>
      <c r="E159" t="s">
        <v>10</v>
      </c>
      <c r="F159">
        <v>20</v>
      </c>
      <c r="G159" t="b">
        <v>0</v>
      </c>
      <c r="H159" t="s">
        <v>17</v>
      </c>
      <c r="I159">
        <v>1</v>
      </c>
      <c r="J159">
        <v>0.18</v>
      </c>
      <c r="K159">
        <v>0.21210000000000001</v>
      </c>
      <c r="L159">
        <v>0.47</v>
      </c>
      <c r="M159">
        <v>0.1045</v>
      </c>
      <c r="N159">
        <v>1</v>
      </c>
      <c r="O159">
        <v>50</v>
      </c>
      <c r="P159">
        <v>51</v>
      </c>
    </row>
    <row r="160" spans="1:16" x14ac:dyDescent="0.2">
      <c r="A160">
        <v>159</v>
      </c>
      <c r="B160" s="3">
        <v>40550</v>
      </c>
      <c r="C160">
        <v>1</v>
      </c>
      <c r="D160">
        <v>2011</v>
      </c>
      <c r="E160" t="s">
        <v>10</v>
      </c>
      <c r="F160">
        <v>21</v>
      </c>
      <c r="G160" t="b">
        <v>0</v>
      </c>
      <c r="H160" t="s">
        <v>17</v>
      </c>
      <c r="I160">
        <v>1</v>
      </c>
      <c r="J160">
        <v>0.18</v>
      </c>
      <c r="K160">
        <v>0.19700000000000001</v>
      </c>
      <c r="L160">
        <v>0.47</v>
      </c>
      <c r="M160">
        <v>0.1343</v>
      </c>
      <c r="N160">
        <v>0</v>
      </c>
      <c r="O160">
        <v>39</v>
      </c>
      <c r="P160">
        <v>39</v>
      </c>
    </row>
    <row r="161" spans="1:16" x14ac:dyDescent="0.2">
      <c r="A161">
        <v>160</v>
      </c>
      <c r="B161" s="3">
        <v>40550</v>
      </c>
      <c r="C161">
        <v>1</v>
      </c>
      <c r="D161">
        <v>2011</v>
      </c>
      <c r="E161" t="s">
        <v>10</v>
      </c>
      <c r="F161">
        <v>22</v>
      </c>
      <c r="G161" t="b">
        <v>0</v>
      </c>
      <c r="H161" t="s">
        <v>17</v>
      </c>
      <c r="I161">
        <v>2</v>
      </c>
      <c r="J161">
        <v>0.18</v>
      </c>
      <c r="K161">
        <v>0.19700000000000001</v>
      </c>
      <c r="L161">
        <v>0.43</v>
      </c>
      <c r="M161">
        <v>0.16420000000000001</v>
      </c>
      <c r="N161">
        <v>2</v>
      </c>
      <c r="O161">
        <v>34</v>
      </c>
      <c r="P161">
        <v>36</v>
      </c>
    </row>
    <row r="162" spans="1:16" x14ac:dyDescent="0.2">
      <c r="A162">
        <v>161</v>
      </c>
      <c r="B162" s="3">
        <v>40550</v>
      </c>
      <c r="C162">
        <v>1</v>
      </c>
      <c r="D162">
        <v>2011</v>
      </c>
      <c r="E162" t="s">
        <v>10</v>
      </c>
      <c r="F162">
        <v>23</v>
      </c>
      <c r="G162" t="b">
        <v>0</v>
      </c>
      <c r="H162" t="s">
        <v>17</v>
      </c>
      <c r="I162">
        <v>2</v>
      </c>
      <c r="J162">
        <v>0.18</v>
      </c>
      <c r="K162">
        <v>0.19700000000000001</v>
      </c>
      <c r="L162">
        <v>0.51</v>
      </c>
      <c r="M162">
        <v>0.16420000000000001</v>
      </c>
      <c r="N162">
        <v>1</v>
      </c>
      <c r="O162">
        <v>14</v>
      </c>
      <c r="P162">
        <v>15</v>
      </c>
    </row>
    <row r="163" spans="1:16" x14ac:dyDescent="0.2">
      <c r="A163">
        <v>162</v>
      </c>
      <c r="B163" s="3">
        <v>40551</v>
      </c>
      <c r="C163">
        <v>1</v>
      </c>
      <c r="D163">
        <v>2011</v>
      </c>
      <c r="E163" t="s">
        <v>10</v>
      </c>
      <c r="F163">
        <v>0</v>
      </c>
      <c r="G163" t="b">
        <v>0</v>
      </c>
      <c r="H163" t="s">
        <v>11</v>
      </c>
      <c r="I163">
        <v>2</v>
      </c>
      <c r="J163">
        <v>0.18</v>
      </c>
      <c r="K163">
        <v>0.19700000000000001</v>
      </c>
      <c r="L163">
        <v>0.51</v>
      </c>
      <c r="M163">
        <v>0.16420000000000001</v>
      </c>
      <c r="N163">
        <v>1</v>
      </c>
      <c r="O163">
        <v>24</v>
      </c>
      <c r="P163">
        <v>25</v>
      </c>
    </row>
    <row r="164" spans="1:16" x14ac:dyDescent="0.2">
      <c r="A164">
        <v>163</v>
      </c>
      <c r="B164" s="3">
        <v>40551</v>
      </c>
      <c r="C164">
        <v>1</v>
      </c>
      <c r="D164">
        <v>2011</v>
      </c>
      <c r="E164" t="s">
        <v>10</v>
      </c>
      <c r="F164">
        <v>1</v>
      </c>
      <c r="G164" t="b">
        <v>0</v>
      </c>
      <c r="H164" t="s">
        <v>11</v>
      </c>
      <c r="I164">
        <v>2</v>
      </c>
      <c r="J164">
        <v>0.18</v>
      </c>
      <c r="K164">
        <v>0.21210000000000001</v>
      </c>
      <c r="L164">
        <v>0.55000000000000004</v>
      </c>
      <c r="M164">
        <v>8.9599999999999999E-2</v>
      </c>
      <c r="N164">
        <v>1</v>
      </c>
      <c r="O164">
        <v>15</v>
      </c>
      <c r="P164">
        <v>16</v>
      </c>
    </row>
    <row r="165" spans="1:16" x14ac:dyDescent="0.2">
      <c r="A165">
        <v>164</v>
      </c>
      <c r="B165" s="3">
        <v>40551</v>
      </c>
      <c r="C165">
        <v>1</v>
      </c>
      <c r="D165">
        <v>2011</v>
      </c>
      <c r="E165" t="s">
        <v>10</v>
      </c>
      <c r="F165">
        <v>2</v>
      </c>
      <c r="G165" t="b">
        <v>0</v>
      </c>
      <c r="H165" t="s">
        <v>11</v>
      </c>
      <c r="I165">
        <v>2</v>
      </c>
      <c r="J165">
        <v>0.18</v>
      </c>
      <c r="K165">
        <v>0.2424</v>
      </c>
      <c r="L165">
        <v>0.55000000000000004</v>
      </c>
      <c r="M165">
        <v>0</v>
      </c>
      <c r="N165">
        <v>3</v>
      </c>
      <c r="O165">
        <v>13</v>
      </c>
      <c r="P165">
        <v>16</v>
      </c>
    </row>
    <row r="166" spans="1:16" x14ac:dyDescent="0.2">
      <c r="A166">
        <v>165</v>
      </c>
      <c r="B166" s="3">
        <v>40551</v>
      </c>
      <c r="C166">
        <v>1</v>
      </c>
      <c r="D166">
        <v>2011</v>
      </c>
      <c r="E166" t="s">
        <v>10</v>
      </c>
      <c r="F166">
        <v>3</v>
      </c>
      <c r="G166" t="b">
        <v>0</v>
      </c>
      <c r="H166" t="s">
        <v>11</v>
      </c>
      <c r="I166">
        <v>3</v>
      </c>
      <c r="J166">
        <v>0.18</v>
      </c>
      <c r="K166">
        <v>0.19700000000000001</v>
      </c>
      <c r="L166">
        <v>0.55000000000000004</v>
      </c>
      <c r="M166">
        <v>0.16420000000000001</v>
      </c>
      <c r="N166">
        <v>0</v>
      </c>
      <c r="O166">
        <v>7</v>
      </c>
      <c r="P166">
        <v>7</v>
      </c>
    </row>
    <row r="167" spans="1:16" x14ac:dyDescent="0.2">
      <c r="A167">
        <v>166</v>
      </c>
      <c r="B167" s="3">
        <v>40551</v>
      </c>
      <c r="C167">
        <v>1</v>
      </c>
      <c r="D167">
        <v>2011</v>
      </c>
      <c r="E167" t="s">
        <v>10</v>
      </c>
      <c r="F167">
        <v>4</v>
      </c>
      <c r="G167" t="b">
        <v>0</v>
      </c>
      <c r="H167" t="s">
        <v>11</v>
      </c>
      <c r="I167">
        <v>3</v>
      </c>
      <c r="J167">
        <v>0.18</v>
      </c>
      <c r="K167">
        <v>0.19700000000000001</v>
      </c>
      <c r="L167">
        <v>0.55000000000000004</v>
      </c>
      <c r="M167">
        <v>0.16420000000000001</v>
      </c>
      <c r="N167">
        <v>0</v>
      </c>
      <c r="O167">
        <v>1</v>
      </c>
      <c r="P167">
        <v>1</v>
      </c>
    </row>
    <row r="168" spans="1:16" x14ac:dyDescent="0.2">
      <c r="A168">
        <v>167</v>
      </c>
      <c r="B168" s="3">
        <v>40551</v>
      </c>
      <c r="C168">
        <v>1</v>
      </c>
      <c r="D168">
        <v>2011</v>
      </c>
      <c r="E168" t="s">
        <v>10</v>
      </c>
      <c r="F168">
        <v>5</v>
      </c>
      <c r="G168" t="b">
        <v>0</v>
      </c>
      <c r="H168" t="s">
        <v>11</v>
      </c>
      <c r="I168">
        <v>2</v>
      </c>
      <c r="J168">
        <v>0.16</v>
      </c>
      <c r="K168">
        <v>0.16669999999999999</v>
      </c>
      <c r="L168">
        <v>0.74</v>
      </c>
      <c r="M168">
        <v>0.16420000000000001</v>
      </c>
      <c r="N168">
        <v>0</v>
      </c>
      <c r="O168">
        <v>5</v>
      </c>
      <c r="P168">
        <v>5</v>
      </c>
    </row>
    <row r="169" spans="1:16" x14ac:dyDescent="0.2">
      <c r="A169">
        <v>168</v>
      </c>
      <c r="B169" s="3">
        <v>40551</v>
      </c>
      <c r="C169">
        <v>1</v>
      </c>
      <c r="D169">
        <v>2011</v>
      </c>
      <c r="E169" t="s">
        <v>10</v>
      </c>
      <c r="F169">
        <v>6</v>
      </c>
      <c r="G169" t="b">
        <v>0</v>
      </c>
      <c r="H169" t="s">
        <v>11</v>
      </c>
      <c r="I169">
        <v>2</v>
      </c>
      <c r="J169">
        <v>0.16</v>
      </c>
      <c r="K169">
        <v>0.16669999999999999</v>
      </c>
      <c r="L169">
        <v>0.74</v>
      </c>
      <c r="M169">
        <v>0.16420000000000001</v>
      </c>
      <c r="N169">
        <v>0</v>
      </c>
      <c r="O169">
        <v>2</v>
      </c>
      <c r="P169">
        <v>2</v>
      </c>
    </row>
    <row r="170" spans="1:16" x14ac:dyDescent="0.2">
      <c r="A170">
        <v>169</v>
      </c>
      <c r="B170" s="3">
        <v>40551</v>
      </c>
      <c r="C170">
        <v>1</v>
      </c>
      <c r="D170">
        <v>2011</v>
      </c>
      <c r="E170" t="s">
        <v>10</v>
      </c>
      <c r="F170">
        <v>7</v>
      </c>
      <c r="G170" t="b">
        <v>0</v>
      </c>
      <c r="H170" t="s">
        <v>11</v>
      </c>
      <c r="I170">
        <v>2</v>
      </c>
      <c r="J170">
        <v>0.16</v>
      </c>
      <c r="K170">
        <v>0.18179999999999999</v>
      </c>
      <c r="L170">
        <v>0.74</v>
      </c>
      <c r="M170">
        <v>0.1045</v>
      </c>
      <c r="N170">
        <v>1</v>
      </c>
      <c r="O170">
        <v>8</v>
      </c>
      <c r="P170">
        <v>9</v>
      </c>
    </row>
    <row r="171" spans="1:16" x14ac:dyDescent="0.2">
      <c r="A171">
        <v>170</v>
      </c>
      <c r="B171" s="3">
        <v>40551</v>
      </c>
      <c r="C171">
        <v>1</v>
      </c>
      <c r="D171">
        <v>2011</v>
      </c>
      <c r="E171" t="s">
        <v>10</v>
      </c>
      <c r="F171">
        <v>8</v>
      </c>
      <c r="G171" t="b">
        <v>0</v>
      </c>
      <c r="H171" t="s">
        <v>11</v>
      </c>
      <c r="I171">
        <v>3</v>
      </c>
      <c r="J171">
        <v>0.16</v>
      </c>
      <c r="K171">
        <v>0.18179999999999999</v>
      </c>
      <c r="L171">
        <v>0.93</v>
      </c>
      <c r="M171">
        <v>0.1045</v>
      </c>
      <c r="N171">
        <v>0</v>
      </c>
      <c r="O171">
        <v>15</v>
      </c>
      <c r="P171">
        <v>15</v>
      </c>
    </row>
    <row r="172" spans="1:16" x14ac:dyDescent="0.2">
      <c r="A172">
        <v>171</v>
      </c>
      <c r="B172" s="3">
        <v>40551</v>
      </c>
      <c r="C172">
        <v>1</v>
      </c>
      <c r="D172">
        <v>2011</v>
      </c>
      <c r="E172" t="s">
        <v>10</v>
      </c>
      <c r="F172">
        <v>9</v>
      </c>
      <c r="G172" t="b">
        <v>0</v>
      </c>
      <c r="H172" t="s">
        <v>11</v>
      </c>
      <c r="I172">
        <v>3</v>
      </c>
      <c r="J172">
        <v>0.16</v>
      </c>
      <c r="K172">
        <v>0.18179999999999999</v>
      </c>
      <c r="L172">
        <v>0.93</v>
      </c>
      <c r="M172">
        <v>0.1045</v>
      </c>
      <c r="N172">
        <v>0</v>
      </c>
      <c r="O172">
        <v>20</v>
      </c>
      <c r="P172">
        <v>20</v>
      </c>
    </row>
    <row r="173" spans="1:16" x14ac:dyDescent="0.2">
      <c r="A173">
        <v>172</v>
      </c>
      <c r="B173" s="3">
        <v>40551</v>
      </c>
      <c r="C173">
        <v>1</v>
      </c>
      <c r="D173">
        <v>2011</v>
      </c>
      <c r="E173" t="s">
        <v>10</v>
      </c>
      <c r="F173">
        <v>10</v>
      </c>
      <c r="G173" t="b">
        <v>0</v>
      </c>
      <c r="H173" t="s">
        <v>11</v>
      </c>
      <c r="I173">
        <v>2</v>
      </c>
      <c r="J173">
        <v>0.18</v>
      </c>
      <c r="K173">
        <v>0.19700000000000001</v>
      </c>
      <c r="L173">
        <v>0.8</v>
      </c>
      <c r="M173">
        <v>0.16420000000000001</v>
      </c>
      <c r="N173">
        <v>5</v>
      </c>
      <c r="O173">
        <v>56</v>
      </c>
      <c r="P173">
        <v>61</v>
      </c>
    </row>
    <row r="174" spans="1:16" x14ac:dyDescent="0.2">
      <c r="A174">
        <v>173</v>
      </c>
      <c r="B174" s="3">
        <v>40551</v>
      </c>
      <c r="C174">
        <v>1</v>
      </c>
      <c r="D174">
        <v>2011</v>
      </c>
      <c r="E174" t="s">
        <v>10</v>
      </c>
      <c r="F174">
        <v>11</v>
      </c>
      <c r="G174" t="b">
        <v>0</v>
      </c>
      <c r="H174" t="s">
        <v>11</v>
      </c>
      <c r="I174">
        <v>2</v>
      </c>
      <c r="J174">
        <v>0.2</v>
      </c>
      <c r="K174">
        <v>0.18179999999999999</v>
      </c>
      <c r="L174">
        <v>0.69</v>
      </c>
      <c r="M174">
        <v>0.3881</v>
      </c>
      <c r="N174">
        <v>2</v>
      </c>
      <c r="O174">
        <v>60</v>
      </c>
      <c r="P174">
        <v>62</v>
      </c>
    </row>
    <row r="175" spans="1:16" x14ac:dyDescent="0.2">
      <c r="A175">
        <v>174</v>
      </c>
      <c r="B175" s="3">
        <v>40551</v>
      </c>
      <c r="C175">
        <v>1</v>
      </c>
      <c r="D175">
        <v>2011</v>
      </c>
      <c r="E175" t="s">
        <v>10</v>
      </c>
      <c r="F175">
        <v>12</v>
      </c>
      <c r="G175" t="b">
        <v>0</v>
      </c>
      <c r="H175" t="s">
        <v>11</v>
      </c>
      <c r="I175">
        <v>2</v>
      </c>
      <c r="J175">
        <v>0.2</v>
      </c>
      <c r="K175">
        <v>0.18179999999999999</v>
      </c>
      <c r="L175">
        <v>0.59</v>
      </c>
      <c r="M175">
        <v>0.35820000000000002</v>
      </c>
      <c r="N175">
        <v>8</v>
      </c>
      <c r="O175">
        <v>90</v>
      </c>
      <c r="P175">
        <v>98</v>
      </c>
    </row>
    <row r="176" spans="1:16" x14ac:dyDescent="0.2">
      <c r="A176">
        <v>175</v>
      </c>
      <c r="B176" s="3">
        <v>40551</v>
      </c>
      <c r="C176">
        <v>1</v>
      </c>
      <c r="D176">
        <v>2011</v>
      </c>
      <c r="E176" t="s">
        <v>10</v>
      </c>
      <c r="F176">
        <v>13</v>
      </c>
      <c r="G176" t="b">
        <v>0</v>
      </c>
      <c r="H176" t="s">
        <v>11</v>
      </c>
      <c r="I176">
        <v>1</v>
      </c>
      <c r="J176">
        <v>0.2</v>
      </c>
      <c r="K176">
        <v>0.18179999999999999</v>
      </c>
      <c r="L176">
        <v>0.44</v>
      </c>
      <c r="M176">
        <v>0.32840000000000003</v>
      </c>
      <c r="N176">
        <v>7</v>
      </c>
      <c r="O176">
        <v>95</v>
      </c>
      <c r="P176">
        <v>102</v>
      </c>
    </row>
    <row r="177" spans="1:16" x14ac:dyDescent="0.2">
      <c r="A177">
        <v>176</v>
      </c>
      <c r="B177" s="3">
        <v>40551</v>
      </c>
      <c r="C177">
        <v>1</v>
      </c>
      <c r="D177">
        <v>2011</v>
      </c>
      <c r="E177" t="s">
        <v>10</v>
      </c>
      <c r="F177">
        <v>14</v>
      </c>
      <c r="G177" t="b">
        <v>0</v>
      </c>
      <c r="H177" t="s">
        <v>11</v>
      </c>
      <c r="I177">
        <v>1</v>
      </c>
      <c r="J177">
        <v>0.2</v>
      </c>
      <c r="K177">
        <v>0.16669999999999999</v>
      </c>
      <c r="L177">
        <v>0.32</v>
      </c>
      <c r="M177">
        <v>0.49249999999999999</v>
      </c>
      <c r="N177">
        <v>12</v>
      </c>
      <c r="O177">
        <v>83</v>
      </c>
      <c r="P177">
        <v>95</v>
      </c>
    </row>
    <row r="178" spans="1:16" x14ac:dyDescent="0.2">
      <c r="A178">
        <v>177</v>
      </c>
      <c r="B178" s="3">
        <v>40551</v>
      </c>
      <c r="C178">
        <v>1</v>
      </c>
      <c r="D178">
        <v>2011</v>
      </c>
      <c r="E178" t="s">
        <v>10</v>
      </c>
      <c r="F178">
        <v>15</v>
      </c>
      <c r="G178" t="b">
        <v>0</v>
      </c>
      <c r="H178" t="s">
        <v>11</v>
      </c>
      <c r="I178">
        <v>1</v>
      </c>
      <c r="J178">
        <v>0.2</v>
      </c>
      <c r="K178">
        <v>0.16669999999999999</v>
      </c>
      <c r="L178">
        <v>0.32</v>
      </c>
      <c r="M178">
        <v>0.44779999999999998</v>
      </c>
      <c r="N178">
        <v>5</v>
      </c>
      <c r="O178">
        <v>69</v>
      </c>
      <c r="P178">
        <v>74</v>
      </c>
    </row>
    <row r="179" spans="1:16" x14ac:dyDescent="0.2">
      <c r="A179">
        <v>178</v>
      </c>
      <c r="B179" s="3">
        <v>40551</v>
      </c>
      <c r="C179">
        <v>1</v>
      </c>
      <c r="D179">
        <v>2011</v>
      </c>
      <c r="E179" t="s">
        <v>10</v>
      </c>
      <c r="F179">
        <v>16</v>
      </c>
      <c r="G179" t="b">
        <v>0</v>
      </c>
      <c r="H179" t="s">
        <v>11</v>
      </c>
      <c r="I179">
        <v>1</v>
      </c>
      <c r="J179">
        <v>0.18</v>
      </c>
      <c r="K179">
        <v>0.13639999999999999</v>
      </c>
      <c r="L179">
        <v>0.28999999999999998</v>
      </c>
      <c r="M179">
        <v>0.44779999999999998</v>
      </c>
      <c r="N179">
        <v>8</v>
      </c>
      <c r="O179">
        <v>68</v>
      </c>
      <c r="P179">
        <v>76</v>
      </c>
    </row>
    <row r="180" spans="1:16" x14ac:dyDescent="0.2">
      <c r="A180">
        <v>179</v>
      </c>
      <c r="B180" s="3">
        <v>40551</v>
      </c>
      <c r="C180">
        <v>1</v>
      </c>
      <c r="D180">
        <v>2011</v>
      </c>
      <c r="E180" t="s">
        <v>10</v>
      </c>
      <c r="F180">
        <v>17</v>
      </c>
      <c r="G180" t="b">
        <v>0</v>
      </c>
      <c r="H180" t="s">
        <v>11</v>
      </c>
      <c r="I180">
        <v>1</v>
      </c>
      <c r="J180">
        <v>0.16</v>
      </c>
      <c r="K180">
        <v>0.1212</v>
      </c>
      <c r="L180">
        <v>0.37</v>
      </c>
      <c r="M180">
        <v>0.55220000000000002</v>
      </c>
      <c r="N180">
        <v>5</v>
      </c>
      <c r="O180">
        <v>64</v>
      </c>
      <c r="P180">
        <v>69</v>
      </c>
    </row>
    <row r="181" spans="1:16" x14ac:dyDescent="0.2">
      <c r="A181">
        <v>180</v>
      </c>
      <c r="B181" s="3">
        <v>40551</v>
      </c>
      <c r="C181">
        <v>1</v>
      </c>
      <c r="D181">
        <v>2011</v>
      </c>
      <c r="E181" t="s">
        <v>10</v>
      </c>
      <c r="F181">
        <v>18</v>
      </c>
      <c r="G181" t="b">
        <v>0</v>
      </c>
      <c r="H181" t="s">
        <v>11</v>
      </c>
      <c r="I181">
        <v>1</v>
      </c>
      <c r="J181">
        <v>0.14000000000000001</v>
      </c>
      <c r="K181">
        <v>0.1212</v>
      </c>
      <c r="L181">
        <v>0.39</v>
      </c>
      <c r="M181">
        <v>0.29849999999999999</v>
      </c>
      <c r="N181">
        <v>3</v>
      </c>
      <c r="O181">
        <v>52</v>
      </c>
      <c r="P181">
        <v>55</v>
      </c>
    </row>
    <row r="182" spans="1:16" x14ac:dyDescent="0.2">
      <c r="A182">
        <v>181</v>
      </c>
      <c r="B182" s="3">
        <v>40551</v>
      </c>
      <c r="C182">
        <v>1</v>
      </c>
      <c r="D182">
        <v>2011</v>
      </c>
      <c r="E182" t="s">
        <v>10</v>
      </c>
      <c r="F182">
        <v>19</v>
      </c>
      <c r="G182" t="b">
        <v>0</v>
      </c>
      <c r="H182" t="s">
        <v>11</v>
      </c>
      <c r="I182">
        <v>1</v>
      </c>
      <c r="J182">
        <v>0.14000000000000001</v>
      </c>
      <c r="K182">
        <v>0.1212</v>
      </c>
      <c r="L182">
        <v>0.36</v>
      </c>
      <c r="M182">
        <v>0.25369999999999998</v>
      </c>
      <c r="N182">
        <v>4</v>
      </c>
      <c r="O182">
        <v>26</v>
      </c>
      <c r="P182">
        <v>30</v>
      </c>
    </row>
    <row r="183" spans="1:16" x14ac:dyDescent="0.2">
      <c r="A183">
        <v>182</v>
      </c>
      <c r="B183" s="3">
        <v>40551</v>
      </c>
      <c r="C183">
        <v>1</v>
      </c>
      <c r="D183">
        <v>2011</v>
      </c>
      <c r="E183" t="s">
        <v>10</v>
      </c>
      <c r="F183">
        <v>20</v>
      </c>
      <c r="G183" t="b">
        <v>0</v>
      </c>
      <c r="H183" t="s">
        <v>11</v>
      </c>
      <c r="I183">
        <v>1</v>
      </c>
      <c r="J183">
        <v>0.12</v>
      </c>
      <c r="K183">
        <v>0.1212</v>
      </c>
      <c r="L183">
        <v>0.36</v>
      </c>
      <c r="M183">
        <v>0.25369999999999998</v>
      </c>
      <c r="N183">
        <v>0</v>
      </c>
      <c r="O183">
        <v>28</v>
      </c>
      <c r="P183">
        <v>28</v>
      </c>
    </row>
    <row r="184" spans="1:16" x14ac:dyDescent="0.2">
      <c r="A184">
        <v>183</v>
      </c>
      <c r="B184" s="3">
        <v>40551</v>
      </c>
      <c r="C184">
        <v>1</v>
      </c>
      <c r="D184">
        <v>2011</v>
      </c>
      <c r="E184" t="s">
        <v>10</v>
      </c>
      <c r="F184">
        <v>21</v>
      </c>
      <c r="G184" t="b">
        <v>0</v>
      </c>
      <c r="H184" t="s">
        <v>11</v>
      </c>
      <c r="I184">
        <v>1</v>
      </c>
      <c r="J184">
        <v>0.12</v>
      </c>
      <c r="K184">
        <v>0.1061</v>
      </c>
      <c r="L184">
        <v>0.39</v>
      </c>
      <c r="M184">
        <v>0.35820000000000002</v>
      </c>
      <c r="N184">
        <v>2</v>
      </c>
      <c r="O184">
        <v>35</v>
      </c>
      <c r="P184">
        <v>37</v>
      </c>
    </row>
    <row r="185" spans="1:16" x14ac:dyDescent="0.2">
      <c r="A185">
        <v>184</v>
      </c>
      <c r="B185" s="3">
        <v>40551</v>
      </c>
      <c r="C185">
        <v>1</v>
      </c>
      <c r="D185">
        <v>2011</v>
      </c>
      <c r="E185" t="s">
        <v>10</v>
      </c>
      <c r="F185">
        <v>22</v>
      </c>
      <c r="G185" t="b">
        <v>0</v>
      </c>
      <c r="H185" t="s">
        <v>11</v>
      </c>
      <c r="I185">
        <v>1</v>
      </c>
      <c r="J185">
        <v>0.12</v>
      </c>
      <c r="K185">
        <v>0.1061</v>
      </c>
      <c r="L185">
        <v>0.36</v>
      </c>
      <c r="M185">
        <v>0.3881</v>
      </c>
      <c r="N185">
        <v>1</v>
      </c>
      <c r="O185">
        <v>33</v>
      </c>
      <c r="P185">
        <v>34</v>
      </c>
    </row>
    <row r="186" spans="1:16" x14ac:dyDescent="0.2">
      <c r="A186">
        <v>185</v>
      </c>
      <c r="B186" s="3">
        <v>40551</v>
      </c>
      <c r="C186">
        <v>1</v>
      </c>
      <c r="D186">
        <v>2011</v>
      </c>
      <c r="E186" t="s">
        <v>10</v>
      </c>
      <c r="F186">
        <v>23</v>
      </c>
      <c r="G186" t="b">
        <v>0</v>
      </c>
      <c r="H186" t="s">
        <v>11</v>
      </c>
      <c r="I186">
        <v>1</v>
      </c>
      <c r="J186">
        <v>0.1</v>
      </c>
      <c r="K186">
        <v>6.0600000000000001E-2</v>
      </c>
      <c r="L186">
        <v>0.39</v>
      </c>
      <c r="M186">
        <v>0.44779999999999998</v>
      </c>
      <c r="N186">
        <v>0</v>
      </c>
      <c r="O186">
        <v>22</v>
      </c>
      <c r="P186">
        <v>22</v>
      </c>
    </row>
    <row r="187" spans="1:16" x14ac:dyDescent="0.2">
      <c r="A187">
        <v>186</v>
      </c>
      <c r="B187" s="3">
        <v>40552</v>
      </c>
      <c r="C187">
        <v>1</v>
      </c>
      <c r="D187">
        <v>2011</v>
      </c>
      <c r="E187" t="s">
        <v>10</v>
      </c>
      <c r="F187">
        <v>0</v>
      </c>
      <c r="G187" t="b">
        <v>1</v>
      </c>
      <c r="H187" t="s">
        <v>12</v>
      </c>
      <c r="I187">
        <v>1</v>
      </c>
      <c r="J187">
        <v>0.1</v>
      </c>
      <c r="K187">
        <v>7.5800000000000006E-2</v>
      </c>
      <c r="L187">
        <v>0.42</v>
      </c>
      <c r="M187">
        <v>0.3881</v>
      </c>
      <c r="N187">
        <v>1</v>
      </c>
      <c r="O187">
        <v>24</v>
      </c>
      <c r="P187">
        <v>25</v>
      </c>
    </row>
    <row r="188" spans="1:16" x14ac:dyDescent="0.2">
      <c r="A188">
        <v>187</v>
      </c>
      <c r="B188" s="3">
        <v>40552</v>
      </c>
      <c r="C188">
        <v>1</v>
      </c>
      <c r="D188">
        <v>2011</v>
      </c>
      <c r="E188" t="s">
        <v>10</v>
      </c>
      <c r="F188">
        <v>1</v>
      </c>
      <c r="G188" t="b">
        <v>1</v>
      </c>
      <c r="H188" t="s">
        <v>12</v>
      </c>
      <c r="I188">
        <v>1</v>
      </c>
      <c r="J188">
        <v>0.1</v>
      </c>
      <c r="K188">
        <v>6.0600000000000001E-2</v>
      </c>
      <c r="L188">
        <v>0.42</v>
      </c>
      <c r="M188">
        <v>0.4627</v>
      </c>
      <c r="N188">
        <v>0</v>
      </c>
      <c r="O188">
        <v>12</v>
      </c>
      <c r="P188">
        <v>12</v>
      </c>
    </row>
    <row r="189" spans="1:16" x14ac:dyDescent="0.2">
      <c r="A189">
        <v>188</v>
      </c>
      <c r="B189" s="3">
        <v>40552</v>
      </c>
      <c r="C189">
        <v>1</v>
      </c>
      <c r="D189">
        <v>2011</v>
      </c>
      <c r="E189" t="s">
        <v>10</v>
      </c>
      <c r="F189">
        <v>2</v>
      </c>
      <c r="G189" t="b">
        <v>1</v>
      </c>
      <c r="H189" t="s">
        <v>12</v>
      </c>
      <c r="I189">
        <v>1</v>
      </c>
      <c r="J189">
        <v>0.1</v>
      </c>
      <c r="K189">
        <v>6.0600000000000001E-2</v>
      </c>
      <c r="L189">
        <v>0.46</v>
      </c>
      <c r="M189">
        <v>0.4627</v>
      </c>
      <c r="N189">
        <v>0</v>
      </c>
      <c r="O189">
        <v>11</v>
      </c>
      <c r="P189">
        <v>11</v>
      </c>
    </row>
    <row r="190" spans="1:16" x14ac:dyDescent="0.2">
      <c r="A190">
        <v>189</v>
      </c>
      <c r="B190" s="3">
        <v>40552</v>
      </c>
      <c r="C190">
        <v>1</v>
      </c>
      <c r="D190">
        <v>2011</v>
      </c>
      <c r="E190" t="s">
        <v>10</v>
      </c>
      <c r="F190">
        <v>3</v>
      </c>
      <c r="G190" t="b">
        <v>1</v>
      </c>
      <c r="H190" t="s">
        <v>12</v>
      </c>
      <c r="I190">
        <v>1</v>
      </c>
      <c r="J190">
        <v>0.1</v>
      </c>
      <c r="K190">
        <v>7.5800000000000006E-2</v>
      </c>
      <c r="L190">
        <v>0.46</v>
      </c>
      <c r="M190">
        <v>0.41789999999999999</v>
      </c>
      <c r="N190">
        <v>0</v>
      </c>
      <c r="O190">
        <v>4</v>
      </c>
      <c r="P190">
        <v>4</v>
      </c>
    </row>
    <row r="191" spans="1:16" x14ac:dyDescent="0.2">
      <c r="A191">
        <v>190</v>
      </c>
      <c r="B191" s="3">
        <v>40552</v>
      </c>
      <c r="C191">
        <v>1</v>
      </c>
      <c r="D191">
        <v>2011</v>
      </c>
      <c r="E191" t="s">
        <v>10</v>
      </c>
      <c r="F191">
        <v>4</v>
      </c>
      <c r="G191" t="b">
        <v>1</v>
      </c>
      <c r="H191" t="s">
        <v>12</v>
      </c>
      <c r="I191">
        <v>1</v>
      </c>
      <c r="J191">
        <v>0.08</v>
      </c>
      <c r="K191">
        <v>9.0899999999999995E-2</v>
      </c>
      <c r="L191">
        <v>0.53</v>
      </c>
      <c r="M191">
        <v>0.19400000000000001</v>
      </c>
      <c r="N191">
        <v>0</v>
      </c>
      <c r="O191">
        <v>1</v>
      </c>
      <c r="P191">
        <v>1</v>
      </c>
    </row>
    <row r="192" spans="1:16" x14ac:dyDescent="0.2">
      <c r="A192">
        <v>191</v>
      </c>
      <c r="B192" s="3">
        <v>40552</v>
      </c>
      <c r="C192">
        <v>1</v>
      </c>
      <c r="D192">
        <v>2011</v>
      </c>
      <c r="E192" t="s">
        <v>10</v>
      </c>
      <c r="F192">
        <v>5</v>
      </c>
      <c r="G192" t="b">
        <v>1</v>
      </c>
      <c r="H192" t="s">
        <v>12</v>
      </c>
      <c r="I192">
        <v>1</v>
      </c>
      <c r="J192">
        <v>0.08</v>
      </c>
      <c r="K192">
        <v>9.0899999999999995E-2</v>
      </c>
      <c r="L192">
        <v>0.53</v>
      </c>
      <c r="M192">
        <v>0.19400000000000001</v>
      </c>
      <c r="N192">
        <v>0</v>
      </c>
      <c r="O192">
        <v>1</v>
      </c>
      <c r="P192">
        <v>1</v>
      </c>
    </row>
    <row r="193" spans="1:16" x14ac:dyDescent="0.2">
      <c r="A193">
        <v>192</v>
      </c>
      <c r="B193" s="3">
        <v>40552</v>
      </c>
      <c r="C193">
        <v>1</v>
      </c>
      <c r="D193">
        <v>2011</v>
      </c>
      <c r="E193" t="s">
        <v>10</v>
      </c>
      <c r="F193">
        <v>6</v>
      </c>
      <c r="G193" t="b">
        <v>1</v>
      </c>
      <c r="H193" t="s">
        <v>12</v>
      </c>
      <c r="I193">
        <v>1</v>
      </c>
      <c r="J193">
        <v>0.1</v>
      </c>
      <c r="K193">
        <v>9.0899999999999995E-2</v>
      </c>
      <c r="L193">
        <v>0.49</v>
      </c>
      <c r="M193">
        <v>0.28360000000000002</v>
      </c>
      <c r="N193">
        <v>0</v>
      </c>
      <c r="O193">
        <v>1</v>
      </c>
      <c r="P193">
        <v>1</v>
      </c>
    </row>
    <row r="194" spans="1:16" x14ac:dyDescent="0.2">
      <c r="A194">
        <v>193</v>
      </c>
      <c r="B194" s="3">
        <v>40552</v>
      </c>
      <c r="C194">
        <v>1</v>
      </c>
      <c r="D194">
        <v>2011</v>
      </c>
      <c r="E194" t="s">
        <v>10</v>
      </c>
      <c r="F194">
        <v>7</v>
      </c>
      <c r="G194" t="b">
        <v>1</v>
      </c>
      <c r="H194" t="s">
        <v>12</v>
      </c>
      <c r="I194">
        <v>1</v>
      </c>
      <c r="J194">
        <v>0.08</v>
      </c>
      <c r="K194">
        <v>9.0899999999999995E-2</v>
      </c>
      <c r="L194">
        <v>0.53</v>
      </c>
      <c r="M194">
        <v>0.19400000000000001</v>
      </c>
      <c r="N194">
        <v>1</v>
      </c>
      <c r="O194">
        <v>5</v>
      </c>
      <c r="P194">
        <v>6</v>
      </c>
    </row>
    <row r="195" spans="1:16" x14ac:dyDescent="0.2">
      <c r="A195">
        <v>194</v>
      </c>
      <c r="B195" s="3">
        <v>40552</v>
      </c>
      <c r="C195">
        <v>1</v>
      </c>
      <c r="D195">
        <v>2011</v>
      </c>
      <c r="E195" t="s">
        <v>10</v>
      </c>
      <c r="F195">
        <v>8</v>
      </c>
      <c r="G195" t="b">
        <v>1</v>
      </c>
      <c r="H195" t="s">
        <v>12</v>
      </c>
      <c r="I195">
        <v>1</v>
      </c>
      <c r="J195">
        <v>0.1</v>
      </c>
      <c r="K195">
        <v>9.0899999999999995E-2</v>
      </c>
      <c r="L195">
        <v>0.49</v>
      </c>
      <c r="M195">
        <v>0.28360000000000002</v>
      </c>
      <c r="N195">
        <v>0</v>
      </c>
      <c r="O195">
        <v>10</v>
      </c>
      <c r="P195">
        <v>10</v>
      </c>
    </row>
    <row r="196" spans="1:16" x14ac:dyDescent="0.2">
      <c r="A196">
        <v>195</v>
      </c>
      <c r="B196" s="3">
        <v>40552</v>
      </c>
      <c r="C196">
        <v>1</v>
      </c>
      <c r="D196">
        <v>2011</v>
      </c>
      <c r="E196" t="s">
        <v>10</v>
      </c>
      <c r="F196">
        <v>9</v>
      </c>
      <c r="G196" t="b">
        <v>1</v>
      </c>
      <c r="H196" t="s">
        <v>12</v>
      </c>
      <c r="I196">
        <v>1</v>
      </c>
      <c r="J196">
        <v>0.12</v>
      </c>
      <c r="K196">
        <v>7.5800000000000006E-2</v>
      </c>
      <c r="L196">
        <v>0.46</v>
      </c>
      <c r="M196">
        <v>0.52239999999999998</v>
      </c>
      <c r="N196">
        <v>0</v>
      </c>
      <c r="O196">
        <v>19</v>
      </c>
      <c r="P196">
        <v>19</v>
      </c>
    </row>
    <row r="197" spans="1:16" x14ac:dyDescent="0.2">
      <c r="A197">
        <v>196</v>
      </c>
      <c r="B197" s="3">
        <v>40552</v>
      </c>
      <c r="C197">
        <v>1</v>
      </c>
      <c r="D197">
        <v>2011</v>
      </c>
      <c r="E197" t="s">
        <v>10</v>
      </c>
      <c r="F197">
        <v>10</v>
      </c>
      <c r="G197" t="b">
        <v>1</v>
      </c>
      <c r="H197" t="s">
        <v>12</v>
      </c>
      <c r="I197">
        <v>1</v>
      </c>
      <c r="J197">
        <v>0.14000000000000001</v>
      </c>
      <c r="K197">
        <v>0.1061</v>
      </c>
      <c r="L197">
        <v>0.43</v>
      </c>
      <c r="M197">
        <v>0.3881</v>
      </c>
      <c r="N197">
        <v>0</v>
      </c>
      <c r="O197">
        <v>49</v>
      </c>
      <c r="P197">
        <v>49</v>
      </c>
    </row>
    <row r="198" spans="1:16" x14ac:dyDescent="0.2">
      <c r="A198">
        <v>197</v>
      </c>
      <c r="B198" s="3">
        <v>40552</v>
      </c>
      <c r="C198">
        <v>1</v>
      </c>
      <c r="D198">
        <v>2011</v>
      </c>
      <c r="E198" t="s">
        <v>10</v>
      </c>
      <c r="F198">
        <v>11</v>
      </c>
      <c r="G198" t="b">
        <v>1</v>
      </c>
      <c r="H198" t="s">
        <v>12</v>
      </c>
      <c r="I198">
        <v>1</v>
      </c>
      <c r="J198">
        <v>0.16</v>
      </c>
      <c r="K198">
        <v>0.1212</v>
      </c>
      <c r="L198">
        <v>0.4</v>
      </c>
      <c r="M198">
        <v>0.52239999999999998</v>
      </c>
      <c r="N198">
        <v>2</v>
      </c>
      <c r="O198">
        <v>47</v>
      </c>
      <c r="P198">
        <v>49</v>
      </c>
    </row>
    <row r="199" spans="1:16" x14ac:dyDescent="0.2">
      <c r="A199">
        <v>198</v>
      </c>
      <c r="B199" s="3">
        <v>40552</v>
      </c>
      <c r="C199">
        <v>1</v>
      </c>
      <c r="D199">
        <v>2011</v>
      </c>
      <c r="E199" t="s">
        <v>10</v>
      </c>
      <c r="F199">
        <v>12</v>
      </c>
      <c r="G199" t="b">
        <v>1</v>
      </c>
      <c r="H199" t="s">
        <v>12</v>
      </c>
      <c r="I199">
        <v>1</v>
      </c>
      <c r="J199">
        <v>0.18</v>
      </c>
      <c r="K199">
        <v>0.13639999999999999</v>
      </c>
      <c r="L199">
        <v>0.37</v>
      </c>
      <c r="M199">
        <v>0.44779999999999998</v>
      </c>
      <c r="N199">
        <v>4</v>
      </c>
      <c r="O199">
        <v>79</v>
      </c>
      <c r="P199">
        <v>83</v>
      </c>
    </row>
    <row r="200" spans="1:16" x14ac:dyDescent="0.2">
      <c r="A200">
        <v>199</v>
      </c>
      <c r="B200" s="3">
        <v>40552</v>
      </c>
      <c r="C200">
        <v>1</v>
      </c>
      <c r="D200">
        <v>2011</v>
      </c>
      <c r="E200" t="s">
        <v>10</v>
      </c>
      <c r="F200">
        <v>13</v>
      </c>
      <c r="G200" t="b">
        <v>1</v>
      </c>
      <c r="H200" t="s">
        <v>12</v>
      </c>
      <c r="I200">
        <v>1</v>
      </c>
      <c r="J200">
        <v>0.2</v>
      </c>
      <c r="K200">
        <v>0.16669999999999999</v>
      </c>
      <c r="L200">
        <v>0.34</v>
      </c>
      <c r="M200">
        <v>0.44779999999999998</v>
      </c>
      <c r="N200">
        <v>6</v>
      </c>
      <c r="O200">
        <v>69</v>
      </c>
      <c r="P200">
        <v>75</v>
      </c>
    </row>
    <row r="201" spans="1:16" x14ac:dyDescent="0.2">
      <c r="A201">
        <v>200</v>
      </c>
      <c r="B201" s="3">
        <v>40552</v>
      </c>
      <c r="C201">
        <v>1</v>
      </c>
      <c r="D201">
        <v>2011</v>
      </c>
      <c r="E201" t="s">
        <v>10</v>
      </c>
      <c r="F201">
        <v>14</v>
      </c>
      <c r="G201" t="b">
        <v>1</v>
      </c>
      <c r="H201" t="s">
        <v>12</v>
      </c>
      <c r="I201">
        <v>1</v>
      </c>
      <c r="J201">
        <v>0.22</v>
      </c>
      <c r="K201">
        <v>0.18179999999999999</v>
      </c>
      <c r="L201">
        <v>0.32</v>
      </c>
      <c r="M201">
        <v>0.4627</v>
      </c>
      <c r="N201">
        <v>8</v>
      </c>
      <c r="O201">
        <v>64</v>
      </c>
      <c r="P201">
        <v>72</v>
      </c>
    </row>
    <row r="202" spans="1:16" x14ac:dyDescent="0.2">
      <c r="A202">
        <v>201</v>
      </c>
      <c r="B202" s="3">
        <v>40552</v>
      </c>
      <c r="C202">
        <v>1</v>
      </c>
      <c r="D202">
        <v>2011</v>
      </c>
      <c r="E202" t="s">
        <v>10</v>
      </c>
      <c r="F202">
        <v>15</v>
      </c>
      <c r="G202" t="b">
        <v>1</v>
      </c>
      <c r="H202" t="s">
        <v>12</v>
      </c>
      <c r="I202">
        <v>1</v>
      </c>
      <c r="J202">
        <v>0.22</v>
      </c>
      <c r="K202">
        <v>0.19700000000000001</v>
      </c>
      <c r="L202">
        <v>0.35</v>
      </c>
      <c r="M202">
        <v>0.35820000000000002</v>
      </c>
      <c r="N202">
        <v>5</v>
      </c>
      <c r="O202">
        <v>77</v>
      </c>
      <c r="P202">
        <v>82</v>
      </c>
    </row>
    <row r="203" spans="1:16" x14ac:dyDescent="0.2">
      <c r="A203">
        <v>202</v>
      </c>
      <c r="B203" s="3">
        <v>40552</v>
      </c>
      <c r="C203">
        <v>1</v>
      </c>
      <c r="D203">
        <v>2011</v>
      </c>
      <c r="E203" t="s">
        <v>10</v>
      </c>
      <c r="F203">
        <v>16</v>
      </c>
      <c r="G203" t="b">
        <v>1</v>
      </c>
      <c r="H203" t="s">
        <v>12</v>
      </c>
      <c r="I203">
        <v>1</v>
      </c>
      <c r="J203">
        <v>0.2</v>
      </c>
      <c r="K203">
        <v>0.16669999999999999</v>
      </c>
      <c r="L203">
        <v>0.34</v>
      </c>
      <c r="M203">
        <v>0.44779999999999998</v>
      </c>
      <c r="N203">
        <v>13</v>
      </c>
      <c r="O203">
        <v>79</v>
      </c>
      <c r="P203">
        <v>92</v>
      </c>
    </row>
    <row r="204" spans="1:16" x14ac:dyDescent="0.2">
      <c r="A204">
        <v>203</v>
      </c>
      <c r="B204" s="3">
        <v>40552</v>
      </c>
      <c r="C204">
        <v>1</v>
      </c>
      <c r="D204">
        <v>2011</v>
      </c>
      <c r="E204" t="s">
        <v>10</v>
      </c>
      <c r="F204">
        <v>17</v>
      </c>
      <c r="G204" t="b">
        <v>1</v>
      </c>
      <c r="H204" t="s">
        <v>12</v>
      </c>
      <c r="I204">
        <v>1</v>
      </c>
      <c r="J204">
        <v>0.18</v>
      </c>
      <c r="K204">
        <v>0.1515</v>
      </c>
      <c r="L204">
        <v>0.37</v>
      </c>
      <c r="M204">
        <v>0.3881</v>
      </c>
      <c r="N204">
        <v>3</v>
      </c>
      <c r="O204">
        <v>59</v>
      </c>
      <c r="P204">
        <v>62</v>
      </c>
    </row>
    <row r="205" spans="1:16" x14ac:dyDescent="0.2">
      <c r="A205">
        <v>204</v>
      </c>
      <c r="B205" s="3">
        <v>40552</v>
      </c>
      <c r="C205">
        <v>1</v>
      </c>
      <c r="D205">
        <v>2011</v>
      </c>
      <c r="E205" t="s">
        <v>10</v>
      </c>
      <c r="F205">
        <v>18</v>
      </c>
      <c r="G205" t="b">
        <v>1</v>
      </c>
      <c r="H205" t="s">
        <v>12</v>
      </c>
      <c r="I205">
        <v>1</v>
      </c>
      <c r="J205">
        <v>0.16</v>
      </c>
      <c r="K205">
        <v>0.13639999999999999</v>
      </c>
      <c r="L205">
        <v>0.4</v>
      </c>
      <c r="M205">
        <v>0.32840000000000003</v>
      </c>
      <c r="N205">
        <v>4</v>
      </c>
      <c r="O205">
        <v>44</v>
      </c>
      <c r="P205">
        <v>48</v>
      </c>
    </row>
    <row r="206" spans="1:16" x14ac:dyDescent="0.2">
      <c r="A206">
        <v>205</v>
      </c>
      <c r="B206" s="3">
        <v>40552</v>
      </c>
      <c r="C206">
        <v>1</v>
      </c>
      <c r="D206">
        <v>2011</v>
      </c>
      <c r="E206" t="s">
        <v>10</v>
      </c>
      <c r="F206">
        <v>19</v>
      </c>
      <c r="G206" t="b">
        <v>1</v>
      </c>
      <c r="H206" t="s">
        <v>12</v>
      </c>
      <c r="I206">
        <v>1</v>
      </c>
      <c r="J206">
        <v>0.16</v>
      </c>
      <c r="K206">
        <v>0.13639999999999999</v>
      </c>
      <c r="L206">
        <v>0.43</v>
      </c>
      <c r="M206">
        <v>0.32840000000000003</v>
      </c>
      <c r="N206">
        <v>1</v>
      </c>
      <c r="O206">
        <v>40</v>
      </c>
      <c r="P206">
        <v>41</v>
      </c>
    </row>
    <row r="207" spans="1:16" x14ac:dyDescent="0.2">
      <c r="A207">
        <v>206</v>
      </c>
      <c r="B207" s="3">
        <v>40552</v>
      </c>
      <c r="C207">
        <v>1</v>
      </c>
      <c r="D207">
        <v>2011</v>
      </c>
      <c r="E207" t="s">
        <v>10</v>
      </c>
      <c r="F207">
        <v>20</v>
      </c>
      <c r="G207" t="b">
        <v>1</v>
      </c>
      <c r="H207" t="s">
        <v>12</v>
      </c>
      <c r="I207">
        <v>1</v>
      </c>
      <c r="J207">
        <v>0.14000000000000001</v>
      </c>
      <c r="K207">
        <v>0.1212</v>
      </c>
      <c r="L207">
        <v>0.46</v>
      </c>
      <c r="M207">
        <v>0.25369999999999998</v>
      </c>
      <c r="N207">
        <v>0</v>
      </c>
      <c r="O207">
        <v>38</v>
      </c>
      <c r="P207">
        <v>38</v>
      </c>
    </row>
    <row r="208" spans="1:16" x14ac:dyDescent="0.2">
      <c r="A208">
        <v>207</v>
      </c>
      <c r="B208" s="3">
        <v>40552</v>
      </c>
      <c r="C208">
        <v>1</v>
      </c>
      <c r="D208">
        <v>2011</v>
      </c>
      <c r="E208" t="s">
        <v>10</v>
      </c>
      <c r="F208">
        <v>21</v>
      </c>
      <c r="G208" t="b">
        <v>1</v>
      </c>
      <c r="H208" t="s">
        <v>12</v>
      </c>
      <c r="I208">
        <v>1</v>
      </c>
      <c r="J208">
        <v>0.14000000000000001</v>
      </c>
      <c r="K208">
        <v>0.1061</v>
      </c>
      <c r="L208">
        <v>0.46</v>
      </c>
      <c r="M208">
        <v>0.41789999999999999</v>
      </c>
      <c r="N208">
        <v>1</v>
      </c>
      <c r="O208">
        <v>19</v>
      </c>
      <c r="P208">
        <v>20</v>
      </c>
    </row>
    <row r="209" spans="1:16" x14ac:dyDescent="0.2">
      <c r="A209">
        <v>208</v>
      </c>
      <c r="B209" s="3">
        <v>40552</v>
      </c>
      <c r="C209">
        <v>1</v>
      </c>
      <c r="D209">
        <v>2011</v>
      </c>
      <c r="E209" t="s">
        <v>10</v>
      </c>
      <c r="F209">
        <v>22</v>
      </c>
      <c r="G209" t="b">
        <v>1</v>
      </c>
      <c r="H209" t="s">
        <v>12</v>
      </c>
      <c r="I209">
        <v>1</v>
      </c>
      <c r="J209">
        <v>0.14000000000000001</v>
      </c>
      <c r="K209">
        <v>0.1212</v>
      </c>
      <c r="L209">
        <v>0.46</v>
      </c>
      <c r="M209">
        <v>0.29849999999999999</v>
      </c>
      <c r="N209">
        <v>5</v>
      </c>
      <c r="O209">
        <v>10</v>
      </c>
      <c r="P209">
        <v>15</v>
      </c>
    </row>
    <row r="210" spans="1:16" x14ac:dyDescent="0.2">
      <c r="A210">
        <v>209</v>
      </c>
      <c r="B210" s="3">
        <v>40552</v>
      </c>
      <c r="C210">
        <v>1</v>
      </c>
      <c r="D210">
        <v>2011</v>
      </c>
      <c r="E210" t="s">
        <v>10</v>
      </c>
      <c r="F210">
        <v>23</v>
      </c>
      <c r="G210" t="b">
        <v>1</v>
      </c>
      <c r="H210" t="s">
        <v>12</v>
      </c>
      <c r="I210">
        <v>1</v>
      </c>
      <c r="J210">
        <v>0.12</v>
      </c>
      <c r="K210">
        <v>0.13639999999999999</v>
      </c>
      <c r="L210">
        <v>0.5</v>
      </c>
      <c r="M210">
        <v>0.19400000000000001</v>
      </c>
      <c r="N210">
        <v>0</v>
      </c>
      <c r="O210">
        <v>6</v>
      </c>
      <c r="P210">
        <v>6</v>
      </c>
    </row>
    <row r="211" spans="1:16" x14ac:dyDescent="0.2">
      <c r="A211">
        <v>210</v>
      </c>
      <c r="B211" s="3">
        <v>40553</v>
      </c>
      <c r="C211">
        <v>1</v>
      </c>
      <c r="D211">
        <v>2011</v>
      </c>
      <c r="E211" t="s">
        <v>10</v>
      </c>
      <c r="F211">
        <v>0</v>
      </c>
      <c r="G211" t="b">
        <v>0</v>
      </c>
      <c r="H211" t="s">
        <v>13</v>
      </c>
      <c r="I211">
        <v>1</v>
      </c>
      <c r="J211">
        <v>0.12</v>
      </c>
      <c r="K211">
        <v>0.1212</v>
      </c>
      <c r="L211">
        <v>0.5</v>
      </c>
      <c r="M211">
        <v>0.28360000000000002</v>
      </c>
      <c r="N211">
        <v>2</v>
      </c>
      <c r="O211">
        <v>3</v>
      </c>
      <c r="P211">
        <v>5</v>
      </c>
    </row>
    <row r="212" spans="1:16" x14ac:dyDescent="0.2">
      <c r="A212">
        <v>211</v>
      </c>
      <c r="B212" s="3">
        <v>40553</v>
      </c>
      <c r="C212">
        <v>1</v>
      </c>
      <c r="D212">
        <v>2011</v>
      </c>
      <c r="E212" t="s">
        <v>10</v>
      </c>
      <c r="F212">
        <v>1</v>
      </c>
      <c r="G212" t="b">
        <v>0</v>
      </c>
      <c r="H212" t="s">
        <v>13</v>
      </c>
      <c r="I212">
        <v>1</v>
      </c>
      <c r="J212">
        <v>0.12</v>
      </c>
      <c r="K212">
        <v>0.1212</v>
      </c>
      <c r="L212">
        <v>0.5</v>
      </c>
      <c r="M212">
        <v>0.28360000000000002</v>
      </c>
      <c r="N212">
        <v>1</v>
      </c>
      <c r="O212">
        <v>0</v>
      </c>
      <c r="P212">
        <v>1</v>
      </c>
    </row>
    <row r="213" spans="1:16" x14ac:dyDescent="0.2">
      <c r="A213">
        <v>212</v>
      </c>
      <c r="B213" s="3">
        <v>40553</v>
      </c>
      <c r="C213">
        <v>1</v>
      </c>
      <c r="D213">
        <v>2011</v>
      </c>
      <c r="E213" t="s">
        <v>10</v>
      </c>
      <c r="F213">
        <v>2</v>
      </c>
      <c r="G213" t="b">
        <v>0</v>
      </c>
      <c r="H213" t="s">
        <v>13</v>
      </c>
      <c r="I213">
        <v>1</v>
      </c>
      <c r="J213">
        <v>0.12</v>
      </c>
      <c r="K213">
        <v>0.1212</v>
      </c>
      <c r="L213">
        <v>0.5</v>
      </c>
      <c r="M213">
        <v>0.22389999999999999</v>
      </c>
      <c r="N213">
        <v>0</v>
      </c>
      <c r="O213">
        <v>3</v>
      </c>
      <c r="P213">
        <v>3</v>
      </c>
    </row>
    <row r="214" spans="1:16" x14ac:dyDescent="0.2">
      <c r="A214">
        <v>213</v>
      </c>
      <c r="B214" s="3">
        <v>40553</v>
      </c>
      <c r="C214">
        <v>1</v>
      </c>
      <c r="D214">
        <v>2011</v>
      </c>
      <c r="E214" t="s">
        <v>10</v>
      </c>
      <c r="F214">
        <v>3</v>
      </c>
      <c r="G214" t="b">
        <v>0</v>
      </c>
      <c r="H214" t="s">
        <v>13</v>
      </c>
      <c r="I214">
        <v>1</v>
      </c>
      <c r="J214">
        <v>0.12</v>
      </c>
      <c r="K214">
        <v>0.1212</v>
      </c>
      <c r="L214">
        <v>0.5</v>
      </c>
      <c r="M214">
        <v>0.22389999999999999</v>
      </c>
      <c r="N214">
        <v>0</v>
      </c>
      <c r="O214">
        <v>1</v>
      </c>
      <c r="P214">
        <v>1</v>
      </c>
    </row>
    <row r="215" spans="1:16" x14ac:dyDescent="0.2">
      <c r="A215">
        <v>214</v>
      </c>
      <c r="B215" s="3">
        <v>40553</v>
      </c>
      <c r="C215">
        <v>1</v>
      </c>
      <c r="D215">
        <v>2011</v>
      </c>
      <c r="E215" t="s">
        <v>10</v>
      </c>
      <c r="F215">
        <v>4</v>
      </c>
      <c r="G215" t="b">
        <v>0</v>
      </c>
      <c r="H215" t="s">
        <v>13</v>
      </c>
      <c r="I215">
        <v>1</v>
      </c>
      <c r="J215">
        <v>0.1</v>
      </c>
      <c r="K215">
        <v>0.1212</v>
      </c>
      <c r="L215">
        <v>0.54</v>
      </c>
      <c r="M215">
        <v>0.1343</v>
      </c>
      <c r="N215">
        <v>1</v>
      </c>
      <c r="O215">
        <v>2</v>
      </c>
      <c r="P215">
        <v>3</v>
      </c>
    </row>
    <row r="216" spans="1:16" x14ac:dyDescent="0.2">
      <c r="A216">
        <v>215</v>
      </c>
      <c r="B216" s="3">
        <v>40553</v>
      </c>
      <c r="C216">
        <v>1</v>
      </c>
      <c r="D216">
        <v>2011</v>
      </c>
      <c r="E216" t="s">
        <v>10</v>
      </c>
      <c r="F216">
        <v>5</v>
      </c>
      <c r="G216" t="b">
        <v>0</v>
      </c>
      <c r="H216" t="s">
        <v>13</v>
      </c>
      <c r="I216">
        <v>1</v>
      </c>
      <c r="J216">
        <v>0.1</v>
      </c>
      <c r="K216">
        <v>0.1061</v>
      </c>
      <c r="L216">
        <v>0.54</v>
      </c>
      <c r="M216">
        <v>0.25369999999999998</v>
      </c>
      <c r="N216">
        <v>0</v>
      </c>
      <c r="O216">
        <v>3</v>
      </c>
      <c r="P216">
        <v>3</v>
      </c>
    </row>
    <row r="217" spans="1:16" x14ac:dyDescent="0.2">
      <c r="A217">
        <v>216</v>
      </c>
      <c r="B217" s="3">
        <v>40553</v>
      </c>
      <c r="C217">
        <v>1</v>
      </c>
      <c r="D217">
        <v>2011</v>
      </c>
      <c r="E217" t="s">
        <v>10</v>
      </c>
      <c r="F217">
        <v>6</v>
      </c>
      <c r="G217" t="b">
        <v>0</v>
      </c>
      <c r="H217" t="s">
        <v>13</v>
      </c>
      <c r="I217">
        <v>1</v>
      </c>
      <c r="J217">
        <v>0.12</v>
      </c>
      <c r="K217">
        <v>0.1212</v>
      </c>
      <c r="L217">
        <v>0.5</v>
      </c>
      <c r="M217">
        <v>0.28360000000000002</v>
      </c>
      <c r="N217">
        <v>0</v>
      </c>
      <c r="O217">
        <v>31</v>
      </c>
      <c r="P217">
        <v>31</v>
      </c>
    </row>
    <row r="218" spans="1:16" x14ac:dyDescent="0.2">
      <c r="A218">
        <v>217</v>
      </c>
      <c r="B218" s="3">
        <v>40553</v>
      </c>
      <c r="C218">
        <v>1</v>
      </c>
      <c r="D218">
        <v>2011</v>
      </c>
      <c r="E218" t="s">
        <v>10</v>
      </c>
      <c r="F218">
        <v>7</v>
      </c>
      <c r="G218" t="b">
        <v>0</v>
      </c>
      <c r="H218" t="s">
        <v>13</v>
      </c>
      <c r="I218">
        <v>1</v>
      </c>
      <c r="J218">
        <v>0.12</v>
      </c>
      <c r="K218">
        <v>0.1212</v>
      </c>
      <c r="L218">
        <v>0.5</v>
      </c>
      <c r="M218">
        <v>0.22389999999999999</v>
      </c>
      <c r="N218">
        <v>2</v>
      </c>
      <c r="O218">
        <v>75</v>
      </c>
      <c r="P218">
        <v>77</v>
      </c>
    </row>
    <row r="219" spans="1:16" x14ac:dyDescent="0.2">
      <c r="A219">
        <v>218</v>
      </c>
      <c r="B219" s="3">
        <v>40553</v>
      </c>
      <c r="C219">
        <v>1</v>
      </c>
      <c r="D219">
        <v>2011</v>
      </c>
      <c r="E219" t="s">
        <v>10</v>
      </c>
      <c r="F219">
        <v>8</v>
      </c>
      <c r="G219" t="b">
        <v>0</v>
      </c>
      <c r="H219" t="s">
        <v>13</v>
      </c>
      <c r="I219">
        <v>2</v>
      </c>
      <c r="J219">
        <v>0.12</v>
      </c>
      <c r="K219">
        <v>0.1212</v>
      </c>
      <c r="L219">
        <v>0.5</v>
      </c>
      <c r="M219">
        <v>0.28360000000000002</v>
      </c>
      <c r="N219">
        <v>4</v>
      </c>
      <c r="O219">
        <v>184</v>
      </c>
      <c r="P219">
        <v>188</v>
      </c>
    </row>
    <row r="220" spans="1:16" x14ac:dyDescent="0.2">
      <c r="A220">
        <v>219</v>
      </c>
      <c r="B220" s="3">
        <v>40553</v>
      </c>
      <c r="C220">
        <v>1</v>
      </c>
      <c r="D220">
        <v>2011</v>
      </c>
      <c r="E220" t="s">
        <v>10</v>
      </c>
      <c r="F220">
        <v>9</v>
      </c>
      <c r="G220" t="b">
        <v>0</v>
      </c>
      <c r="H220" t="s">
        <v>13</v>
      </c>
      <c r="I220">
        <v>2</v>
      </c>
      <c r="J220">
        <v>0.14000000000000001</v>
      </c>
      <c r="K220">
        <v>0.1212</v>
      </c>
      <c r="L220">
        <v>0.5</v>
      </c>
      <c r="M220">
        <v>0.25369999999999998</v>
      </c>
      <c r="N220">
        <v>2</v>
      </c>
      <c r="O220">
        <v>92</v>
      </c>
      <c r="P220">
        <v>94</v>
      </c>
    </row>
    <row r="221" spans="1:16" x14ac:dyDescent="0.2">
      <c r="A221">
        <v>220</v>
      </c>
      <c r="B221" s="3">
        <v>40553</v>
      </c>
      <c r="C221">
        <v>1</v>
      </c>
      <c r="D221">
        <v>2011</v>
      </c>
      <c r="E221" t="s">
        <v>10</v>
      </c>
      <c r="F221">
        <v>10</v>
      </c>
      <c r="G221" t="b">
        <v>0</v>
      </c>
      <c r="H221" t="s">
        <v>13</v>
      </c>
      <c r="I221">
        <v>2</v>
      </c>
      <c r="J221">
        <v>0.14000000000000001</v>
      </c>
      <c r="K221">
        <v>0.1212</v>
      </c>
      <c r="L221">
        <v>0.5</v>
      </c>
      <c r="M221">
        <v>0.29849999999999999</v>
      </c>
      <c r="N221">
        <v>0</v>
      </c>
      <c r="O221">
        <v>31</v>
      </c>
      <c r="P221">
        <v>31</v>
      </c>
    </row>
    <row r="222" spans="1:16" x14ac:dyDescent="0.2">
      <c r="A222">
        <v>221</v>
      </c>
      <c r="B222" s="3">
        <v>40553</v>
      </c>
      <c r="C222">
        <v>1</v>
      </c>
      <c r="D222">
        <v>2011</v>
      </c>
      <c r="E222" t="s">
        <v>10</v>
      </c>
      <c r="F222">
        <v>11</v>
      </c>
      <c r="G222" t="b">
        <v>0</v>
      </c>
      <c r="H222" t="s">
        <v>13</v>
      </c>
      <c r="I222">
        <v>2</v>
      </c>
      <c r="J222">
        <v>0.16</v>
      </c>
      <c r="K222">
        <v>0.13639999999999999</v>
      </c>
      <c r="L222">
        <v>0.47</v>
      </c>
      <c r="M222">
        <v>0.28360000000000002</v>
      </c>
      <c r="N222">
        <v>2</v>
      </c>
      <c r="O222">
        <v>28</v>
      </c>
      <c r="P222">
        <v>30</v>
      </c>
    </row>
    <row r="223" spans="1:16" x14ac:dyDescent="0.2">
      <c r="A223">
        <v>222</v>
      </c>
      <c r="B223" s="3">
        <v>40553</v>
      </c>
      <c r="C223">
        <v>1</v>
      </c>
      <c r="D223">
        <v>2011</v>
      </c>
      <c r="E223" t="s">
        <v>10</v>
      </c>
      <c r="F223">
        <v>12</v>
      </c>
      <c r="G223" t="b">
        <v>0</v>
      </c>
      <c r="H223" t="s">
        <v>13</v>
      </c>
      <c r="I223">
        <v>2</v>
      </c>
      <c r="J223">
        <v>0.2</v>
      </c>
      <c r="K223">
        <v>0.18179999999999999</v>
      </c>
      <c r="L223">
        <v>0.4</v>
      </c>
      <c r="M223">
        <v>0.28360000000000002</v>
      </c>
      <c r="N223">
        <v>5</v>
      </c>
      <c r="O223">
        <v>47</v>
      </c>
      <c r="P223">
        <v>52</v>
      </c>
    </row>
    <row r="224" spans="1:16" x14ac:dyDescent="0.2">
      <c r="A224">
        <v>223</v>
      </c>
      <c r="B224" s="3">
        <v>40553</v>
      </c>
      <c r="C224">
        <v>1</v>
      </c>
      <c r="D224">
        <v>2011</v>
      </c>
      <c r="E224" t="s">
        <v>10</v>
      </c>
      <c r="F224">
        <v>13</v>
      </c>
      <c r="G224" t="b">
        <v>0</v>
      </c>
      <c r="H224" t="s">
        <v>13</v>
      </c>
      <c r="I224">
        <v>2</v>
      </c>
      <c r="J224">
        <v>0.2</v>
      </c>
      <c r="K224">
        <v>0.18179999999999999</v>
      </c>
      <c r="L224">
        <v>0.4</v>
      </c>
      <c r="M224">
        <v>0.28360000000000002</v>
      </c>
      <c r="N224">
        <v>4</v>
      </c>
      <c r="O224">
        <v>50</v>
      </c>
      <c r="P224">
        <v>54</v>
      </c>
    </row>
    <row r="225" spans="1:16" x14ac:dyDescent="0.2">
      <c r="A225">
        <v>224</v>
      </c>
      <c r="B225" s="3">
        <v>40553</v>
      </c>
      <c r="C225">
        <v>1</v>
      </c>
      <c r="D225">
        <v>2011</v>
      </c>
      <c r="E225" t="s">
        <v>10</v>
      </c>
      <c r="F225">
        <v>14</v>
      </c>
      <c r="G225" t="b">
        <v>0</v>
      </c>
      <c r="H225" t="s">
        <v>13</v>
      </c>
      <c r="I225">
        <v>2</v>
      </c>
      <c r="J225">
        <v>0.2</v>
      </c>
      <c r="K225">
        <v>0.19700000000000001</v>
      </c>
      <c r="L225">
        <v>0.4</v>
      </c>
      <c r="M225">
        <v>0.22389999999999999</v>
      </c>
      <c r="N225">
        <v>0</v>
      </c>
      <c r="O225">
        <v>47</v>
      </c>
      <c r="P225">
        <v>47</v>
      </c>
    </row>
    <row r="226" spans="1:16" x14ac:dyDescent="0.2">
      <c r="A226">
        <v>225</v>
      </c>
      <c r="B226" s="3">
        <v>40553</v>
      </c>
      <c r="C226">
        <v>1</v>
      </c>
      <c r="D226">
        <v>2011</v>
      </c>
      <c r="E226" t="s">
        <v>10</v>
      </c>
      <c r="F226">
        <v>15</v>
      </c>
      <c r="G226" t="b">
        <v>0</v>
      </c>
      <c r="H226" t="s">
        <v>13</v>
      </c>
      <c r="I226">
        <v>2</v>
      </c>
      <c r="J226">
        <v>0.2</v>
      </c>
      <c r="K226">
        <v>0.19700000000000001</v>
      </c>
      <c r="L226">
        <v>0.4</v>
      </c>
      <c r="M226">
        <v>0.22389999999999999</v>
      </c>
      <c r="N226">
        <v>2</v>
      </c>
      <c r="O226">
        <v>43</v>
      </c>
      <c r="P226">
        <v>45</v>
      </c>
    </row>
    <row r="227" spans="1:16" x14ac:dyDescent="0.2">
      <c r="A227">
        <v>226</v>
      </c>
      <c r="B227" s="3">
        <v>40553</v>
      </c>
      <c r="C227">
        <v>1</v>
      </c>
      <c r="D227">
        <v>2011</v>
      </c>
      <c r="E227" t="s">
        <v>10</v>
      </c>
      <c r="F227">
        <v>16</v>
      </c>
      <c r="G227" t="b">
        <v>0</v>
      </c>
      <c r="H227" t="s">
        <v>13</v>
      </c>
      <c r="I227">
        <v>1</v>
      </c>
      <c r="J227">
        <v>0.2</v>
      </c>
      <c r="K227">
        <v>0.21210000000000001</v>
      </c>
      <c r="L227">
        <v>0.4</v>
      </c>
      <c r="M227">
        <v>0.1343</v>
      </c>
      <c r="N227">
        <v>4</v>
      </c>
      <c r="O227">
        <v>70</v>
      </c>
      <c r="P227">
        <v>74</v>
      </c>
    </row>
    <row r="228" spans="1:16" x14ac:dyDescent="0.2">
      <c r="A228">
        <v>227</v>
      </c>
      <c r="B228" s="3">
        <v>40553</v>
      </c>
      <c r="C228">
        <v>1</v>
      </c>
      <c r="D228">
        <v>2011</v>
      </c>
      <c r="E228" t="s">
        <v>10</v>
      </c>
      <c r="F228">
        <v>17</v>
      </c>
      <c r="G228" t="b">
        <v>0</v>
      </c>
      <c r="H228" t="s">
        <v>13</v>
      </c>
      <c r="I228">
        <v>1</v>
      </c>
      <c r="J228">
        <v>0.2</v>
      </c>
      <c r="K228">
        <v>0.2273</v>
      </c>
      <c r="L228">
        <v>0.4</v>
      </c>
      <c r="M228">
        <v>0.1045</v>
      </c>
      <c r="N228">
        <v>4</v>
      </c>
      <c r="O228">
        <v>174</v>
      </c>
      <c r="P228">
        <v>178</v>
      </c>
    </row>
    <row r="229" spans="1:16" x14ac:dyDescent="0.2">
      <c r="A229">
        <v>228</v>
      </c>
      <c r="B229" s="3">
        <v>40553</v>
      </c>
      <c r="C229">
        <v>1</v>
      </c>
      <c r="D229">
        <v>2011</v>
      </c>
      <c r="E229" t="s">
        <v>10</v>
      </c>
      <c r="F229">
        <v>18</v>
      </c>
      <c r="G229" t="b">
        <v>0</v>
      </c>
      <c r="H229" t="s">
        <v>13</v>
      </c>
      <c r="I229">
        <v>1</v>
      </c>
      <c r="J229">
        <v>0.2</v>
      </c>
      <c r="K229">
        <v>0.19700000000000001</v>
      </c>
      <c r="L229">
        <v>0.4</v>
      </c>
      <c r="M229">
        <v>0.22389999999999999</v>
      </c>
      <c r="N229">
        <v>1</v>
      </c>
      <c r="O229">
        <v>154</v>
      </c>
      <c r="P229">
        <v>155</v>
      </c>
    </row>
    <row r="230" spans="1:16" x14ac:dyDescent="0.2">
      <c r="A230">
        <v>229</v>
      </c>
      <c r="B230" s="3">
        <v>40553</v>
      </c>
      <c r="C230">
        <v>1</v>
      </c>
      <c r="D230">
        <v>2011</v>
      </c>
      <c r="E230" t="s">
        <v>10</v>
      </c>
      <c r="F230">
        <v>19</v>
      </c>
      <c r="G230" t="b">
        <v>0</v>
      </c>
      <c r="H230" t="s">
        <v>13</v>
      </c>
      <c r="I230">
        <v>1</v>
      </c>
      <c r="J230">
        <v>0.16</v>
      </c>
      <c r="K230">
        <v>0.16669999999999999</v>
      </c>
      <c r="L230">
        <v>0.47</v>
      </c>
      <c r="M230">
        <v>0.16420000000000001</v>
      </c>
      <c r="N230">
        <v>3</v>
      </c>
      <c r="O230">
        <v>92</v>
      </c>
      <c r="P230">
        <v>95</v>
      </c>
    </row>
    <row r="231" spans="1:16" x14ac:dyDescent="0.2">
      <c r="A231">
        <v>230</v>
      </c>
      <c r="B231" s="3">
        <v>40553</v>
      </c>
      <c r="C231">
        <v>1</v>
      </c>
      <c r="D231">
        <v>2011</v>
      </c>
      <c r="E231" t="s">
        <v>10</v>
      </c>
      <c r="F231">
        <v>20</v>
      </c>
      <c r="G231" t="b">
        <v>0</v>
      </c>
      <c r="H231" t="s">
        <v>13</v>
      </c>
      <c r="I231">
        <v>1</v>
      </c>
      <c r="J231">
        <v>0.16</v>
      </c>
      <c r="K231">
        <v>0.16669999999999999</v>
      </c>
      <c r="L231">
        <v>0.5</v>
      </c>
      <c r="M231">
        <v>0.16420000000000001</v>
      </c>
      <c r="N231">
        <v>1</v>
      </c>
      <c r="O231">
        <v>73</v>
      </c>
      <c r="P231">
        <v>74</v>
      </c>
    </row>
    <row r="232" spans="1:16" x14ac:dyDescent="0.2">
      <c r="A232">
        <v>231</v>
      </c>
      <c r="B232" s="3">
        <v>40553</v>
      </c>
      <c r="C232">
        <v>1</v>
      </c>
      <c r="D232">
        <v>2011</v>
      </c>
      <c r="E232" t="s">
        <v>10</v>
      </c>
      <c r="F232">
        <v>21</v>
      </c>
      <c r="G232" t="b">
        <v>0</v>
      </c>
      <c r="H232" t="s">
        <v>13</v>
      </c>
      <c r="I232">
        <v>1</v>
      </c>
      <c r="J232">
        <v>0.14000000000000001</v>
      </c>
      <c r="K232">
        <v>0.13639999999999999</v>
      </c>
      <c r="L232">
        <v>0.59</v>
      </c>
      <c r="M232">
        <v>0.19400000000000001</v>
      </c>
      <c r="N232">
        <v>1</v>
      </c>
      <c r="O232">
        <v>37</v>
      </c>
      <c r="P232">
        <v>38</v>
      </c>
    </row>
    <row r="233" spans="1:16" x14ac:dyDescent="0.2">
      <c r="A233">
        <v>232</v>
      </c>
      <c r="B233" s="3">
        <v>40553</v>
      </c>
      <c r="C233">
        <v>1</v>
      </c>
      <c r="D233">
        <v>2011</v>
      </c>
      <c r="E233" t="s">
        <v>10</v>
      </c>
      <c r="F233">
        <v>22</v>
      </c>
      <c r="G233" t="b">
        <v>0</v>
      </c>
      <c r="H233" t="s">
        <v>13</v>
      </c>
      <c r="I233">
        <v>1</v>
      </c>
      <c r="J233">
        <v>0.14000000000000001</v>
      </c>
      <c r="K233">
        <v>0.1515</v>
      </c>
      <c r="L233">
        <v>0.59</v>
      </c>
      <c r="M233">
        <v>0.16420000000000001</v>
      </c>
      <c r="N233">
        <v>2</v>
      </c>
      <c r="O233">
        <v>22</v>
      </c>
      <c r="P233">
        <v>24</v>
      </c>
    </row>
    <row r="234" spans="1:16" x14ac:dyDescent="0.2">
      <c r="A234">
        <v>233</v>
      </c>
      <c r="B234" s="3">
        <v>40553</v>
      </c>
      <c r="C234">
        <v>1</v>
      </c>
      <c r="D234">
        <v>2011</v>
      </c>
      <c r="E234" t="s">
        <v>10</v>
      </c>
      <c r="F234">
        <v>23</v>
      </c>
      <c r="G234" t="b">
        <v>0</v>
      </c>
      <c r="H234" t="s">
        <v>13</v>
      </c>
      <c r="I234">
        <v>1</v>
      </c>
      <c r="J234">
        <v>0.14000000000000001</v>
      </c>
      <c r="K234">
        <v>0.1515</v>
      </c>
      <c r="L234">
        <v>0.59</v>
      </c>
      <c r="M234">
        <v>0.16420000000000001</v>
      </c>
      <c r="N234">
        <v>0</v>
      </c>
      <c r="O234">
        <v>18</v>
      </c>
      <c r="P234">
        <v>18</v>
      </c>
    </row>
    <row r="235" spans="1:16" x14ac:dyDescent="0.2">
      <c r="A235">
        <v>234</v>
      </c>
      <c r="B235" s="3">
        <v>40554</v>
      </c>
      <c r="C235">
        <v>1</v>
      </c>
      <c r="D235">
        <v>2011</v>
      </c>
      <c r="E235" t="s">
        <v>10</v>
      </c>
      <c r="F235">
        <v>0</v>
      </c>
      <c r="G235" t="b">
        <v>0</v>
      </c>
      <c r="H235" t="s">
        <v>14</v>
      </c>
      <c r="I235">
        <v>1</v>
      </c>
      <c r="J235">
        <v>0.14000000000000001</v>
      </c>
      <c r="K235">
        <v>0.16669999999999999</v>
      </c>
      <c r="L235">
        <v>0.59</v>
      </c>
      <c r="M235">
        <v>0.1045</v>
      </c>
      <c r="N235">
        <v>2</v>
      </c>
      <c r="O235">
        <v>10</v>
      </c>
      <c r="P235">
        <v>12</v>
      </c>
    </row>
    <row r="236" spans="1:16" x14ac:dyDescent="0.2">
      <c r="A236">
        <v>235</v>
      </c>
      <c r="B236" s="3">
        <v>40554</v>
      </c>
      <c r="C236">
        <v>1</v>
      </c>
      <c r="D236">
        <v>2011</v>
      </c>
      <c r="E236" t="s">
        <v>10</v>
      </c>
      <c r="F236">
        <v>1</v>
      </c>
      <c r="G236" t="b">
        <v>0</v>
      </c>
      <c r="H236" t="s">
        <v>14</v>
      </c>
      <c r="I236">
        <v>1</v>
      </c>
      <c r="J236">
        <v>0.14000000000000001</v>
      </c>
      <c r="K236">
        <v>0.1515</v>
      </c>
      <c r="L236">
        <v>0.59</v>
      </c>
      <c r="M236">
        <v>0.16420000000000001</v>
      </c>
      <c r="N236">
        <v>0</v>
      </c>
      <c r="O236">
        <v>3</v>
      </c>
      <c r="P236">
        <v>3</v>
      </c>
    </row>
    <row r="237" spans="1:16" x14ac:dyDescent="0.2">
      <c r="A237">
        <v>236</v>
      </c>
      <c r="B237" s="3">
        <v>40554</v>
      </c>
      <c r="C237">
        <v>1</v>
      </c>
      <c r="D237">
        <v>2011</v>
      </c>
      <c r="E237" t="s">
        <v>10</v>
      </c>
      <c r="F237">
        <v>2</v>
      </c>
      <c r="G237" t="b">
        <v>0</v>
      </c>
      <c r="H237" t="s">
        <v>14</v>
      </c>
      <c r="I237">
        <v>2</v>
      </c>
      <c r="J237">
        <v>0.16</v>
      </c>
      <c r="K237">
        <v>0.1515</v>
      </c>
      <c r="L237">
        <v>0.55000000000000004</v>
      </c>
      <c r="M237">
        <v>0.19400000000000001</v>
      </c>
      <c r="N237">
        <v>0</v>
      </c>
      <c r="O237">
        <v>3</v>
      </c>
      <c r="P237">
        <v>3</v>
      </c>
    </row>
    <row r="238" spans="1:16" x14ac:dyDescent="0.2">
      <c r="A238">
        <v>237</v>
      </c>
      <c r="B238" s="3">
        <v>40554</v>
      </c>
      <c r="C238">
        <v>1</v>
      </c>
      <c r="D238">
        <v>2011</v>
      </c>
      <c r="E238" t="s">
        <v>10</v>
      </c>
      <c r="F238">
        <v>5</v>
      </c>
      <c r="G238" t="b">
        <v>0</v>
      </c>
      <c r="H238" t="s">
        <v>14</v>
      </c>
      <c r="I238">
        <v>2</v>
      </c>
      <c r="J238">
        <v>0.16</v>
      </c>
      <c r="K238">
        <v>0.18179999999999999</v>
      </c>
      <c r="L238">
        <v>0.55000000000000004</v>
      </c>
      <c r="M238">
        <v>0.1343</v>
      </c>
      <c r="N238">
        <v>0</v>
      </c>
      <c r="O238">
        <v>6</v>
      </c>
      <c r="P238">
        <v>6</v>
      </c>
    </row>
    <row r="239" spans="1:16" x14ac:dyDescent="0.2">
      <c r="A239">
        <v>238</v>
      </c>
      <c r="B239" s="3">
        <v>40554</v>
      </c>
      <c r="C239">
        <v>1</v>
      </c>
      <c r="D239">
        <v>2011</v>
      </c>
      <c r="E239" t="s">
        <v>10</v>
      </c>
      <c r="F239">
        <v>6</v>
      </c>
      <c r="G239" t="b">
        <v>0</v>
      </c>
      <c r="H239" t="s">
        <v>14</v>
      </c>
      <c r="I239">
        <v>2</v>
      </c>
      <c r="J239">
        <v>0.16</v>
      </c>
      <c r="K239">
        <v>0.18179999999999999</v>
      </c>
      <c r="L239">
        <v>0.55000000000000004</v>
      </c>
      <c r="M239">
        <v>0.1343</v>
      </c>
      <c r="N239">
        <v>0</v>
      </c>
      <c r="O239">
        <v>27</v>
      </c>
      <c r="P239">
        <v>27</v>
      </c>
    </row>
    <row r="240" spans="1:16" x14ac:dyDescent="0.2">
      <c r="A240">
        <v>239</v>
      </c>
      <c r="B240" s="3">
        <v>40554</v>
      </c>
      <c r="C240">
        <v>1</v>
      </c>
      <c r="D240">
        <v>2011</v>
      </c>
      <c r="E240" t="s">
        <v>10</v>
      </c>
      <c r="F240">
        <v>7</v>
      </c>
      <c r="G240" t="b">
        <v>0</v>
      </c>
      <c r="H240" t="s">
        <v>14</v>
      </c>
      <c r="I240">
        <v>2</v>
      </c>
      <c r="J240">
        <v>0.16</v>
      </c>
      <c r="K240">
        <v>0.2273</v>
      </c>
      <c r="L240">
        <v>0.55000000000000004</v>
      </c>
      <c r="M240">
        <v>0</v>
      </c>
      <c r="N240">
        <v>2</v>
      </c>
      <c r="O240">
        <v>97</v>
      </c>
      <c r="P240">
        <v>99</v>
      </c>
    </row>
    <row r="241" spans="1:16" x14ac:dyDescent="0.2">
      <c r="A241">
        <v>240</v>
      </c>
      <c r="B241" s="3">
        <v>40554</v>
      </c>
      <c r="C241">
        <v>1</v>
      </c>
      <c r="D241">
        <v>2011</v>
      </c>
      <c r="E241" t="s">
        <v>10</v>
      </c>
      <c r="F241">
        <v>8</v>
      </c>
      <c r="G241" t="b">
        <v>0</v>
      </c>
      <c r="H241" t="s">
        <v>14</v>
      </c>
      <c r="I241">
        <v>2</v>
      </c>
      <c r="J241">
        <v>0.18</v>
      </c>
      <c r="K241">
        <v>0.21210000000000001</v>
      </c>
      <c r="L241">
        <v>0.51</v>
      </c>
      <c r="M241">
        <v>8.9599999999999999E-2</v>
      </c>
      <c r="N241">
        <v>3</v>
      </c>
      <c r="O241">
        <v>214</v>
      </c>
      <c r="P241">
        <v>217</v>
      </c>
    </row>
    <row r="242" spans="1:16" x14ac:dyDescent="0.2">
      <c r="A242">
        <v>241</v>
      </c>
      <c r="B242" s="3">
        <v>40554</v>
      </c>
      <c r="C242">
        <v>1</v>
      </c>
      <c r="D242">
        <v>2011</v>
      </c>
      <c r="E242" t="s">
        <v>10</v>
      </c>
      <c r="F242">
        <v>9</v>
      </c>
      <c r="G242" t="b">
        <v>0</v>
      </c>
      <c r="H242" t="s">
        <v>14</v>
      </c>
      <c r="I242">
        <v>2</v>
      </c>
      <c r="J242">
        <v>0.18</v>
      </c>
      <c r="K242">
        <v>0.19700000000000001</v>
      </c>
      <c r="L242">
        <v>0.51</v>
      </c>
      <c r="M242">
        <v>0.16420000000000001</v>
      </c>
      <c r="N242">
        <v>3</v>
      </c>
      <c r="O242">
        <v>127</v>
      </c>
      <c r="P242">
        <v>130</v>
      </c>
    </row>
    <row r="243" spans="1:16" x14ac:dyDescent="0.2">
      <c r="A243">
        <v>242</v>
      </c>
      <c r="B243" s="3">
        <v>40554</v>
      </c>
      <c r="C243">
        <v>1</v>
      </c>
      <c r="D243">
        <v>2011</v>
      </c>
      <c r="E243" t="s">
        <v>10</v>
      </c>
      <c r="F243">
        <v>10</v>
      </c>
      <c r="G243" t="b">
        <v>0</v>
      </c>
      <c r="H243" t="s">
        <v>14</v>
      </c>
      <c r="I243">
        <v>2</v>
      </c>
      <c r="J243">
        <v>0.2</v>
      </c>
      <c r="K243">
        <v>0.21210000000000001</v>
      </c>
      <c r="L243">
        <v>0.51</v>
      </c>
      <c r="M243">
        <v>0.16420000000000001</v>
      </c>
      <c r="N243">
        <v>3</v>
      </c>
      <c r="O243">
        <v>51</v>
      </c>
      <c r="P243">
        <v>54</v>
      </c>
    </row>
    <row r="244" spans="1:16" x14ac:dyDescent="0.2">
      <c r="A244">
        <v>243</v>
      </c>
      <c r="B244" s="3">
        <v>40554</v>
      </c>
      <c r="C244">
        <v>1</v>
      </c>
      <c r="D244">
        <v>2011</v>
      </c>
      <c r="E244" t="s">
        <v>10</v>
      </c>
      <c r="F244">
        <v>11</v>
      </c>
      <c r="G244" t="b">
        <v>0</v>
      </c>
      <c r="H244" t="s">
        <v>14</v>
      </c>
      <c r="I244">
        <v>2</v>
      </c>
      <c r="J244">
        <v>0.2</v>
      </c>
      <c r="K244">
        <v>0.21210000000000001</v>
      </c>
      <c r="L244">
        <v>0.47</v>
      </c>
      <c r="M244">
        <v>0.1343</v>
      </c>
      <c r="N244">
        <v>4</v>
      </c>
      <c r="O244">
        <v>31</v>
      </c>
      <c r="P244">
        <v>35</v>
      </c>
    </row>
    <row r="245" spans="1:16" x14ac:dyDescent="0.2">
      <c r="A245">
        <v>244</v>
      </c>
      <c r="B245" s="3">
        <v>40554</v>
      </c>
      <c r="C245">
        <v>1</v>
      </c>
      <c r="D245">
        <v>2011</v>
      </c>
      <c r="E245" t="s">
        <v>10</v>
      </c>
      <c r="F245">
        <v>12</v>
      </c>
      <c r="G245" t="b">
        <v>0</v>
      </c>
      <c r="H245" t="s">
        <v>14</v>
      </c>
      <c r="I245">
        <v>2</v>
      </c>
      <c r="J245">
        <v>0.2</v>
      </c>
      <c r="K245">
        <v>0.2273</v>
      </c>
      <c r="L245">
        <v>0.51</v>
      </c>
      <c r="M245">
        <v>0.1045</v>
      </c>
      <c r="N245">
        <v>2</v>
      </c>
      <c r="O245">
        <v>55</v>
      </c>
      <c r="P245">
        <v>57</v>
      </c>
    </row>
    <row r="246" spans="1:16" x14ac:dyDescent="0.2">
      <c r="A246">
        <v>245</v>
      </c>
      <c r="B246" s="3">
        <v>40554</v>
      </c>
      <c r="C246">
        <v>1</v>
      </c>
      <c r="D246">
        <v>2011</v>
      </c>
      <c r="E246" t="s">
        <v>10</v>
      </c>
      <c r="F246">
        <v>13</v>
      </c>
      <c r="G246" t="b">
        <v>0</v>
      </c>
      <c r="H246" t="s">
        <v>14</v>
      </c>
      <c r="I246">
        <v>2</v>
      </c>
      <c r="J246">
        <v>0.2</v>
      </c>
      <c r="K246">
        <v>0.2273</v>
      </c>
      <c r="L246">
        <v>0.59</v>
      </c>
      <c r="M246">
        <v>8.9599999999999999E-2</v>
      </c>
      <c r="N246">
        <v>6</v>
      </c>
      <c r="O246">
        <v>46</v>
      </c>
      <c r="P246">
        <v>52</v>
      </c>
    </row>
    <row r="247" spans="1:16" x14ac:dyDescent="0.2">
      <c r="A247">
        <v>246</v>
      </c>
      <c r="B247" s="3">
        <v>40554</v>
      </c>
      <c r="C247">
        <v>1</v>
      </c>
      <c r="D247">
        <v>2011</v>
      </c>
      <c r="E247" t="s">
        <v>10</v>
      </c>
      <c r="F247">
        <v>14</v>
      </c>
      <c r="G247" t="b">
        <v>0</v>
      </c>
      <c r="H247" t="s">
        <v>14</v>
      </c>
      <c r="I247">
        <v>2</v>
      </c>
      <c r="J247">
        <v>0.2</v>
      </c>
      <c r="K247">
        <v>0.2273</v>
      </c>
      <c r="L247">
        <v>0.59</v>
      </c>
      <c r="M247">
        <v>8.9599999999999999E-2</v>
      </c>
      <c r="N247">
        <v>3</v>
      </c>
      <c r="O247">
        <v>60</v>
      </c>
      <c r="P247">
        <v>63</v>
      </c>
    </row>
    <row r="248" spans="1:16" x14ac:dyDescent="0.2">
      <c r="A248">
        <v>247</v>
      </c>
      <c r="B248" s="3">
        <v>40554</v>
      </c>
      <c r="C248">
        <v>1</v>
      </c>
      <c r="D248">
        <v>2011</v>
      </c>
      <c r="E248" t="s">
        <v>10</v>
      </c>
      <c r="F248">
        <v>15</v>
      </c>
      <c r="G248" t="b">
        <v>0</v>
      </c>
      <c r="H248" t="s">
        <v>14</v>
      </c>
      <c r="I248">
        <v>2</v>
      </c>
      <c r="J248">
        <v>0.16</v>
      </c>
      <c r="K248">
        <v>0.19700000000000001</v>
      </c>
      <c r="L248">
        <v>0.8</v>
      </c>
      <c r="M248">
        <v>8.9599999999999999E-2</v>
      </c>
      <c r="N248">
        <v>2</v>
      </c>
      <c r="O248">
        <v>45</v>
      </c>
      <c r="P248">
        <v>47</v>
      </c>
    </row>
    <row r="249" spans="1:16" x14ac:dyDescent="0.2">
      <c r="A249">
        <v>248</v>
      </c>
      <c r="B249" s="3">
        <v>40554</v>
      </c>
      <c r="C249">
        <v>1</v>
      </c>
      <c r="D249">
        <v>2011</v>
      </c>
      <c r="E249" t="s">
        <v>10</v>
      </c>
      <c r="F249">
        <v>16</v>
      </c>
      <c r="G249" t="b">
        <v>0</v>
      </c>
      <c r="H249" t="s">
        <v>14</v>
      </c>
      <c r="I249">
        <v>2</v>
      </c>
      <c r="J249">
        <v>0.16</v>
      </c>
      <c r="K249">
        <v>0.1515</v>
      </c>
      <c r="L249">
        <v>0.86</v>
      </c>
      <c r="M249">
        <v>0.22389999999999999</v>
      </c>
      <c r="N249">
        <v>4</v>
      </c>
      <c r="O249">
        <v>72</v>
      </c>
      <c r="P249">
        <v>76</v>
      </c>
    </row>
    <row r="250" spans="1:16" x14ac:dyDescent="0.2">
      <c r="A250">
        <v>249</v>
      </c>
      <c r="B250" s="3">
        <v>40554</v>
      </c>
      <c r="C250">
        <v>1</v>
      </c>
      <c r="D250">
        <v>2011</v>
      </c>
      <c r="E250" t="s">
        <v>10</v>
      </c>
      <c r="F250">
        <v>17</v>
      </c>
      <c r="G250" t="b">
        <v>0</v>
      </c>
      <c r="H250" t="s">
        <v>14</v>
      </c>
      <c r="I250">
        <v>2</v>
      </c>
      <c r="J250">
        <v>0.16</v>
      </c>
      <c r="K250">
        <v>0.1515</v>
      </c>
      <c r="L250">
        <v>0.86</v>
      </c>
      <c r="M250">
        <v>0.22389999999999999</v>
      </c>
      <c r="N250">
        <v>6</v>
      </c>
      <c r="O250">
        <v>130</v>
      </c>
      <c r="P250">
        <v>136</v>
      </c>
    </row>
    <row r="251" spans="1:16" x14ac:dyDescent="0.2">
      <c r="A251">
        <v>250</v>
      </c>
      <c r="B251" s="3">
        <v>40554</v>
      </c>
      <c r="C251">
        <v>1</v>
      </c>
      <c r="D251">
        <v>2011</v>
      </c>
      <c r="E251" t="s">
        <v>10</v>
      </c>
      <c r="F251">
        <v>18</v>
      </c>
      <c r="G251" t="b">
        <v>0</v>
      </c>
      <c r="H251" t="s">
        <v>14</v>
      </c>
      <c r="I251">
        <v>3</v>
      </c>
      <c r="J251">
        <v>0.16</v>
      </c>
      <c r="K251">
        <v>0.18179999999999999</v>
      </c>
      <c r="L251">
        <v>0.93</v>
      </c>
      <c r="M251">
        <v>0.1045</v>
      </c>
      <c r="N251">
        <v>1</v>
      </c>
      <c r="O251">
        <v>94</v>
      </c>
      <c r="P251">
        <v>95</v>
      </c>
    </row>
    <row r="252" spans="1:16" x14ac:dyDescent="0.2">
      <c r="A252">
        <v>251</v>
      </c>
      <c r="B252" s="3">
        <v>40554</v>
      </c>
      <c r="C252">
        <v>1</v>
      </c>
      <c r="D252">
        <v>2011</v>
      </c>
      <c r="E252" t="s">
        <v>10</v>
      </c>
      <c r="F252">
        <v>19</v>
      </c>
      <c r="G252" t="b">
        <v>0</v>
      </c>
      <c r="H252" t="s">
        <v>14</v>
      </c>
      <c r="I252">
        <v>3</v>
      </c>
      <c r="J252">
        <v>0.16</v>
      </c>
      <c r="K252">
        <v>0.2273</v>
      </c>
      <c r="L252">
        <v>0.93</v>
      </c>
      <c r="M252">
        <v>0</v>
      </c>
      <c r="N252">
        <v>0</v>
      </c>
      <c r="O252">
        <v>51</v>
      </c>
      <c r="P252">
        <v>51</v>
      </c>
    </row>
    <row r="253" spans="1:16" x14ac:dyDescent="0.2">
      <c r="A253">
        <v>252</v>
      </c>
      <c r="B253" s="3">
        <v>40554</v>
      </c>
      <c r="C253">
        <v>1</v>
      </c>
      <c r="D253">
        <v>2011</v>
      </c>
      <c r="E253" t="s">
        <v>10</v>
      </c>
      <c r="F253">
        <v>20</v>
      </c>
      <c r="G253" t="b">
        <v>0</v>
      </c>
      <c r="H253" t="s">
        <v>14</v>
      </c>
      <c r="I253">
        <v>3</v>
      </c>
      <c r="J253">
        <v>0.16</v>
      </c>
      <c r="K253">
        <v>0.1515</v>
      </c>
      <c r="L253">
        <v>0.93</v>
      </c>
      <c r="M253">
        <v>0.19400000000000001</v>
      </c>
      <c r="N253">
        <v>0</v>
      </c>
      <c r="O253">
        <v>32</v>
      </c>
      <c r="P253">
        <v>32</v>
      </c>
    </row>
    <row r="254" spans="1:16" x14ac:dyDescent="0.2">
      <c r="A254">
        <v>253</v>
      </c>
      <c r="B254" s="3">
        <v>40554</v>
      </c>
      <c r="C254">
        <v>1</v>
      </c>
      <c r="D254">
        <v>2011</v>
      </c>
      <c r="E254" t="s">
        <v>10</v>
      </c>
      <c r="F254">
        <v>21</v>
      </c>
      <c r="G254" t="b">
        <v>0</v>
      </c>
      <c r="H254" t="s">
        <v>14</v>
      </c>
      <c r="I254">
        <v>3</v>
      </c>
      <c r="J254">
        <v>0.16</v>
      </c>
      <c r="K254">
        <v>0.19700000000000001</v>
      </c>
      <c r="L254">
        <v>0.86</v>
      </c>
      <c r="M254">
        <v>8.9599999999999999E-2</v>
      </c>
      <c r="N254">
        <v>0</v>
      </c>
      <c r="O254">
        <v>20</v>
      </c>
      <c r="P254">
        <v>20</v>
      </c>
    </row>
    <row r="255" spans="1:16" x14ac:dyDescent="0.2">
      <c r="A255">
        <v>254</v>
      </c>
      <c r="B255" s="3">
        <v>40554</v>
      </c>
      <c r="C255">
        <v>1</v>
      </c>
      <c r="D255">
        <v>2011</v>
      </c>
      <c r="E255" t="s">
        <v>10</v>
      </c>
      <c r="F255">
        <v>22</v>
      </c>
      <c r="G255" t="b">
        <v>0</v>
      </c>
      <c r="H255" t="s">
        <v>14</v>
      </c>
      <c r="I255">
        <v>3</v>
      </c>
      <c r="J255">
        <v>0.16</v>
      </c>
      <c r="K255">
        <v>0.18179999999999999</v>
      </c>
      <c r="L255">
        <v>0.93</v>
      </c>
      <c r="M255">
        <v>0.1045</v>
      </c>
      <c r="N255">
        <v>1</v>
      </c>
      <c r="O255">
        <v>28</v>
      </c>
      <c r="P255">
        <v>29</v>
      </c>
    </row>
    <row r="256" spans="1:16" x14ac:dyDescent="0.2">
      <c r="A256">
        <v>255</v>
      </c>
      <c r="B256" s="3">
        <v>40554</v>
      </c>
      <c r="C256">
        <v>1</v>
      </c>
      <c r="D256">
        <v>2011</v>
      </c>
      <c r="E256" t="s">
        <v>10</v>
      </c>
      <c r="F256">
        <v>23</v>
      </c>
      <c r="G256" t="b">
        <v>0</v>
      </c>
      <c r="H256" t="s">
        <v>14</v>
      </c>
      <c r="I256">
        <v>3</v>
      </c>
      <c r="J256">
        <v>0.16</v>
      </c>
      <c r="K256">
        <v>0.19700000000000001</v>
      </c>
      <c r="L256">
        <v>0.93</v>
      </c>
      <c r="M256">
        <v>8.9599999999999999E-2</v>
      </c>
      <c r="N256">
        <v>1</v>
      </c>
      <c r="O256">
        <v>18</v>
      </c>
      <c r="P256">
        <v>19</v>
      </c>
    </row>
    <row r="257" spans="1:16" x14ac:dyDescent="0.2">
      <c r="A257">
        <v>256</v>
      </c>
      <c r="B257" s="3">
        <v>40555</v>
      </c>
      <c r="C257">
        <v>1</v>
      </c>
      <c r="D257">
        <v>2011</v>
      </c>
      <c r="E257" t="s">
        <v>10</v>
      </c>
      <c r="F257">
        <v>0</v>
      </c>
      <c r="G257" t="b">
        <v>0</v>
      </c>
      <c r="H257" t="s">
        <v>15</v>
      </c>
      <c r="I257">
        <v>2</v>
      </c>
      <c r="J257">
        <v>0.16</v>
      </c>
      <c r="K257">
        <v>0.19700000000000001</v>
      </c>
      <c r="L257">
        <v>0.86</v>
      </c>
      <c r="M257">
        <v>8.9599999999999999E-2</v>
      </c>
      <c r="N257">
        <v>0</v>
      </c>
      <c r="O257">
        <v>7</v>
      </c>
      <c r="P257">
        <v>7</v>
      </c>
    </row>
    <row r="258" spans="1:16" x14ac:dyDescent="0.2">
      <c r="A258">
        <v>257</v>
      </c>
      <c r="B258" s="3">
        <v>40555</v>
      </c>
      <c r="C258">
        <v>1</v>
      </c>
      <c r="D258">
        <v>2011</v>
      </c>
      <c r="E258" t="s">
        <v>10</v>
      </c>
      <c r="F258">
        <v>1</v>
      </c>
      <c r="G258" t="b">
        <v>0</v>
      </c>
      <c r="H258" t="s">
        <v>15</v>
      </c>
      <c r="I258">
        <v>2</v>
      </c>
      <c r="J258">
        <v>0.16</v>
      </c>
      <c r="K258">
        <v>0.18179999999999999</v>
      </c>
      <c r="L258">
        <v>0.86</v>
      </c>
      <c r="M258">
        <v>0.1045</v>
      </c>
      <c r="N258">
        <v>0</v>
      </c>
      <c r="O258">
        <v>6</v>
      </c>
      <c r="P258">
        <v>6</v>
      </c>
    </row>
    <row r="259" spans="1:16" x14ac:dyDescent="0.2">
      <c r="A259">
        <v>258</v>
      </c>
      <c r="B259" s="3">
        <v>40555</v>
      </c>
      <c r="C259">
        <v>1</v>
      </c>
      <c r="D259">
        <v>2011</v>
      </c>
      <c r="E259" t="s">
        <v>10</v>
      </c>
      <c r="F259">
        <v>2</v>
      </c>
      <c r="G259" t="b">
        <v>0</v>
      </c>
      <c r="H259" t="s">
        <v>15</v>
      </c>
      <c r="I259">
        <v>1</v>
      </c>
      <c r="J259">
        <v>0.14000000000000001</v>
      </c>
      <c r="K259">
        <v>0.1515</v>
      </c>
      <c r="L259">
        <v>0.86</v>
      </c>
      <c r="M259">
        <v>0.1343</v>
      </c>
      <c r="N259">
        <v>0</v>
      </c>
      <c r="O259">
        <v>1</v>
      </c>
      <c r="P259">
        <v>1</v>
      </c>
    </row>
    <row r="260" spans="1:16" x14ac:dyDescent="0.2">
      <c r="A260">
        <v>259</v>
      </c>
      <c r="B260" s="3">
        <v>40555</v>
      </c>
      <c r="C260">
        <v>1</v>
      </c>
      <c r="D260">
        <v>2011</v>
      </c>
      <c r="E260" t="s">
        <v>10</v>
      </c>
      <c r="F260">
        <v>5</v>
      </c>
      <c r="G260" t="b">
        <v>0</v>
      </c>
      <c r="H260" t="s">
        <v>15</v>
      </c>
      <c r="I260">
        <v>1</v>
      </c>
      <c r="J260">
        <v>0.14000000000000001</v>
      </c>
      <c r="K260">
        <v>0.1515</v>
      </c>
      <c r="L260">
        <v>0.86</v>
      </c>
      <c r="M260">
        <v>0.16420000000000001</v>
      </c>
      <c r="N260">
        <v>0</v>
      </c>
      <c r="O260">
        <v>5</v>
      </c>
      <c r="P260">
        <v>5</v>
      </c>
    </row>
    <row r="261" spans="1:16" x14ac:dyDescent="0.2">
      <c r="A261">
        <v>260</v>
      </c>
      <c r="B261" s="3">
        <v>40555</v>
      </c>
      <c r="C261">
        <v>1</v>
      </c>
      <c r="D261">
        <v>2011</v>
      </c>
      <c r="E261" t="s">
        <v>10</v>
      </c>
      <c r="F261">
        <v>6</v>
      </c>
      <c r="G261" t="b">
        <v>0</v>
      </c>
      <c r="H261" t="s">
        <v>15</v>
      </c>
      <c r="I261">
        <v>1</v>
      </c>
      <c r="J261">
        <v>0.12</v>
      </c>
      <c r="K261">
        <v>0.1515</v>
      </c>
      <c r="L261">
        <v>0.93</v>
      </c>
      <c r="M261">
        <v>0.1343</v>
      </c>
      <c r="N261">
        <v>0</v>
      </c>
      <c r="O261">
        <v>16</v>
      </c>
      <c r="P261">
        <v>16</v>
      </c>
    </row>
    <row r="262" spans="1:16" x14ac:dyDescent="0.2">
      <c r="A262">
        <v>261</v>
      </c>
      <c r="B262" s="3">
        <v>40555</v>
      </c>
      <c r="C262">
        <v>1</v>
      </c>
      <c r="D262">
        <v>2011</v>
      </c>
      <c r="E262" t="s">
        <v>10</v>
      </c>
      <c r="F262">
        <v>7</v>
      </c>
      <c r="G262" t="b">
        <v>0</v>
      </c>
      <c r="H262" t="s">
        <v>15</v>
      </c>
      <c r="I262">
        <v>1</v>
      </c>
      <c r="J262">
        <v>0.14000000000000001</v>
      </c>
      <c r="K262">
        <v>0.1515</v>
      </c>
      <c r="L262">
        <v>0.69</v>
      </c>
      <c r="M262">
        <v>0.1343</v>
      </c>
      <c r="N262">
        <v>0</v>
      </c>
      <c r="O262">
        <v>54</v>
      </c>
      <c r="P262">
        <v>54</v>
      </c>
    </row>
    <row r="263" spans="1:16" x14ac:dyDescent="0.2">
      <c r="A263">
        <v>262</v>
      </c>
      <c r="B263" s="3">
        <v>40555</v>
      </c>
      <c r="C263">
        <v>1</v>
      </c>
      <c r="D263">
        <v>2011</v>
      </c>
      <c r="E263" t="s">
        <v>10</v>
      </c>
      <c r="F263">
        <v>8</v>
      </c>
      <c r="G263" t="b">
        <v>0</v>
      </c>
      <c r="H263" t="s">
        <v>15</v>
      </c>
      <c r="I263">
        <v>1</v>
      </c>
      <c r="J263">
        <v>0.16</v>
      </c>
      <c r="K263">
        <v>0.16669999999999999</v>
      </c>
      <c r="L263">
        <v>0.59</v>
      </c>
      <c r="M263">
        <v>0.16420000000000001</v>
      </c>
      <c r="N263">
        <v>3</v>
      </c>
      <c r="O263">
        <v>125</v>
      </c>
      <c r="P263">
        <v>128</v>
      </c>
    </row>
    <row r="264" spans="1:16" x14ac:dyDescent="0.2">
      <c r="A264">
        <v>263</v>
      </c>
      <c r="B264" s="3">
        <v>40555</v>
      </c>
      <c r="C264">
        <v>1</v>
      </c>
      <c r="D264">
        <v>2011</v>
      </c>
      <c r="E264" t="s">
        <v>10</v>
      </c>
      <c r="F264">
        <v>9</v>
      </c>
      <c r="G264" t="b">
        <v>0</v>
      </c>
      <c r="H264" t="s">
        <v>15</v>
      </c>
      <c r="I264">
        <v>1</v>
      </c>
      <c r="J264">
        <v>0.16</v>
      </c>
      <c r="K264">
        <v>0.13639999999999999</v>
      </c>
      <c r="L264">
        <v>0.59</v>
      </c>
      <c r="M264">
        <v>0.32840000000000003</v>
      </c>
      <c r="N264">
        <v>3</v>
      </c>
      <c r="O264">
        <v>78</v>
      </c>
      <c r="P264">
        <v>81</v>
      </c>
    </row>
    <row r="265" spans="1:16" x14ac:dyDescent="0.2">
      <c r="A265">
        <v>264</v>
      </c>
      <c r="B265" s="3">
        <v>40555</v>
      </c>
      <c r="C265">
        <v>1</v>
      </c>
      <c r="D265">
        <v>2011</v>
      </c>
      <c r="E265" t="s">
        <v>10</v>
      </c>
      <c r="F265">
        <v>10</v>
      </c>
      <c r="G265" t="b">
        <v>0</v>
      </c>
      <c r="H265" t="s">
        <v>15</v>
      </c>
      <c r="I265">
        <v>1</v>
      </c>
      <c r="J265">
        <v>0.18</v>
      </c>
      <c r="K265">
        <v>0.18179999999999999</v>
      </c>
      <c r="L265">
        <v>0.55000000000000004</v>
      </c>
      <c r="M265">
        <v>0.22389999999999999</v>
      </c>
      <c r="N265">
        <v>0</v>
      </c>
      <c r="O265">
        <v>39</v>
      </c>
      <c r="P265">
        <v>39</v>
      </c>
    </row>
    <row r="266" spans="1:16" x14ac:dyDescent="0.2">
      <c r="A266">
        <v>265</v>
      </c>
      <c r="B266" s="3">
        <v>40555</v>
      </c>
      <c r="C266">
        <v>1</v>
      </c>
      <c r="D266">
        <v>2011</v>
      </c>
      <c r="E266" t="s">
        <v>10</v>
      </c>
      <c r="F266">
        <v>11</v>
      </c>
      <c r="G266" t="b">
        <v>0</v>
      </c>
      <c r="H266" t="s">
        <v>15</v>
      </c>
      <c r="I266">
        <v>1</v>
      </c>
      <c r="J266">
        <v>0.2</v>
      </c>
      <c r="K266">
        <v>0.18179999999999999</v>
      </c>
      <c r="L266">
        <v>0.51</v>
      </c>
      <c r="M266">
        <v>0.3881</v>
      </c>
      <c r="N266">
        <v>3</v>
      </c>
      <c r="O266">
        <v>32</v>
      </c>
      <c r="P266">
        <v>35</v>
      </c>
    </row>
    <row r="267" spans="1:16" x14ac:dyDescent="0.2">
      <c r="A267">
        <v>266</v>
      </c>
      <c r="B267" s="3">
        <v>40555</v>
      </c>
      <c r="C267">
        <v>1</v>
      </c>
      <c r="D267">
        <v>2011</v>
      </c>
      <c r="E267" t="s">
        <v>10</v>
      </c>
      <c r="F267">
        <v>12</v>
      </c>
      <c r="G267" t="b">
        <v>0</v>
      </c>
      <c r="H267" t="s">
        <v>15</v>
      </c>
      <c r="I267">
        <v>1</v>
      </c>
      <c r="J267">
        <v>0.2</v>
      </c>
      <c r="K267">
        <v>0.1515</v>
      </c>
      <c r="L267">
        <v>0.47</v>
      </c>
      <c r="M267">
        <v>0.58209999999999995</v>
      </c>
      <c r="N267">
        <v>3</v>
      </c>
      <c r="O267">
        <v>52</v>
      </c>
      <c r="P267">
        <v>55</v>
      </c>
    </row>
    <row r="268" spans="1:16" x14ac:dyDescent="0.2">
      <c r="A268">
        <v>267</v>
      </c>
      <c r="B268" s="3">
        <v>40555</v>
      </c>
      <c r="C268">
        <v>1</v>
      </c>
      <c r="D268">
        <v>2011</v>
      </c>
      <c r="E268" t="s">
        <v>10</v>
      </c>
      <c r="F268">
        <v>13</v>
      </c>
      <c r="G268" t="b">
        <v>0</v>
      </c>
      <c r="H268" t="s">
        <v>15</v>
      </c>
      <c r="I268">
        <v>1</v>
      </c>
      <c r="J268">
        <v>0.22</v>
      </c>
      <c r="K268">
        <v>0.19700000000000001</v>
      </c>
      <c r="L268">
        <v>0.44</v>
      </c>
      <c r="M268">
        <v>0.35820000000000002</v>
      </c>
      <c r="N268">
        <v>0</v>
      </c>
      <c r="O268">
        <v>49</v>
      </c>
      <c r="P268">
        <v>49</v>
      </c>
    </row>
    <row r="269" spans="1:16" x14ac:dyDescent="0.2">
      <c r="A269">
        <v>268</v>
      </c>
      <c r="B269" s="3">
        <v>40555</v>
      </c>
      <c r="C269">
        <v>1</v>
      </c>
      <c r="D269">
        <v>2011</v>
      </c>
      <c r="E269" t="s">
        <v>10</v>
      </c>
      <c r="F269">
        <v>14</v>
      </c>
      <c r="G269" t="b">
        <v>0</v>
      </c>
      <c r="H269" t="s">
        <v>15</v>
      </c>
      <c r="I269">
        <v>1</v>
      </c>
      <c r="J269">
        <v>0.2</v>
      </c>
      <c r="K269">
        <v>0.18179999999999999</v>
      </c>
      <c r="L269">
        <v>0.47</v>
      </c>
      <c r="M269">
        <v>0.32840000000000003</v>
      </c>
      <c r="N269">
        <v>0</v>
      </c>
      <c r="O269">
        <v>44</v>
      </c>
      <c r="P269">
        <v>44</v>
      </c>
    </row>
    <row r="270" spans="1:16" x14ac:dyDescent="0.2">
      <c r="A270">
        <v>269</v>
      </c>
      <c r="B270" s="3">
        <v>40555</v>
      </c>
      <c r="C270">
        <v>1</v>
      </c>
      <c r="D270">
        <v>2011</v>
      </c>
      <c r="E270" t="s">
        <v>10</v>
      </c>
      <c r="F270">
        <v>15</v>
      </c>
      <c r="G270" t="b">
        <v>0</v>
      </c>
      <c r="H270" t="s">
        <v>15</v>
      </c>
      <c r="I270">
        <v>1</v>
      </c>
      <c r="J270">
        <v>0.2</v>
      </c>
      <c r="K270">
        <v>0.16669999999999999</v>
      </c>
      <c r="L270">
        <v>0.47</v>
      </c>
      <c r="M270">
        <v>0.41789999999999999</v>
      </c>
      <c r="N270">
        <v>1</v>
      </c>
      <c r="O270">
        <v>48</v>
      </c>
      <c r="P270">
        <v>49</v>
      </c>
    </row>
    <row r="271" spans="1:16" x14ac:dyDescent="0.2">
      <c r="A271">
        <v>270</v>
      </c>
      <c r="B271" s="3">
        <v>40555</v>
      </c>
      <c r="C271">
        <v>1</v>
      </c>
      <c r="D271">
        <v>2011</v>
      </c>
      <c r="E271" t="s">
        <v>10</v>
      </c>
      <c r="F271">
        <v>16</v>
      </c>
      <c r="G271" t="b">
        <v>0</v>
      </c>
      <c r="H271" t="s">
        <v>15</v>
      </c>
      <c r="I271">
        <v>1</v>
      </c>
      <c r="J271">
        <v>0.22</v>
      </c>
      <c r="K271">
        <v>0.19700000000000001</v>
      </c>
      <c r="L271">
        <v>0.44</v>
      </c>
      <c r="M271">
        <v>0.32840000000000003</v>
      </c>
      <c r="N271">
        <v>5</v>
      </c>
      <c r="O271">
        <v>63</v>
      </c>
      <c r="P271">
        <v>68</v>
      </c>
    </row>
    <row r="272" spans="1:16" x14ac:dyDescent="0.2">
      <c r="A272">
        <v>271</v>
      </c>
      <c r="B272" s="3">
        <v>40555</v>
      </c>
      <c r="C272">
        <v>1</v>
      </c>
      <c r="D272">
        <v>2011</v>
      </c>
      <c r="E272" t="s">
        <v>10</v>
      </c>
      <c r="F272">
        <v>17</v>
      </c>
      <c r="G272" t="b">
        <v>0</v>
      </c>
      <c r="H272" t="s">
        <v>15</v>
      </c>
      <c r="I272">
        <v>1</v>
      </c>
      <c r="J272">
        <v>0.2</v>
      </c>
      <c r="K272">
        <v>0.18179999999999999</v>
      </c>
      <c r="L272">
        <v>0.47</v>
      </c>
      <c r="M272">
        <v>0.35820000000000002</v>
      </c>
      <c r="N272">
        <v>0</v>
      </c>
      <c r="O272">
        <v>139</v>
      </c>
      <c r="P272">
        <v>139</v>
      </c>
    </row>
    <row r="273" spans="1:16" x14ac:dyDescent="0.2">
      <c r="A273">
        <v>272</v>
      </c>
      <c r="B273" s="3">
        <v>40555</v>
      </c>
      <c r="C273">
        <v>1</v>
      </c>
      <c r="D273">
        <v>2011</v>
      </c>
      <c r="E273" t="s">
        <v>10</v>
      </c>
      <c r="F273">
        <v>18</v>
      </c>
      <c r="G273" t="b">
        <v>0</v>
      </c>
      <c r="H273" t="s">
        <v>15</v>
      </c>
      <c r="I273">
        <v>1</v>
      </c>
      <c r="J273">
        <v>0.2</v>
      </c>
      <c r="K273">
        <v>0.1515</v>
      </c>
      <c r="L273">
        <v>0.47</v>
      </c>
      <c r="M273">
        <v>0.52239999999999998</v>
      </c>
      <c r="N273">
        <v>2</v>
      </c>
      <c r="O273">
        <v>135</v>
      </c>
      <c r="P273">
        <v>137</v>
      </c>
    </row>
    <row r="274" spans="1:16" x14ac:dyDescent="0.2">
      <c r="A274">
        <v>273</v>
      </c>
      <c r="B274" s="3">
        <v>40555</v>
      </c>
      <c r="C274">
        <v>1</v>
      </c>
      <c r="D274">
        <v>2011</v>
      </c>
      <c r="E274" t="s">
        <v>10</v>
      </c>
      <c r="F274">
        <v>19</v>
      </c>
      <c r="G274" t="b">
        <v>0</v>
      </c>
      <c r="H274" t="s">
        <v>15</v>
      </c>
      <c r="I274">
        <v>1</v>
      </c>
      <c r="J274">
        <v>0.18</v>
      </c>
      <c r="K274">
        <v>0.1515</v>
      </c>
      <c r="L274">
        <v>0.47</v>
      </c>
      <c r="M274">
        <v>0.41789999999999999</v>
      </c>
      <c r="N274">
        <v>1</v>
      </c>
      <c r="O274">
        <v>82</v>
      </c>
      <c r="P274">
        <v>83</v>
      </c>
    </row>
    <row r="275" spans="1:16" x14ac:dyDescent="0.2">
      <c r="A275">
        <v>274</v>
      </c>
      <c r="B275" s="3">
        <v>40555</v>
      </c>
      <c r="C275">
        <v>1</v>
      </c>
      <c r="D275">
        <v>2011</v>
      </c>
      <c r="E275" t="s">
        <v>10</v>
      </c>
      <c r="F275">
        <v>20</v>
      </c>
      <c r="G275" t="b">
        <v>0</v>
      </c>
      <c r="H275" t="s">
        <v>15</v>
      </c>
      <c r="I275">
        <v>1</v>
      </c>
      <c r="J275">
        <v>0.16</v>
      </c>
      <c r="K275">
        <v>0.13639999999999999</v>
      </c>
      <c r="L275">
        <v>0.5</v>
      </c>
      <c r="M275">
        <v>0.32840000000000003</v>
      </c>
      <c r="N275">
        <v>2</v>
      </c>
      <c r="O275">
        <v>54</v>
      </c>
      <c r="P275">
        <v>56</v>
      </c>
    </row>
    <row r="276" spans="1:16" x14ac:dyDescent="0.2">
      <c r="A276">
        <v>275</v>
      </c>
      <c r="B276" s="3">
        <v>40555</v>
      </c>
      <c r="C276">
        <v>1</v>
      </c>
      <c r="D276">
        <v>2011</v>
      </c>
      <c r="E276" t="s">
        <v>10</v>
      </c>
      <c r="F276">
        <v>21</v>
      </c>
      <c r="G276" t="b">
        <v>0</v>
      </c>
      <c r="H276" t="s">
        <v>15</v>
      </c>
      <c r="I276">
        <v>1</v>
      </c>
      <c r="J276">
        <v>0.16</v>
      </c>
      <c r="K276">
        <v>0.13639999999999999</v>
      </c>
      <c r="L276">
        <v>0.55000000000000004</v>
      </c>
      <c r="M276">
        <v>0.32840000000000003</v>
      </c>
      <c r="N276">
        <v>0</v>
      </c>
      <c r="O276">
        <v>57</v>
      </c>
      <c r="P276">
        <v>57</v>
      </c>
    </row>
    <row r="277" spans="1:16" x14ac:dyDescent="0.2">
      <c r="A277">
        <v>276</v>
      </c>
      <c r="B277" s="3">
        <v>40555</v>
      </c>
      <c r="C277">
        <v>1</v>
      </c>
      <c r="D277">
        <v>2011</v>
      </c>
      <c r="E277" t="s">
        <v>10</v>
      </c>
      <c r="F277">
        <v>22</v>
      </c>
      <c r="G277" t="b">
        <v>0</v>
      </c>
      <c r="H277" t="s">
        <v>15</v>
      </c>
      <c r="I277">
        <v>1</v>
      </c>
      <c r="J277">
        <v>0.16</v>
      </c>
      <c r="K277">
        <v>0.1212</v>
      </c>
      <c r="L277">
        <v>0.55000000000000004</v>
      </c>
      <c r="M277">
        <v>0.44779999999999998</v>
      </c>
      <c r="N277">
        <v>1</v>
      </c>
      <c r="O277">
        <v>32</v>
      </c>
      <c r="P277">
        <v>33</v>
      </c>
    </row>
    <row r="278" spans="1:16" x14ac:dyDescent="0.2">
      <c r="A278">
        <v>277</v>
      </c>
      <c r="B278" s="3">
        <v>40555</v>
      </c>
      <c r="C278">
        <v>1</v>
      </c>
      <c r="D278">
        <v>2011</v>
      </c>
      <c r="E278" t="s">
        <v>10</v>
      </c>
      <c r="F278">
        <v>23</v>
      </c>
      <c r="G278" t="b">
        <v>0</v>
      </c>
      <c r="H278" t="s">
        <v>15</v>
      </c>
      <c r="I278">
        <v>1</v>
      </c>
      <c r="J278">
        <v>0.14000000000000001</v>
      </c>
      <c r="K278">
        <v>0.1061</v>
      </c>
      <c r="L278">
        <v>0.59</v>
      </c>
      <c r="M278">
        <v>0.41789999999999999</v>
      </c>
      <c r="N278">
        <v>1</v>
      </c>
      <c r="O278">
        <v>19</v>
      </c>
      <c r="P278">
        <v>20</v>
      </c>
    </row>
    <row r="279" spans="1:16" x14ac:dyDescent="0.2">
      <c r="A279">
        <v>278</v>
      </c>
      <c r="B279" s="3">
        <v>40556</v>
      </c>
      <c r="C279">
        <v>1</v>
      </c>
      <c r="D279">
        <v>2011</v>
      </c>
      <c r="E279" t="s">
        <v>10</v>
      </c>
      <c r="F279">
        <v>0</v>
      </c>
      <c r="G279" t="b">
        <v>0</v>
      </c>
      <c r="H279" t="s">
        <v>16</v>
      </c>
      <c r="I279">
        <v>1</v>
      </c>
      <c r="J279">
        <v>0.14000000000000001</v>
      </c>
      <c r="K279">
        <v>0.1212</v>
      </c>
      <c r="L279">
        <v>0.59</v>
      </c>
      <c r="M279">
        <v>0.28360000000000002</v>
      </c>
      <c r="N279">
        <v>1</v>
      </c>
      <c r="O279">
        <v>6</v>
      </c>
      <c r="P279">
        <v>7</v>
      </c>
    </row>
    <row r="280" spans="1:16" x14ac:dyDescent="0.2">
      <c r="A280">
        <v>279</v>
      </c>
      <c r="B280" s="3">
        <v>40556</v>
      </c>
      <c r="C280">
        <v>1</v>
      </c>
      <c r="D280">
        <v>2011</v>
      </c>
      <c r="E280" t="s">
        <v>10</v>
      </c>
      <c r="F280">
        <v>1</v>
      </c>
      <c r="G280" t="b">
        <v>0</v>
      </c>
      <c r="H280" t="s">
        <v>16</v>
      </c>
      <c r="I280">
        <v>1</v>
      </c>
      <c r="J280">
        <v>0.14000000000000001</v>
      </c>
      <c r="K280">
        <v>0.1212</v>
      </c>
      <c r="L280">
        <v>0.5</v>
      </c>
      <c r="M280">
        <v>0.28360000000000002</v>
      </c>
      <c r="N280">
        <v>0</v>
      </c>
      <c r="O280">
        <v>2</v>
      </c>
      <c r="P280">
        <v>2</v>
      </c>
    </row>
    <row r="281" spans="1:16" x14ac:dyDescent="0.2">
      <c r="A281">
        <v>280</v>
      </c>
      <c r="B281" s="3">
        <v>40556</v>
      </c>
      <c r="C281">
        <v>1</v>
      </c>
      <c r="D281">
        <v>2011</v>
      </c>
      <c r="E281" t="s">
        <v>10</v>
      </c>
      <c r="F281">
        <v>2</v>
      </c>
      <c r="G281" t="b">
        <v>0</v>
      </c>
      <c r="H281" t="s">
        <v>16</v>
      </c>
      <c r="I281">
        <v>1</v>
      </c>
      <c r="J281">
        <v>0.14000000000000001</v>
      </c>
      <c r="K281">
        <v>0.1212</v>
      </c>
      <c r="L281">
        <v>0.5</v>
      </c>
      <c r="M281">
        <v>0.35820000000000002</v>
      </c>
      <c r="N281">
        <v>0</v>
      </c>
      <c r="O281">
        <v>2</v>
      </c>
      <c r="P281">
        <v>2</v>
      </c>
    </row>
    <row r="282" spans="1:16" x14ac:dyDescent="0.2">
      <c r="A282">
        <v>281</v>
      </c>
      <c r="B282" s="3">
        <v>40556</v>
      </c>
      <c r="C282">
        <v>1</v>
      </c>
      <c r="D282">
        <v>2011</v>
      </c>
      <c r="E282" t="s">
        <v>10</v>
      </c>
      <c r="F282">
        <v>3</v>
      </c>
      <c r="G282" t="b">
        <v>0</v>
      </c>
      <c r="H282" t="s">
        <v>16</v>
      </c>
      <c r="I282">
        <v>1</v>
      </c>
      <c r="J282">
        <v>0.14000000000000001</v>
      </c>
      <c r="K282">
        <v>0.1212</v>
      </c>
      <c r="L282">
        <v>0.5</v>
      </c>
      <c r="M282">
        <v>0.32840000000000003</v>
      </c>
      <c r="N282">
        <v>0</v>
      </c>
      <c r="O282">
        <v>3</v>
      </c>
      <c r="P282">
        <v>3</v>
      </c>
    </row>
    <row r="283" spans="1:16" x14ac:dyDescent="0.2">
      <c r="A283">
        <v>282</v>
      </c>
      <c r="B283" s="3">
        <v>40556</v>
      </c>
      <c r="C283">
        <v>1</v>
      </c>
      <c r="D283">
        <v>2011</v>
      </c>
      <c r="E283" t="s">
        <v>10</v>
      </c>
      <c r="F283">
        <v>4</v>
      </c>
      <c r="G283" t="b">
        <v>0</v>
      </c>
      <c r="H283" t="s">
        <v>16</v>
      </c>
      <c r="I283">
        <v>1</v>
      </c>
      <c r="J283">
        <v>0.14000000000000001</v>
      </c>
      <c r="K283">
        <v>0.1212</v>
      </c>
      <c r="L283">
        <v>0.5</v>
      </c>
      <c r="M283">
        <v>0.25369999999999998</v>
      </c>
      <c r="N283">
        <v>0</v>
      </c>
      <c r="O283">
        <v>4</v>
      </c>
      <c r="P283">
        <v>4</v>
      </c>
    </row>
    <row r="284" spans="1:16" x14ac:dyDescent="0.2">
      <c r="A284">
        <v>283</v>
      </c>
      <c r="B284" s="3">
        <v>40556</v>
      </c>
      <c r="C284">
        <v>1</v>
      </c>
      <c r="D284">
        <v>2011</v>
      </c>
      <c r="E284" t="s">
        <v>10</v>
      </c>
      <c r="F284">
        <v>5</v>
      </c>
      <c r="G284" t="b">
        <v>0</v>
      </c>
      <c r="H284" t="s">
        <v>16</v>
      </c>
      <c r="I284">
        <v>1</v>
      </c>
      <c r="J284">
        <v>0.14000000000000001</v>
      </c>
      <c r="K284">
        <v>0.1212</v>
      </c>
      <c r="L284">
        <v>0.5</v>
      </c>
      <c r="M284">
        <v>0.29849999999999999</v>
      </c>
      <c r="N284">
        <v>0</v>
      </c>
      <c r="O284">
        <v>3</v>
      </c>
      <c r="P284">
        <v>3</v>
      </c>
    </row>
    <row r="285" spans="1:16" x14ac:dyDescent="0.2">
      <c r="A285">
        <v>284</v>
      </c>
      <c r="B285" s="3">
        <v>40556</v>
      </c>
      <c r="C285">
        <v>1</v>
      </c>
      <c r="D285">
        <v>2011</v>
      </c>
      <c r="E285" t="s">
        <v>10</v>
      </c>
      <c r="F285">
        <v>6</v>
      </c>
      <c r="G285" t="b">
        <v>0</v>
      </c>
      <c r="H285" t="s">
        <v>16</v>
      </c>
      <c r="I285">
        <v>1</v>
      </c>
      <c r="J285">
        <v>0.12</v>
      </c>
      <c r="K285">
        <v>0.1515</v>
      </c>
      <c r="L285">
        <v>0.54</v>
      </c>
      <c r="M285">
        <v>0.1343</v>
      </c>
      <c r="N285">
        <v>0</v>
      </c>
      <c r="O285">
        <v>28</v>
      </c>
      <c r="P285">
        <v>28</v>
      </c>
    </row>
    <row r="286" spans="1:16" x14ac:dyDescent="0.2">
      <c r="A286">
        <v>285</v>
      </c>
      <c r="B286" s="3">
        <v>40556</v>
      </c>
      <c r="C286">
        <v>1</v>
      </c>
      <c r="D286">
        <v>2011</v>
      </c>
      <c r="E286" t="s">
        <v>10</v>
      </c>
      <c r="F286">
        <v>7</v>
      </c>
      <c r="G286" t="b">
        <v>0</v>
      </c>
      <c r="H286" t="s">
        <v>16</v>
      </c>
      <c r="I286">
        <v>1</v>
      </c>
      <c r="J286">
        <v>0.12</v>
      </c>
      <c r="K286">
        <v>0.1515</v>
      </c>
      <c r="L286">
        <v>0.54</v>
      </c>
      <c r="M286">
        <v>0.1343</v>
      </c>
      <c r="N286">
        <v>0</v>
      </c>
      <c r="O286">
        <v>72</v>
      </c>
      <c r="P286">
        <v>72</v>
      </c>
    </row>
    <row r="287" spans="1:16" x14ac:dyDescent="0.2">
      <c r="A287">
        <v>286</v>
      </c>
      <c r="B287" s="3">
        <v>40556</v>
      </c>
      <c r="C287">
        <v>1</v>
      </c>
      <c r="D287">
        <v>2011</v>
      </c>
      <c r="E287" t="s">
        <v>10</v>
      </c>
      <c r="F287">
        <v>8</v>
      </c>
      <c r="G287" t="b">
        <v>0</v>
      </c>
      <c r="H287" t="s">
        <v>16</v>
      </c>
      <c r="I287">
        <v>1</v>
      </c>
      <c r="J287">
        <v>0.14000000000000001</v>
      </c>
      <c r="K287">
        <v>0.13639999999999999</v>
      </c>
      <c r="L287">
        <v>0.5</v>
      </c>
      <c r="M287">
        <v>0.19400000000000001</v>
      </c>
      <c r="N287">
        <v>5</v>
      </c>
      <c r="O287">
        <v>197</v>
      </c>
      <c r="P287">
        <v>202</v>
      </c>
    </row>
    <row r="288" spans="1:16" x14ac:dyDescent="0.2">
      <c r="A288">
        <v>287</v>
      </c>
      <c r="B288" s="3">
        <v>40556</v>
      </c>
      <c r="C288">
        <v>1</v>
      </c>
      <c r="D288">
        <v>2011</v>
      </c>
      <c r="E288" t="s">
        <v>10</v>
      </c>
      <c r="F288">
        <v>9</v>
      </c>
      <c r="G288" t="b">
        <v>0</v>
      </c>
      <c r="H288" t="s">
        <v>16</v>
      </c>
      <c r="I288">
        <v>1</v>
      </c>
      <c r="J288">
        <v>0.14000000000000001</v>
      </c>
      <c r="K288">
        <v>0.1212</v>
      </c>
      <c r="L288">
        <v>0.5</v>
      </c>
      <c r="M288">
        <v>0.32840000000000003</v>
      </c>
      <c r="N288">
        <v>2</v>
      </c>
      <c r="O288">
        <v>137</v>
      </c>
      <c r="P288">
        <v>139</v>
      </c>
    </row>
    <row r="289" spans="1:16" x14ac:dyDescent="0.2">
      <c r="A289">
        <v>288</v>
      </c>
      <c r="B289" s="3">
        <v>40556</v>
      </c>
      <c r="C289">
        <v>1</v>
      </c>
      <c r="D289">
        <v>2011</v>
      </c>
      <c r="E289" t="s">
        <v>10</v>
      </c>
      <c r="F289">
        <v>10</v>
      </c>
      <c r="G289" t="b">
        <v>0</v>
      </c>
      <c r="H289" t="s">
        <v>16</v>
      </c>
      <c r="I289">
        <v>2</v>
      </c>
      <c r="J289">
        <v>0.16</v>
      </c>
      <c r="K289">
        <v>0.13639999999999999</v>
      </c>
      <c r="L289">
        <v>0.5</v>
      </c>
      <c r="M289">
        <v>0.35820000000000002</v>
      </c>
      <c r="N289">
        <v>2</v>
      </c>
      <c r="O289">
        <v>36</v>
      </c>
      <c r="P289">
        <v>38</v>
      </c>
    </row>
    <row r="290" spans="1:16" x14ac:dyDescent="0.2">
      <c r="A290">
        <v>289</v>
      </c>
      <c r="B290" s="3">
        <v>40556</v>
      </c>
      <c r="C290">
        <v>1</v>
      </c>
      <c r="D290">
        <v>2011</v>
      </c>
      <c r="E290" t="s">
        <v>10</v>
      </c>
      <c r="F290">
        <v>11</v>
      </c>
      <c r="G290" t="b">
        <v>0</v>
      </c>
      <c r="H290" t="s">
        <v>16</v>
      </c>
      <c r="I290">
        <v>2</v>
      </c>
      <c r="J290">
        <v>0.2</v>
      </c>
      <c r="K290">
        <v>0.16669999999999999</v>
      </c>
      <c r="L290">
        <v>0.44</v>
      </c>
      <c r="M290">
        <v>0.44779999999999998</v>
      </c>
      <c r="N290">
        <v>4</v>
      </c>
      <c r="O290">
        <v>33</v>
      </c>
      <c r="P290">
        <v>37</v>
      </c>
    </row>
    <row r="291" spans="1:16" x14ac:dyDescent="0.2">
      <c r="A291">
        <v>290</v>
      </c>
      <c r="B291" s="3">
        <v>40556</v>
      </c>
      <c r="C291">
        <v>1</v>
      </c>
      <c r="D291">
        <v>2011</v>
      </c>
      <c r="E291" t="s">
        <v>10</v>
      </c>
      <c r="F291">
        <v>12</v>
      </c>
      <c r="G291" t="b">
        <v>0</v>
      </c>
      <c r="H291" t="s">
        <v>16</v>
      </c>
      <c r="I291">
        <v>1</v>
      </c>
      <c r="J291">
        <v>0.2</v>
      </c>
      <c r="K291">
        <v>0.16669999999999999</v>
      </c>
      <c r="L291">
        <v>0.44</v>
      </c>
      <c r="M291">
        <v>0.41789999999999999</v>
      </c>
      <c r="N291">
        <v>3</v>
      </c>
      <c r="O291">
        <v>49</v>
      </c>
      <c r="P291">
        <v>52</v>
      </c>
    </row>
    <row r="292" spans="1:16" x14ac:dyDescent="0.2">
      <c r="A292">
        <v>291</v>
      </c>
      <c r="B292" s="3">
        <v>40556</v>
      </c>
      <c r="C292">
        <v>1</v>
      </c>
      <c r="D292">
        <v>2011</v>
      </c>
      <c r="E292" t="s">
        <v>10</v>
      </c>
      <c r="F292">
        <v>13</v>
      </c>
      <c r="G292" t="b">
        <v>0</v>
      </c>
      <c r="H292" t="s">
        <v>16</v>
      </c>
      <c r="I292">
        <v>1</v>
      </c>
      <c r="J292">
        <v>0.22</v>
      </c>
      <c r="K292">
        <v>0.19700000000000001</v>
      </c>
      <c r="L292">
        <v>0.41</v>
      </c>
      <c r="M292">
        <v>0.44779999999999998</v>
      </c>
      <c r="N292">
        <v>2</v>
      </c>
      <c r="O292">
        <v>81</v>
      </c>
      <c r="P292">
        <v>83</v>
      </c>
    </row>
    <row r="293" spans="1:16" x14ac:dyDescent="0.2">
      <c r="A293">
        <v>292</v>
      </c>
      <c r="B293" s="3">
        <v>40556</v>
      </c>
      <c r="C293">
        <v>1</v>
      </c>
      <c r="D293">
        <v>2011</v>
      </c>
      <c r="E293" t="s">
        <v>10</v>
      </c>
      <c r="F293">
        <v>14</v>
      </c>
      <c r="G293" t="b">
        <v>0</v>
      </c>
      <c r="H293" t="s">
        <v>16</v>
      </c>
      <c r="I293">
        <v>1</v>
      </c>
      <c r="J293">
        <v>0.22</v>
      </c>
      <c r="K293">
        <v>0.19700000000000001</v>
      </c>
      <c r="L293">
        <v>0.41</v>
      </c>
      <c r="M293">
        <v>0.3881</v>
      </c>
      <c r="N293">
        <v>3</v>
      </c>
      <c r="O293">
        <v>39</v>
      </c>
      <c r="P293">
        <v>42</v>
      </c>
    </row>
    <row r="294" spans="1:16" x14ac:dyDescent="0.2">
      <c r="A294">
        <v>293</v>
      </c>
      <c r="B294" s="3">
        <v>40556</v>
      </c>
      <c r="C294">
        <v>1</v>
      </c>
      <c r="D294">
        <v>2011</v>
      </c>
      <c r="E294" t="s">
        <v>10</v>
      </c>
      <c r="F294">
        <v>15</v>
      </c>
      <c r="G294" t="b">
        <v>0</v>
      </c>
      <c r="H294" t="s">
        <v>16</v>
      </c>
      <c r="I294">
        <v>1</v>
      </c>
      <c r="J294">
        <v>0.24</v>
      </c>
      <c r="K294">
        <v>0.21210000000000001</v>
      </c>
      <c r="L294">
        <v>0.38</v>
      </c>
      <c r="M294">
        <v>0.29849999999999999</v>
      </c>
      <c r="N294">
        <v>5</v>
      </c>
      <c r="O294">
        <v>55</v>
      </c>
      <c r="P294">
        <v>60</v>
      </c>
    </row>
    <row r="295" spans="1:16" x14ac:dyDescent="0.2">
      <c r="A295">
        <v>294</v>
      </c>
      <c r="B295" s="3">
        <v>40556</v>
      </c>
      <c r="C295">
        <v>1</v>
      </c>
      <c r="D295">
        <v>2011</v>
      </c>
      <c r="E295" t="s">
        <v>10</v>
      </c>
      <c r="F295">
        <v>16</v>
      </c>
      <c r="G295" t="b">
        <v>0</v>
      </c>
      <c r="H295" t="s">
        <v>16</v>
      </c>
      <c r="I295">
        <v>1</v>
      </c>
      <c r="J295">
        <v>0.24</v>
      </c>
      <c r="K295">
        <v>0.21210000000000001</v>
      </c>
      <c r="L295">
        <v>0.38</v>
      </c>
      <c r="M295">
        <v>0.35820000000000002</v>
      </c>
      <c r="N295">
        <v>2</v>
      </c>
      <c r="O295">
        <v>76</v>
      </c>
      <c r="P295">
        <v>78</v>
      </c>
    </row>
    <row r="296" spans="1:16" x14ac:dyDescent="0.2">
      <c r="A296">
        <v>295</v>
      </c>
      <c r="B296" s="3">
        <v>40556</v>
      </c>
      <c r="C296">
        <v>1</v>
      </c>
      <c r="D296">
        <v>2011</v>
      </c>
      <c r="E296" t="s">
        <v>10</v>
      </c>
      <c r="F296">
        <v>17</v>
      </c>
      <c r="G296" t="b">
        <v>0</v>
      </c>
      <c r="H296" t="s">
        <v>16</v>
      </c>
      <c r="I296">
        <v>1</v>
      </c>
      <c r="J296">
        <v>0.2</v>
      </c>
      <c r="K296">
        <v>0.18179999999999999</v>
      </c>
      <c r="L296">
        <v>0.4</v>
      </c>
      <c r="M296">
        <v>0.28360000000000002</v>
      </c>
      <c r="N296">
        <v>4</v>
      </c>
      <c r="O296">
        <v>158</v>
      </c>
      <c r="P296">
        <v>162</v>
      </c>
    </row>
    <row r="297" spans="1:16" x14ac:dyDescent="0.2">
      <c r="A297">
        <v>296</v>
      </c>
      <c r="B297" s="3">
        <v>40556</v>
      </c>
      <c r="C297">
        <v>1</v>
      </c>
      <c r="D297">
        <v>2011</v>
      </c>
      <c r="E297" t="s">
        <v>10</v>
      </c>
      <c r="F297">
        <v>18</v>
      </c>
      <c r="G297" t="b">
        <v>0</v>
      </c>
      <c r="H297" t="s">
        <v>16</v>
      </c>
      <c r="I297">
        <v>1</v>
      </c>
      <c r="J297">
        <v>0.2</v>
      </c>
      <c r="K297">
        <v>0.18179999999999999</v>
      </c>
      <c r="L297">
        <v>0.4</v>
      </c>
      <c r="M297">
        <v>0.32840000000000003</v>
      </c>
      <c r="N297">
        <v>3</v>
      </c>
      <c r="O297">
        <v>141</v>
      </c>
      <c r="P297">
        <v>144</v>
      </c>
    </row>
    <row r="298" spans="1:16" x14ac:dyDescent="0.2">
      <c r="A298">
        <v>297</v>
      </c>
      <c r="B298" s="3">
        <v>40556</v>
      </c>
      <c r="C298">
        <v>1</v>
      </c>
      <c r="D298">
        <v>2011</v>
      </c>
      <c r="E298" t="s">
        <v>10</v>
      </c>
      <c r="F298">
        <v>19</v>
      </c>
      <c r="G298" t="b">
        <v>0</v>
      </c>
      <c r="H298" t="s">
        <v>16</v>
      </c>
      <c r="I298">
        <v>1</v>
      </c>
      <c r="J298">
        <v>0.16</v>
      </c>
      <c r="K298">
        <v>0.1515</v>
      </c>
      <c r="L298">
        <v>0.47</v>
      </c>
      <c r="M298">
        <v>0.25369999999999998</v>
      </c>
      <c r="N298">
        <v>1</v>
      </c>
      <c r="O298">
        <v>98</v>
      </c>
      <c r="P298">
        <v>99</v>
      </c>
    </row>
    <row r="299" spans="1:16" x14ac:dyDescent="0.2">
      <c r="A299">
        <v>298</v>
      </c>
      <c r="B299" s="3">
        <v>40556</v>
      </c>
      <c r="C299">
        <v>1</v>
      </c>
      <c r="D299">
        <v>2011</v>
      </c>
      <c r="E299" t="s">
        <v>10</v>
      </c>
      <c r="F299">
        <v>20</v>
      </c>
      <c r="G299" t="b">
        <v>0</v>
      </c>
      <c r="H299" t="s">
        <v>16</v>
      </c>
      <c r="I299">
        <v>1</v>
      </c>
      <c r="J299">
        <v>0.16</v>
      </c>
      <c r="K299">
        <v>0.1515</v>
      </c>
      <c r="L299">
        <v>0.47</v>
      </c>
      <c r="M299">
        <v>0.22389999999999999</v>
      </c>
      <c r="N299">
        <v>0</v>
      </c>
      <c r="O299">
        <v>64</v>
      </c>
      <c r="P299">
        <v>64</v>
      </c>
    </row>
    <row r="300" spans="1:16" x14ac:dyDescent="0.2">
      <c r="A300">
        <v>299</v>
      </c>
      <c r="B300" s="3">
        <v>40556</v>
      </c>
      <c r="C300">
        <v>1</v>
      </c>
      <c r="D300">
        <v>2011</v>
      </c>
      <c r="E300" t="s">
        <v>10</v>
      </c>
      <c r="F300">
        <v>21</v>
      </c>
      <c r="G300" t="b">
        <v>0</v>
      </c>
      <c r="H300" t="s">
        <v>16</v>
      </c>
      <c r="I300">
        <v>1</v>
      </c>
      <c r="J300">
        <v>0.14000000000000001</v>
      </c>
      <c r="K300">
        <v>0.1212</v>
      </c>
      <c r="L300">
        <v>0.46</v>
      </c>
      <c r="M300">
        <v>0.29849999999999999</v>
      </c>
      <c r="N300">
        <v>0</v>
      </c>
      <c r="O300">
        <v>40</v>
      </c>
      <c r="P300">
        <v>40</v>
      </c>
    </row>
    <row r="301" spans="1:16" x14ac:dyDescent="0.2">
      <c r="A301">
        <v>300</v>
      </c>
      <c r="B301" s="3">
        <v>40556</v>
      </c>
      <c r="C301">
        <v>1</v>
      </c>
      <c r="D301">
        <v>2011</v>
      </c>
      <c r="E301" t="s">
        <v>10</v>
      </c>
      <c r="F301">
        <v>22</v>
      </c>
      <c r="G301" t="b">
        <v>0</v>
      </c>
      <c r="H301" t="s">
        <v>16</v>
      </c>
      <c r="I301">
        <v>1</v>
      </c>
      <c r="J301">
        <v>0.14000000000000001</v>
      </c>
      <c r="K301">
        <v>0.1212</v>
      </c>
      <c r="L301">
        <v>0.46</v>
      </c>
      <c r="M301">
        <v>0.32840000000000003</v>
      </c>
      <c r="N301">
        <v>0</v>
      </c>
      <c r="O301">
        <v>30</v>
      </c>
      <c r="P301">
        <v>30</v>
      </c>
    </row>
    <row r="302" spans="1:16" x14ac:dyDescent="0.2">
      <c r="A302">
        <v>301</v>
      </c>
      <c r="B302" s="3">
        <v>40556</v>
      </c>
      <c r="C302">
        <v>1</v>
      </c>
      <c r="D302">
        <v>2011</v>
      </c>
      <c r="E302" t="s">
        <v>10</v>
      </c>
      <c r="F302">
        <v>23</v>
      </c>
      <c r="G302" t="b">
        <v>0</v>
      </c>
      <c r="H302" t="s">
        <v>16</v>
      </c>
      <c r="I302">
        <v>1</v>
      </c>
      <c r="J302">
        <v>0.12</v>
      </c>
      <c r="K302">
        <v>0.13639999999999999</v>
      </c>
      <c r="L302">
        <v>0.5</v>
      </c>
      <c r="M302">
        <v>0.19400000000000001</v>
      </c>
      <c r="N302">
        <v>1</v>
      </c>
      <c r="O302">
        <v>14</v>
      </c>
      <c r="P302">
        <v>15</v>
      </c>
    </row>
    <row r="303" spans="1:16" x14ac:dyDescent="0.2">
      <c r="A303">
        <v>302</v>
      </c>
      <c r="B303" s="3">
        <v>40557</v>
      </c>
      <c r="C303">
        <v>1</v>
      </c>
      <c r="D303">
        <v>2011</v>
      </c>
      <c r="E303" t="s">
        <v>10</v>
      </c>
      <c r="F303">
        <v>0</v>
      </c>
      <c r="G303" t="b">
        <v>0</v>
      </c>
      <c r="H303" t="s">
        <v>17</v>
      </c>
      <c r="I303">
        <v>1</v>
      </c>
      <c r="J303">
        <v>0.12</v>
      </c>
      <c r="K303">
        <v>0.13639999999999999</v>
      </c>
      <c r="L303">
        <v>0.5</v>
      </c>
      <c r="M303">
        <v>0.19400000000000001</v>
      </c>
      <c r="N303">
        <v>0</v>
      </c>
      <c r="O303">
        <v>14</v>
      </c>
      <c r="P303">
        <v>14</v>
      </c>
    </row>
    <row r="304" spans="1:16" x14ac:dyDescent="0.2">
      <c r="A304">
        <v>303</v>
      </c>
      <c r="B304" s="3">
        <v>40557</v>
      </c>
      <c r="C304">
        <v>1</v>
      </c>
      <c r="D304">
        <v>2011</v>
      </c>
      <c r="E304" t="s">
        <v>10</v>
      </c>
      <c r="F304">
        <v>1</v>
      </c>
      <c r="G304" t="b">
        <v>0</v>
      </c>
      <c r="H304" t="s">
        <v>17</v>
      </c>
      <c r="I304">
        <v>1</v>
      </c>
      <c r="J304">
        <v>0.1</v>
      </c>
      <c r="K304">
        <v>0.1212</v>
      </c>
      <c r="L304">
        <v>0.54</v>
      </c>
      <c r="M304">
        <v>0.16420000000000001</v>
      </c>
      <c r="N304">
        <v>0</v>
      </c>
      <c r="O304">
        <v>5</v>
      </c>
      <c r="P304">
        <v>5</v>
      </c>
    </row>
    <row r="305" spans="1:16" x14ac:dyDescent="0.2">
      <c r="A305">
        <v>304</v>
      </c>
      <c r="B305" s="3">
        <v>40557</v>
      </c>
      <c r="C305">
        <v>1</v>
      </c>
      <c r="D305">
        <v>2011</v>
      </c>
      <c r="E305" t="s">
        <v>10</v>
      </c>
      <c r="F305">
        <v>2</v>
      </c>
      <c r="G305" t="b">
        <v>0</v>
      </c>
      <c r="H305" t="s">
        <v>17</v>
      </c>
      <c r="I305">
        <v>1</v>
      </c>
      <c r="J305">
        <v>0.1</v>
      </c>
      <c r="K305">
        <v>0.1212</v>
      </c>
      <c r="L305">
        <v>0.54</v>
      </c>
      <c r="M305">
        <v>0.1343</v>
      </c>
      <c r="N305">
        <v>0</v>
      </c>
      <c r="O305">
        <v>1</v>
      </c>
      <c r="P305">
        <v>1</v>
      </c>
    </row>
    <row r="306" spans="1:16" x14ac:dyDescent="0.2">
      <c r="A306">
        <v>305</v>
      </c>
      <c r="B306" s="3">
        <v>40557</v>
      </c>
      <c r="C306">
        <v>1</v>
      </c>
      <c r="D306">
        <v>2011</v>
      </c>
      <c r="E306" t="s">
        <v>10</v>
      </c>
      <c r="F306">
        <v>3</v>
      </c>
      <c r="G306" t="b">
        <v>0</v>
      </c>
      <c r="H306" t="s">
        <v>17</v>
      </c>
      <c r="I306">
        <v>1</v>
      </c>
      <c r="J306">
        <v>0.1</v>
      </c>
      <c r="K306">
        <v>0.13639999999999999</v>
      </c>
      <c r="L306">
        <v>0.54</v>
      </c>
      <c r="M306">
        <v>0.1045</v>
      </c>
      <c r="N306">
        <v>0</v>
      </c>
      <c r="O306">
        <v>1</v>
      </c>
      <c r="P306">
        <v>1</v>
      </c>
    </row>
    <row r="307" spans="1:16" x14ac:dyDescent="0.2">
      <c r="A307">
        <v>306</v>
      </c>
      <c r="B307" s="3">
        <v>40557</v>
      </c>
      <c r="C307">
        <v>1</v>
      </c>
      <c r="D307">
        <v>2011</v>
      </c>
      <c r="E307" t="s">
        <v>10</v>
      </c>
      <c r="F307">
        <v>5</v>
      </c>
      <c r="G307" t="b">
        <v>0</v>
      </c>
      <c r="H307" t="s">
        <v>17</v>
      </c>
      <c r="I307">
        <v>1</v>
      </c>
      <c r="J307">
        <v>0.1</v>
      </c>
      <c r="K307">
        <v>0.13639999999999999</v>
      </c>
      <c r="L307">
        <v>0.54</v>
      </c>
      <c r="M307">
        <v>8.9599999999999999E-2</v>
      </c>
      <c r="N307">
        <v>0</v>
      </c>
      <c r="O307">
        <v>8</v>
      </c>
      <c r="P307">
        <v>8</v>
      </c>
    </row>
    <row r="308" spans="1:16" x14ac:dyDescent="0.2">
      <c r="A308">
        <v>307</v>
      </c>
      <c r="B308" s="3">
        <v>40557</v>
      </c>
      <c r="C308">
        <v>1</v>
      </c>
      <c r="D308">
        <v>2011</v>
      </c>
      <c r="E308" t="s">
        <v>10</v>
      </c>
      <c r="F308">
        <v>6</v>
      </c>
      <c r="G308" t="b">
        <v>0</v>
      </c>
      <c r="H308" t="s">
        <v>17</v>
      </c>
      <c r="I308">
        <v>1</v>
      </c>
      <c r="J308">
        <v>0.1</v>
      </c>
      <c r="K308">
        <v>0.18179999999999999</v>
      </c>
      <c r="L308">
        <v>0.54</v>
      </c>
      <c r="M308">
        <v>0</v>
      </c>
      <c r="N308">
        <v>0</v>
      </c>
      <c r="O308">
        <v>17</v>
      </c>
      <c r="P308">
        <v>17</v>
      </c>
    </row>
    <row r="309" spans="1:16" x14ac:dyDescent="0.2">
      <c r="A309">
        <v>308</v>
      </c>
      <c r="B309" s="3">
        <v>40557</v>
      </c>
      <c r="C309">
        <v>1</v>
      </c>
      <c r="D309">
        <v>2011</v>
      </c>
      <c r="E309" t="s">
        <v>10</v>
      </c>
      <c r="F309">
        <v>7</v>
      </c>
      <c r="G309" t="b">
        <v>0</v>
      </c>
      <c r="H309" t="s">
        <v>17</v>
      </c>
      <c r="I309">
        <v>1</v>
      </c>
      <c r="J309">
        <v>0.1</v>
      </c>
      <c r="K309">
        <v>0.1212</v>
      </c>
      <c r="L309">
        <v>0.74</v>
      </c>
      <c r="M309">
        <v>0.16420000000000001</v>
      </c>
      <c r="N309">
        <v>0</v>
      </c>
      <c r="O309">
        <v>70</v>
      </c>
      <c r="P309">
        <v>70</v>
      </c>
    </row>
    <row r="310" spans="1:16" x14ac:dyDescent="0.2">
      <c r="A310">
        <v>309</v>
      </c>
      <c r="B310" s="3">
        <v>40557</v>
      </c>
      <c r="C310">
        <v>1</v>
      </c>
      <c r="D310">
        <v>2011</v>
      </c>
      <c r="E310" t="s">
        <v>10</v>
      </c>
      <c r="F310">
        <v>8</v>
      </c>
      <c r="G310" t="b">
        <v>0</v>
      </c>
      <c r="H310" t="s">
        <v>17</v>
      </c>
      <c r="I310">
        <v>1</v>
      </c>
      <c r="J310">
        <v>0.12</v>
      </c>
      <c r="K310">
        <v>0.16669999999999999</v>
      </c>
      <c r="L310">
        <v>0.68</v>
      </c>
      <c r="M310">
        <v>0</v>
      </c>
      <c r="N310">
        <v>2</v>
      </c>
      <c r="O310">
        <v>156</v>
      </c>
      <c r="P310">
        <v>158</v>
      </c>
    </row>
    <row r="311" spans="1:16" x14ac:dyDescent="0.2">
      <c r="A311">
        <v>310</v>
      </c>
      <c r="B311" s="3">
        <v>40557</v>
      </c>
      <c r="C311">
        <v>1</v>
      </c>
      <c r="D311">
        <v>2011</v>
      </c>
      <c r="E311" t="s">
        <v>10</v>
      </c>
      <c r="F311">
        <v>9</v>
      </c>
      <c r="G311" t="b">
        <v>0</v>
      </c>
      <c r="H311" t="s">
        <v>17</v>
      </c>
      <c r="I311">
        <v>1</v>
      </c>
      <c r="J311">
        <v>0.14000000000000001</v>
      </c>
      <c r="K311">
        <v>0.1515</v>
      </c>
      <c r="L311">
        <v>0.69</v>
      </c>
      <c r="M311">
        <v>0.1343</v>
      </c>
      <c r="N311">
        <v>0</v>
      </c>
      <c r="O311">
        <v>117</v>
      </c>
      <c r="P311">
        <v>117</v>
      </c>
    </row>
    <row r="312" spans="1:16" x14ac:dyDescent="0.2">
      <c r="A312">
        <v>311</v>
      </c>
      <c r="B312" s="3">
        <v>40557</v>
      </c>
      <c r="C312">
        <v>1</v>
      </c>
      <c r="D312">
        <v>2011</v>
      </c>
      <c r="E312" t="s">
        <v>10</v>
      </c>
      <c r="F312">
        <v>10</v>
      </c>
      <c r="G312" t="b">
        <v>0</v>
      </c>
      <c r="H312" t="s">
        <v>17</v>
      </c>
      <c r="I312">
        <v>1</v>
      </c>
      <c r="J312">
        <v>0.18</v>
      </c>
      <c r="K312">
        <v>0.18179999999999999</v>
      </c>
      <c r="L312">
        <v>0.55000000000000004</v>
      </c>
      <c r="M312">
        <v>0.19400000000000001</v>
      </c>
      <c r="N312">
        <v>4</v>
      </c>
      <c r="O312">
        <v>40</v>
      </c>
      <c r="P312">
        <v>44</v>
      </c>
    </row>
    <row r="313" spans="1:16" x14ac:dyDescent="0.2">
      <c r="A313">
        <v>312</v>
      </c>
      <c r="B313" s="3">
        <v>40557</v>
      </c>
      <c r="C313">
        <v>1</v>
      </c>
      <c r="D313">
        <v>2011</v>
      </c>
      <c r="E313" t="s">
        <v>10</v>
      </c>
      <c r="F313">
        <v>11</v>
      </c>
      <c r="G313" t="b">
        <v>0</v>
      </c>
      <c r="H313" t="s">
        <v>17</v>
      </c>
      <c r="I313">
        <v>1</v>
      </c>
      <c r="J313">
        <v>0.18</v>
      </c>
      <c r="K313">
        <v>0.16669999999999999</v>
      </c>
      <c r="L313">
        <v>0.51</v>
      </c>
      <c r="M313">
        <v>0.28360000000000002</v>
      </c>
      <c r="N313">
        <v>6</v>
      </c>
      <c r="O313">
        <v>47</v>
      </c>
      <c r="P313">
        <v>53</v>
      </c>
    </row>
    <row r="314" spans="1:16" x14ac:dyDescent="0.2">
      <c r="A314">
        <v>313</v>
      </c>
      <c r="B314" s="3">
        <v>40557</v>
      </c>
      <c r="C314">
        <v>1</v>
      </c>
      <c r="D314">
        <v>2011</v>
      </c>
      <c r="E314" t="s">
        <v>10</v>
      </c>
      <c r="F314">
        <v>12</v>
      </c>
      <c r="G314" t="b">
        <v>0</v>
      </c>
      <c r="H314" t="s">
        <v>17</v>
      </c>
      <c r="I314">
        <v>1</v>
      </c>
      <c r="J314">
        <v>0.2</v>
      </c>
      <c r="K314">
        <v>0.19700000000000001</v>
      </c>
      <c r="L314">
        <v>0.44</v>
      </c>
      <c r="M314">
        <v>0.25369999999999998</v>
      </c>
      <c r="N314">
        <v>2</v>
      </c>
      <c r="O314">
        <v>59</v>
      </c>
      <c r="P314">
        <v>61</v>
      </c>
    </row>
    <row r="315" spans="1:16" x14ac:dyDescent="0.2">
      <c r="A315">
        <v>314</v>
      </c>
      <c r="B315" s="3">
        <v>40557</v>
      </c>
      <c r="C315">
        <v>1</v>
      </c>
      <c r="D315">
        <v>2011</v>
      </c>
      <c r="E315" t="s">
        <v>10</v>
      </c>
      <c r="F315">
        <v>13</v>
      </c>
      <c r="G315" t="b">
        <v>0</v>
      </c>
      <c r="H315" t="s">
        <v>17</v>
      </c>
      <c r="I315">
        <v>1</v>
      </c>
      <c r="J315">
        <v>0.22</v>
      </c>
      <c r="K315">
        <v>0.19700000000000001</v>
      </c>
      <c r="L315">
        <v>0.37</v>
      </c>
      <c r="M315">
        <v>0.3881</v>
      </c>
      <c r="N315">
        <v>4</v>
      </c>
      <c r="O315">
        <v>73</v>
      </c>
      <c r="P315">
        <v>77</v>
      </c>
    </row>
    <row r="316" spans="1:16" x14ac:dyDescent="0.2">
      <c r="A316">
        <v>315</v>
      </c>
      <c r="B316" s="3">
        <v>40557</v>
      </c>
      <c r="C316">
        <v>1</v>
      </c>
      <c r="D316">
        <v>2011</v>
      </c>
      <c r="E316" t="s">
        <v>10</v>
      </c>
      <c r="F316">
        <v>14</v>
      </c>
      <c r="G316" t="b">
        <v>0</v>
      </c>
      <c r="H316" t="s">
        <v>17</v>
      </c>
      <c r="I316">
        <v>1</v>
      </c>
      <c r="J316">
        <v>0.22</v>
      </c>
      <c r="K316">
        <v>0.21210000000000001</v>
      </c>
      <c r="L316">
        <v>0.41</v>
      </c>
      <c r="M316">
        <v>0.28360000000000002</v>
      </c>
      <c r="N316">
        <v>5</v>
      </c>
      <c r="O316">
        <v>59</v>
      </c>
      <c r="P316">
        <v>64</v>
      </c>
    </row>
    <row r="317" spans="1:16" x14ac:dyDescent="0.2">
      <c r="A317">
        <v>316</v>
      </c>
      <c r="B317" s="3">
        <v>40557</v>
      </c>
      <c r="C317">
        <v>1</v>
      </c>
      <c r="D317">
        <v>2011</v>
      </c>
      <c r="E317" t="s">
        <v>10</v>
      </c>
      <c r="F317">
        <v>15</v>
      </c>
      <c r="G317" t="b">
        <v>0</v>
      </c>
      <c r="H317" t="s">
        <v>17</v>
      </c>
      <c r="I317">
        <v>1</v>
      </c>
      <c r="J317">
        <v>0.24</v>
      </c>
      <c r="K317">
        <v>0.2424</v>
      </c>
      <c r="L317">
        <v>0.38</v>
      </c>
      <c r="M317">
        <v>0.16420000000000001</v>
      </c>
      <c r="N317">
        <v>9</v>
      </c>
      <c r="O317">
        <v>59</v>
      </c>
      <c r="P317">
        <v>68</v>
      </c>
    </row>
    <row r="318" spans="1:16" x14ac:dyDescent="0.2">
      <c r="A318">
        <v>317</v>
      </c>
      <c r="B318" s="3">
        <v>40557</v>
      </c>
      <c r="C318">
        <v>1</v>
      </c>
      <c r="D318">
        <v>2011</v>
      </c>
      <c r="E318" t="s">
        <v>10</v>
      </c>
      <c r="F318">
        <v>16</v>
      </c>
      <c r="G318" t="b">
        <v>0</v>
      </c>
      <c r="H318" t="s">
        <v>17</v>
      </c>
      <c r="I318">
        <v>1</v>
      </c>
      <c r="J318">
        <v>0.22</v>
      </c>
      <c r="K318">
        <v>0.2424</v>
      </c>
      <c r="L318">
        <v>0.41</v>
      </c>
      <c r="M318">
        <v>0.1045</v>
      </c>
      <c r="N318">
        <v>3</v>
      </c>
      <c r="O318">
        <v>87</v>
      </c>
      <c r="P318">
        <v>90</v>
      </c>
    </row>
    <row r="319" spans="1:16" x14ac:dyDescent="0.2">
      <c r="A319">
        <v>318</v>
      </c>
      <c r="B319" s="3">
        <v>40557</v>
      </c>
      <c r="C319">
        <v>1</v>
      </c>
      <c r="D319">
        <v>2011</v>
      </c>
      <c r="E319" t="s">
        <v>10</v>
      </c>
      <c r="F319">
        <v>17</v>
      </c>
      <c r="G319" t="b">
        <v>0</v>
      </c>
      <c r="H319" t="s">
        <v>17</v>
      </c>
      <c r="I319">
        <v>1</v>
      </c>
      <c r="J319">
        <v>0.22</v>
      </c>
      <c r="K319">
        <v>0.2273</v>
      </c>
      <c r="L319">
        <v>0.41</v>
      </c>
      <c r="M319">
        <v>0.16420000000000001</v>
      </c>
      <c r="N319">
        <v>4</v>
      </c>
      <c r="O319">
        <v>155</v>
      </c>
      <c r="P319">
        <v>159</v>
      </c>
    </row>
    <row r="320" spans="1:16" x14ac:dyDescent="0.2">
      <c r="A320">
        <v>319</v>
      </c>
      <c r="B320" s="3">
        <v>40557</v>
      </c>
      <c r="C320">
        <v>1</v>
      </c>
      <c r="D320">
        <v>2011</v>
      </c>
      <c r="E320" t="s">
        <v>10</v>
      </c>
      <c r="F320">
        <v>18</v>
      </c>
      <c r="G320" t="b">
        <v>0</v>
      </c>
      <c r="H320" t="s">
        <v>17</v>
      </c>
      <c r="I320">
        <v>1</v>
      </c>
      <c r="J320">
        <v>0.2</v>
      </c>
      <c r="K320">
        <v>0.2576</v>
      </c>
      <c r="L320">
        <v>0.47</v>
      </c>
      <c r="M320">
        <v>0</v>
      </c>
      <c r="N320">
        <v>5</v>
      </c>
      <c r="O320">
        <v>134</v>
      </c>
      <c r="P320">
        <v>139</v>
      </c>
    </row>
    <row r="321" spans="1:16" x14ac:dyDescent="0.2">
      <c r="A321">
        <v>320</v>
      </c>
      <c r="B321" s="3">
        <v>40557</v>
      </c>
      <c r="C321">
        <v>1</v>
      </c>
      <c r="D321">
        <v>2011</v>
      </c>
      <c r="E321" t="s">
        <v>10</v>
      </c>
      <c r="F321">
        <v>19</v>
      </c>
      <c r="G321" t="b">
        <v>0</v>
      </c>
      <c r="H321" t="s">
        <v>17</v>
      </c>
      <c r="I321">
        <v>1</v>
      </c>
      <c r="J321">
        <v>0.16</v>
      </c>
      <c r="K321">
        <v>0.19700000000000001</v>
      </c>
      <c r="L321">
        <v>0.59</v>
      </c>
      <c r="M321">
        <v>8.9599999999999999E-2</v>
      </c>
      <c r="N321">
        <v>3</v>
      </c>
      <c r="O321">
        <v>89</v>
      </c>
      <c r="P321">
        <v>92</v>
      </c>
    </row>
    <row r="322" spans="1:16" x14ac:dyDescent="0.2">
      <c r="A322">
        <v>321</v>
      </c>
      <c r="B322" s="3">
        <v>40557</v>
      </c>
      <c r="C322">
        <v>1</v>
      </c>
      <c r="D322">
        <v>2011</v>
      </c>
      <c r="E322" t="s">
        <v>10</v>
      </c>
      <c r="F322">
        <v>20</v>
      </c>
      <c r="G322" t="b">
        <v>0</v>
      </c>
      <c r="H322" t="s">
        <v>17</v>
      </c>
      <c r="I322">
        <v>1</v>
      </c>
      <c r="J322">
        <v>0.18</v>
      </c>
      <c r="K322">
        <v>0.2424</v>
      </c>
      <c r="L322">
        <v>0.59</v>
      </c>
      <c r="M322">
        <v>0</v>
      </c>
      <c r="N322">
        <v>0</v>
      </c>
      <c r="O322">
        <v>68</v>
      </c>
      <c r="P322">
        <v>68</v>
      </c>
    </row>
    <row r="323" spans="1:16" x14ac:dyDescent="0.2">
      <c r="A323">
        <v>322</v>
      </c>
      <c r="B323" s="3">
        <v>40557</v>
      </c>
      <c r="C323">
        <v>1</v>
      </c>
      <c r="D323">
        <v>2011</v>
      </c>
      <c r="E323" t="s">
        <v>10</v>
      </c>
      <c r="F323">
        <v>21</v>
      </c>
      <c r="G323" t="b">
        <v>0</v>
      </c>
      <c r="H323" t="s">
        <v>17</v>
      </c>
      <c r="I323">
        <v>1</v>
      </c>
      <c r="J323">
        <v>0.16</v>
      </c>
      <c r="K323">
        <v>0.2273</v>
      </c>
      <c r="L323">
        <v>0.69</v>
      </c>
      <c r="M323">
        <v>0</v>
      </c>
      <c r="N323">
        <v>4</v>
      </c>
      <c r="O323">
        <v>48</v>
      </c>
      <c r="P323">
        <v>52</v>
      </c>
    </row>
    <row r="324" spans="1:16" x14ac:dyDescent="0.2">
      <c r="A324">
        <v>323</v>
      </c>
      <c r="B324" s="3">
        <v>40557</v>
      </c>
      <c r="C324">
        <v>1</v>
      </c>
      <c r="D324">
        <v>2011</v>
      </c>
      <c r="E324" t="s">
        <v>10</v>
      </c>
      <c r="F324">
        <v>22</v>
      </c>
      <c r="G324" t="b">
        <v>0</v>
      </c>
      <c r="H324" t="s">
        <v>17</v>
      </c>
      <c r="I324">
        <v>2</v>
      </c>
      <c r="J324">
        <v>0.16</v>
      </c>
      <c r="K324">
        <v>0.2273</v>
      </c>
      <c r="L324">
        <v>0.69</v>
      </c>
      <c r="M324">
        <v>0</v>
      </c>
      <c r="N324">
        <v>2</v>
      </c>
      <c r="O324">
        <v>34</v>
      </c>
      <c r="P324">
        <v>36</v>
      </c>
    </row>
    <row r="325" spans="1:16" x14ac:dyDescent="0.2">
      <c r="A325">
        <v>324</v>
      </c>
      <c r="B325" s="3">
        <v>40557</v>
      </c>
      <c r="C325">
        <v>1</v>
      </c>
      <c r="D325">
        <v>2011</v>
      </c>
      <c r="E325" t="s">
        <v>10</v>
      </c>
      <c r="F325">
        <v>23</v>
      </c>
      <c r="G325" t="b">
        <v>0</v>
      </c>
      <c r="H325" t="s">
        <v>17</v>
      </c>
      <c r="I325">
        <v>2</v>
      </c>
      <c r="J325">
        <v>0.18</v>
      </c>
      <c r="K325">
        <v>0.2424</v>
      </c>
      <c r="L325">
        <v>0.55000000000000004</v>
      </c>
      <c r="M325">
        <v>0</v>
      </c>
      <c r="N325">
        <v>1</v>
      </c>
      <c r="O325">
        <v>26</v>
      </c>
      <c r="P325">
        <v>27</v>
      </c>
    </row>
    <row r="326" spans="1:16" x14ac:dyDescent="0.2">
      <c r="A326">
        <v>325</v>
      </c>
      <c r="B326" s="3">
        <v>40558</v>
      </c>
      <c r="C326">
        <v>1</v>
      </c>
      <c r="D326">
        <v>2011</v>
      </c>
      <c r="E326" t="s">
        <v>10</v>
      </c>
      <c r="F326">
        <v>0</v>
      </c>
      <c r="G326" t="b">
        <v>0</v>
      </c>
      <c r="H326" t="s">
        <v>11</v>
      </c>
      <c r="I326">
        <v>1</v>
      </c>
      <c r="J326">
        <v>0.18</v>
      </c>
      <c r="K326">
        <v>0.2424</v>
      </c>
      <c r="L326">
        <v>0.55000000000000004</v>
      </c>
      <c r="M326">
        <v>0</v>
      </c>
      <c r="N326">
        <v>3</v>
      </c>
      <c r="O326">
        <v>25</v>
      </c>
      <c r="P326">
        <v>28</v>
      </c>
    </row>
    <row r="327" spans="1:16" x14ac:dyDescent="0.2">
      <c r="A327">
        <v>326</v>
      </c>
      <c r="B327" s="3">
        <v>40558</v>
      </c>
      <c r="C327">
        <v>1</v>
      </c>
      <c r="D327">
        <v>2011</v>
      </c>
      <c r="E327" t="s">
        <v>10</v>
      </c>
      <c r="F327">
        <v>1</v>
      </c>
      <c r="G327" t="b">
        <v>0</v>
      </c>
      <c r="H327" t="s">
        <v>11</v>
      </c>
      <c r="I327">
        <v>2</v>
      </c>
      <c r="J327">
        <v>0.16</v>
      </c>
      <c r="K327">
        <v>0.19700000000000001</v>
      </c>
      <c r="L327">
        <v>0.59</v>
      </c>
      <c r="M327">
        <v>8.9599999999999999E-2</v>
      </c>
      <c r="N327">
        <v>2</v>
      </c>
      <c r="O327">
        <v>18</v>
      </c>
      <c r="P327">
        <v>20</v>
      </c>
    </row>
    <row r="328" spans="1:16" x14ac:dyDescent="0.2">
      <c r="A328">
        <v>327</v>
      </c>
      <c r="B328" s="3">
        <v>40558</v>
      </c>
      <c r="C328">
        <v>1</v>
      </c>
      <c r="D328">
        <v>2011</v>
      </c>
      <c r="E328" t="s">
        <v>10</v>
      </c>
      <c r="F328">
        <v>2</v>
      </c>
      <c r="G328" t="b">
        <v>0</v>
      </c>
      <c r="H328" t="s">
        <v>11</v>
      </c>
      <c r="I328">
        <v>2</v>
      </c>
      <c r="J328">
        <v>0.16</v>
      </c>
      <c r="K328">
        <v>0.19700000000000001</v>
      </c>
      <c r="L328">
        <v>0.59</v>
      </c>
      <c r="M328">
        <v>8.9599999999999999E-2</v>
      </c>
      <c r="N328">
        <v>0</v>
      </c>
      <c r="O328">
        <v>12</v>
      </c>
      <c r="P328">
        <v>12</v>
      </c>
    </row>
    <row r="329" spans="1:16" x14ac:dyDescent="0.2">
      <c r="A329">
        <v>328</v>
      </c>
      <c r="B329" s="3">
        <v>40558</v>
      </c>
      <c r="C329">
        <v>1</v>
      </c>
      <c r="D329">
        <v>2011</v>
      </c>
      <c r="E329" t="s">
        <v>10</v>
      </c>
      <c r="F329">
        <v>3</v>
      </c>
      <c r="G329" t="b">
        <v>0</v>
      </c>
      <c r="H329" t="s">
        <v>11</v>
      </c>
      <c r="I329">
        <v>2</v>
      </c>
      <c r="J329">
        <v>0.16</v>
      </c>
      <c r="K329">
        <v>0.2273</v>
      </c>
      <c r="L329">
        <v>0.59</v>
      </c>
      <c r="M329">
        <v>0</v>
      </c>
      <c r="N329">
        <v>1</v>
      </c>
      <c r="O329">
        <v>7</v>
      </c>
      <c r="P329">
        <v>8</v>
      </c>
    </row>
    <row r="330" spans="1:16" x14ac:dyDescent="0.2">
      <c r="A330">
        <v>329</v>
      </c>
      <c r="B330" s="3">
        <v>40558</v>
      </c>
      <c r="C330">
        <v>1</v>
      </c>
      <c r="D330">
        <v>2011</v>
      </c>
      <c r="E330" t="s">
        <v>10</v>
      </c>
      <c r="F330">
        <v>4</v>
      </c>
      <c r="G330" t="b">
        <v>0</v>
      </c>
      <c r="H330" t="s">
        <v>11</v>
      </c>
      <c r="I330">
        <v>2</v>
      </c>
      <c r="J330">
        <v>0.16</v>
      </c>
      <c r="K330">
        <v>0.2273</v>
      </c>
      <c r="L330">
        <v>0.59</v>
      </c>
      <c r="M330">
        <v>0</v>
      </c>
      <c r="N330">
        <v>0</v>
      </c>
      <c r="O330">
        <v>5</v>
      </c>
      <c r="P330">
        <v>5</v>
      </c>
    </row>
    <row r="331" spans="1:16" x14ac:dyDescent="0.2">
      <c r="A331">
        <v>330</v>
      </c>
      <c r="B331" s="3">
        <v>40558</v>
      </c>
      <c r="C331">
        <v>1</v>
      </c>
      <c r="D331">
        <v>2011</v>
      </c>
      <c r="E331" t="s">
        <v>10</v>
      </c>
      <c r="F331">
        <v>5</v>
      </c>
      <c r="G331" t="b">
        <v>0</v>
      </c>
      <c r="H331" t="s">
        <v>11</v>
      </c>
      <c r="I331">
        <v>1</v>
      </c>
      <c r="J331">
        <v>0.16</v>
      </c>
      <c r="K331">
        <v>0.2273</v>
      </c>
      <c r="L331">
        <v>0.59</v>
      </c>
      <c r="M331">
        <v>0</v>
      </c>
      <c r="N331">
        <v>0</v>
      </c>
      <c r="O331">
        <v>1</v>
      </c>
      <c r="P331">
        <v>1</v>
      </c>
    </row>
    <row r="332" spans="1:16" x14ac:dyDescent="0.2">
      <c r="A332">
        <v>331</v>
      </c>
      <c r="B332" s="3">
        <v>40558</v>
      </c>
      <c r="C332">
        <v>1</v>
      </c>
      <c r="D332">
        <v>2011</v>
      </c>
      <c r="E332" t="s">
        <v>10</v>
      </c>
      <c r="F332">
        <v>6</v>
      </c>
      <c r="G332" t="b">
        <v>0</v>
      </c>
      <c r="H332" t="s">
        <v>11</v>
      </c>
      <c r="I332">
        <v>1</v>
      </c>
      <c r="J332">
        <v>0.14000000000000001</v>
      </c>
      <c r="K332">
        <v>0.16669999999999999</v>
      </c>
      <c r="L332">
        <v>0.63</v>
      </c>
      <c r="M332">
        <v>0.1045</v>
      </c>
      <c r="N332">
        <v>1</v>
      </c>
      <c r="O332">
        <v>2</v>
      </c>
      <c r="P332">
        <v>3</v>
      </c>
    </row>
    <row r="333" spans="1:16" x14ac:dyDescent="0.2">
      <c r="A333">
        <v>332</v>
      </c>
      <c r="B333" s="3">
        <v>40558</v>
      </c>
      <c r="C333">
        <v>1</v>
      </c>
      <c r="D333">
        <v>2011</v>
      </c>
      <c r="E333" t="s">
        <v>10</v>
      </c>
      <c r="F333">
        <v>7</v>
      </c>
      <c r="G333" t="b">
        <v>0</v>
      </c>
      <c r="H333" t="s">
        <v>11</v>
      </c>
      <c r="I333">
        <v>1</v>
      </c>
      <c r="J333">
        <v>0.14000000000000001</v>
      </c>
      <c r="K333">
        <v>0.21210000000000001</v>
      </c>
      <c r="L333">
        <v>0.63</v>
      </c>
      <c r="M333">
        <v>0</v>
      </c>
      <c r="N333">
        <v>1</v>
      </c>
      <c r="O333">
        <v>9</v>
      </c>
      <c r="P333">
        <v>10</v>
      </c>
    </row>
    <row r="334" spans="1:16" x14ac:dyDescent="0.2">
      <c r="A334">
        <v>333</v>
      </c>
      <c r="B334" s="3">
        <v>40558</v>
      </c>
      <c r="C334">
        <v>1</v>
      </c>
      <c r="D334">
        <v>2011</v>
      </c>
      <c r="E334" t="s">
        <v>10</v>
      </c>
      <c r="F334">
        <v>8</v>
      </c>
      <c r="G334" t="b">
        <v>0</v>
      </c>
      <c r="H334" t="s">
        <v>11</v>
      </c>
      <c r="I334">
        <v>1</v>
      </c>
      <c r="J334">
        <v>0.14000000000000001</v>
      </c>
      <c r="K334">
        <v>0.1515</v>
      </c>
      <c r="L334">
        <v>0.63</v>
      </c>
      <c r="M334">
        <v>0.1343</v>
      </c>
      <c r="N334">
        <v>1</v>
      </c>
      <c r="O334">
        <v>22</v>
      </c>
      <c r="P334">
        <v>23</v>
      </c>
    </row>
    <row r="335" spans="1:16" x14ac:dyDescent="0.2">
      <c r="A335">
        <v>334</v>
      </c>
      <c r="B335" s="3">
        <v>40558</v>
      </c>
      <c r="C335">
        <v>1</v>
      </c>
      <c r="D335">
        <v>2011</v>
      </c>
      <c r="E335" t="s">
        <v>10</v>
      </c>
      <c r="F335">
        <v>9</v>
      </c>
      <c r="G335" t="b">
        <v>0</v>
      </c>
      <c r="H335" t="s">
        <v>11</v>
      </c>
      <c r="I335">
        <v>1</v>
      </c>
      <c r="J335">
        <v>0.16</v>
      </c>
      <c r="K335">
        <v>0.18179999999999999</v>
      </c>
      <c r="L335">
        <v>0.64</v>
      </c>
      <c r="M335">
        <v>0.1343</v>
      </c>
      <c r="N335">
        <v>2</v>
      </c>
      <c r="O335">
        <v>31</v>
      </c>
      <c r="P335">
        <v>33</v>
      </c>
    </row>
    <row r="336" spans="1:16" x14ac:dyDescent="0.2">
      <c r="A336">
        <v>335</v>
      </c>
      <c r="B336" s="3">
        <v>40558</v>
      </c>
      <c r="C336">
        <v>1</v>
      </c>
      <c r="D336">
        <v>2011</v>
      </c>
      <c r="E336" t="s">
        <v>10</v>
      </c>
      <c r="F336">
        <v>10</v>
      </c>
      <c r="G336" t="b">
        <v>0</v>
      </c>
      <c r="H336" t="s">
        <v>11</v>
      </c>
      <c r="I336">
        <v>1</v>
      </c>
      <c r="J336">
        <v>0.18</v>
      </c>
      <c r="K336">
        <v>0.19700000000000001</v>
      </c>
      <c r="L336">
        <v>0.59</v>
      </c>
      <c r="M336">
        <v>0.16420000000000001</v>
      </c>
      <c r="N336">
        <v>2</v>
      </c>
      <c r="O336">
        <v>57</v>
      </c>
      <c r="P336">
        <v>59</v>
      </c>
    </row>
    <row r="337" spans="1:16" x14ac:dyDescent="0.2">
      <c r="A337">
        <v>336</v>
      </c>
      <c r="B337" s="3">
        <v>40558</v>
      </c>
      <c r="C337">
        <v>1</v>
      </c>
      <c r="D337">
        <v>2011</v>
      </c>
      <c r="E337" t="s">
        <v>10</v>
      </c>
      <c r="F337">
        <v>11</v>
      </c>
      <c r="G337" t="b">
        <v>0</v>
      </c>
      <c r="H337" t="s">
        <v>11</v>
      </c>
      <c r="I337">
        <v>1</v>
      </c>
      <c r="J337">
        <v>0.2</v>
      </c>
      <c r="K337">
        <v>0.19700000000000001</v>
      </c>
      <c r="L337">
        <v>0.55000000000000004</v>
      </c>
      <c r="M337">
        <v>0.22389999999999999</v>
      </c>
      <c r="N337">
        <v>18</v>
      </c>
      <c r="O337">
        <v>54</v>
      </c>
      <c r="P337">
        <v>72</v>
      </c>
    </row>
    <row r="338" spans="1:16" x14ac:dyDescent="0.2">
      <c r="A338">
        <v>337</v>
      </c>
      <c r="B338" s="3">
        <v>40558</v>
      </c>
      <c r="C338">
        <v>1</v>
      </c>
      <c r="D338">
        <v>2011</v>
      </c>
      <c r="E338" t="s">
        <v>10</v>
      </c>
      <c r="F338">
        <v>12</v>
      </c>
      <c r="G338" t="b">
        <v>0</v>
      </c>
      <c r="H338" t="s">
        <v>11</v>
      </c>
      <c r="I338">
        <v>1</v>
      </c>
      <c r="J338">
        <v>0.24</v>
      </c>
      <c r="K338">
        <v>0.2273</v>
      </c>
      <c r="L338">
        <v>0.48</v>
      </c>
      <c r="M338">
        <v>0.22389999999999999</v>
      </c>
      <c r="N338">
        <v>15</v>
      </c>
      <c r="O338">
        <v>74</v>
      </c>
      <c r="P338">
        <v>89</v>
      </c>
    </row>
    <row r="339" spans="1:16" x14ac:dyDescent="0.2">
      <c r="A339">
        <v>338</v>
      </c>
      <c r="B339" s="3">
        <v>40558</v>
      </c>
      <c r="C339">
        <v>1</v>
      </c>
      <c r="D339">
        <v>2011</v>
      </c>
      <c r="E339" t="s">
        <v>10</v>
      </c>
      <c r="F339">
        <v>13</v>
      </c>
      <c r="G339" t="b">
        <v>0</v>
      </c>
      <c r="H339" t="s">
        <v>11</v>
      </c>
      <c r="I339">
        <v>1</v>
      </c>
      <c r="J339">
        <v>0.28000000000000003</v>
      </c>
      <c r="K339">
        <v>0.2576</v>
      </c>
      <c r="L339">
        <v>0.38</v>
      </c>
      <c r="M339">
        <v>0.29849999999999999</v>
      </c>
      <c r="N339">
        <v>21</v>
      </c>
      <c r="O339">
        <v>80</v>
      </c>
      <c r="P339">
        <v>101</v>
      </c>
    </row>
    <row r="340" spans="1:16" x14ac:dyDescent="0.2">
      <c r="A340">
        <v>339</v>
      </c>
      <c r="B340" s="3">
        <v>40558</v>
      </c>
      <c r="C340">
        <v>1</v>
      </c>
      <c r="D340">
        <v>2011</v>
      </c>
      <c r="E340" t="s">
        <v>10</v>
      </c>
      <c r="F340">
        <v>14</v>
      </c>
      <c r="G340" t="b">
        <v>0</v>
      </c>
      <c r="H340" t="s">
        <v>11</v>
      </c>
      <c r="I340">
        <v>1</v>
      </c>
      <c r="J340">
        <v>0.3</v>
      </c>
      <c r="K340">
        <v>0.28789999999999999</v>
      </c>
      <c r="L340">
        <v>0.39</v>
      </c>
      <c r="M340">
        <v>0.28360000000000002</v>
      </c>
      <c r="N340">
        <v>26</v>
      </c>
      <c r="O340">
        <v>92</v>
      </c>
      <c r="P340">
        <v>118</v>
      </c>
    </row>
    <row r="341" spans="1:16" x14ac:dyDescent="0.2">
      <c r="A341">
        <v>340</v>
      </c>
      <c r="B341" s="3">
        <v>40558</v>
      </c>
      <c r="C341">
        <v>1</v>
      </c>
      <c r="D341">
        <v>2011</v>
      </c>
      <c r="E341" t="s">
        <v>10</v>
      </c>
      <c r="F341">
        <v>15</v>
      </c>
      <c r="G341" t="b">
        <v>0</v>
      </c>
      <c r="H341" t="s">
        <v>11</v>
      </c>
      <c r="I341">
        <v>2</v>
      </c>
      <c r="J341">
        <v>0.32</v>
      </c>
      <c r="K341">
        <v>0.31819999999999998</v>
      </c>
      <c r="L341">
        <v>0.36</v>
      </c>
      <c r="M341">
        <v>0.19400000000000001</v>
      </c>
      <c r="N341">
        <v>21</v>
      </c>
      <c r="O341">
        <v>108</v>
      </c>
      <c r="P341">
        <v>129</v>
      </c>
    </row>
    <row r="342" spans="1:16" x14ac:dyDescent="0.2">
      <c r="A342">
        <v>341</v>
      </c>
      <c r="B342" s="3">
        <v>40558</v>
      </c>
      <c r="C342">
        <v>1</v>
      </c>
      <c r="D342">
        <v>2011</v>
      </c>
      <c r="E342" t="s">
        <v>10</v>
      </c>
      <c r="F342">
        <v>16</v>
      </c>
      <c r="G342" t="b">
        <v>0</v>
      </c>
      <c r="H342" t="s">
        <v>11</v>
      </c>
      <c r="I342">
        <v>2</v>
      </c>
      <c r="J342">
        <v>0.34</v>
      </c>
      <c r="K342">
        <v>0.33329999999999999</v>
      </c>
      <c r="L342">
        <v>0.34</v>
      </c>
      <c r="M342">
        <v>0.19400000000000001</v>
      </c>
      <c r="N342">
        <v>33</v>
      </c>
      <c r="O342">
        <v>95</v>
      </c>
      <c r="P342">
        <v>128</v>
      </c>
    </row>
    <row r="343" spans="1:16" x14ac:dyDescent="0.2">
      <c r="A343">
        <v>342</v>
      </c>
      <c r="B343" s="3">
        <v>40558</v>
      </c>
      <c r="C343">
        <v>1</v>
      </c>
      <c r="D343">
        <v>2011</v>
      </c>
      <c r="E343" t="s">
        <v>10</v>
      </c>
      <c r="F343">
        <v>17</v>
      </c>
      <c r="G343" t="b">
        <v>0</v>
      </c>
      <c r="H343" t="s">
        <v>11</v>
      </c>
      <c r="I343">
        <v>2</v>
      </c>
      <c r="J343">
        <v>0.32</v>
      </c>
      <c r="K343">
        <v>0.30299999999999999</v>
      </c>
      <c r="L343">
        <v>0.36</v>
      </c>
      <c r="M343">
        <v>0.28360000000000002</v>
      </c>
      <c r="N343">
        <v>29</v>
      </c>
      <c r="O343">
        <v>54</v>
      </c>
      <c r="P343">
        <v>83</v>
      </c>
    </row>
    <row r="344" spans="1:16" x14ac:dyDescent="0.2">
      <c r="A344">
        <v>343</v>
      </c>
      <c r="B344" s="3">
        <v>40558</v>
      </c>
      <c r="C344">
        <v>1</v>
      </c>
      <c r="D344">
        <v>2011</v>
      </c>
      <c r="E344" t="s">
        <v>10</v>
      </c>
      <c r="F344">
        <v>18</v>
      </c>
      <c r="G344" t="b">
        <v>0</v>
      </c>
      <c r="H344" t="s">
        <v>11</v>
      </c>
      <c r="I344">
        <v>2</v>
      </c>
      <c r="J344">
        <v>0.3</v>
      </c>
      <c r="K344">
        <v>0.28789999999999999</v>
      </c>
      <c r="L344">
        <v>0.45</v>
      </c>
      <c r="M344">
        <v>0.25369999999999998</v>
      </c>
      <c r="N344">
        <v>15</v>
      </c>
      <c r="O344">
        <v>69</v>
      </c>
      <c r="P344">
        <v>84</v>
      </c>
    </row>
    <row r="345" spans="1:16" x14ac:dyDescent="0.2">
      <c r="A345">
        <v>344</v>
      </c>
      <c r="B345" s="3">
        <v>40558</v>
      </c>
      <c r="C345">
        <v>1</v>
      </c>
      <c r="D345">
        <v>2011</v>
      </c>
      <c r="E345" t="s">
        <v>10</v>
      </c>
      <c r="F345">
        <v>19</v>
      </c>
      <c r="G345" t="b">
        <v>0</v>
      </c>
      <c r="H345" t="s">
        <v>11</v>
      </c>
      <c r="I345">
        <v>2</v>
      </c>
      <c r="J345">
        <v>0.32</v>
      </c>
      <c r="K345">
        <v>0.30299999999999999</v>
      </c>
      <c r="L345">
        <v>0.39</v>
      </c>
      <c r="M345">
        <v>0.25369999999999998</v>
      </c>
      <c r="N345">
        <v>14</v>
      </c>
      <c r="O345">
        <v>60</v>
      </c>
      <c r="P345">
        <v>74</v>
      </c>
    </row>
    <row r="346" spans="1:16" x14ac:dyDescent="0.2">
      <c r="A346">
        <v>345</v>
      </c>
      <c r="B346" s="3">
        <v>40558</v>
      </c>
      <c r="C346">
        <v>1</v>
      </c>
      <c r="D346">
        <v>2011</v>
      </c>
      <c r="E346" t="s">
        <v>10</v>
      </c>
      <c r="F346">
        <v>20</v>
      </c>
      <c r="G346" t="b">
        <v>0</v>
      </c>
      <c r="H346" t="s">
        <v>11</v>
      </c>
      <c r="I346">
        <v>2</v>
      </c>
      <c r="J346">
        <v>0.32</v>
      </c>
      <c r="K346">
        <v>0.30299999999999999</v>
      </c>
      <c r="L346">
        <v>0.39</v>
      </c>
      <c r="M346">
        <v>0.25369999999999998</v>
      </c>
      <c r="N346">
        <v>6</v>
      </c>
      <c r="O346">
        <v>35</v>
      </c>
      <c r="P346">
        <v>41</v>
      </c>
    </row>
    <row r="347" spans="1:16" x14ac:dyDescent="0.2">
      <c r="A347">
        <v>346</v>
      </c>
      <c r="B347" s="3">
        <v>40558</v>
      </c>
      <c r="C347">
        <v>1</v>
      </c>
      <c r="D347">
        <v>2011</v>
      </c>
      <c r="E347" t="s">
        <v>10</v>
      </c>
      <c r="F347">
        <v>21</v>
      </c>
      <c r="G347" t="b">
        <v>0</v>
      </c>
      <c r="H347" t="s">
        <v>11</v>
      </c>
      <c r="I347">
        <v>2</v>
      </c>
      <c r="J347">
        <v>0.32</v>
      </c>
      <c r="K347">
        <v>0.30299999999999999</v>
      </c>
      <c r="L347">
        <v>0.39</v>
      </c>
      <c r="M347">
        <v>0.22389999999999999</v>
      </c>
      <c r="N347">
        <v>6</v>
      </c>
      <c r="O347">
        <v>51</v>
      </c>
      <c r="P347">
        <v>57</v>
      </c>
    </row>
    <row r="348" spans="1:16" x14ac:dyDescent="0.2">
      <c r="A348">
        <v>347</v>
      </c>
      <c r="B348" s="3">
        <v>40558</v>
      </c>
      <c r="C348">
        <v>1</v>
      </c>
      <c r="D348">
        <v>2011</v>
      </c>
      <c r="E348" t="s">
        <v>10</v>
      </c>
      <c r="F348">
        <v>22</v>
      </c>
      <c r="G348" t="b">
        <v>0</v>
      </c>
      <c r="H348" t="s">
        <v>11</v>
      </c>
      <c r="I348">
        <v>2</v>
      </c>
      <c r="J348">
        <v>0.3</v>
      </c>
      <c r="K348">
        <v>0.31819999999999998</v>
      </c>
      <c r="L348">
        <v>0.42</v>
      </c>
      <c r="M348">
        <v>0.1045</v>
      </c>
      <c r="N348">
        <v>0</v>
      </c>
      <c r="O348">
        <v>26</v>
      </c>
      <c r="P348">
        <v>26</v>
      </c>
    </row>
    <row r="349" spans="1:16" x14ac:dyDescent="0.2">
      <c r="A349">
        <v>348</v>
      </c>
      <c r="B349" s="3">
        <v>40558</v>
      </c>
      <c r="C349">
        <v>1</v>
      </c>
      <c r="D349">
        <v>2011</v>
      </c>
      <c r="E349" t="s">
        <v>10</v>
      </c>
      <c r="F349">
        <v>23</v>
      </c>
      <c r="G349" t="b">
        <v>0</v>
      </c>
      <c r="H349" t="s">
        <v>11</v>
      </c>
      <c r="I349">
        <v>1</v>
      </c>
      <c r="J349">
        <v>0.3</v>
      </c>
      <c r="K349">
        <v>0.28789999999999999</v>
      </c>
      <c r="L349">
        <v>0.45</v>
      </c>
      <c r="M349">
        <v>0.28360000000000002</v>
      </c>
      <c r="N349">
        <v>5</v>
      </c>
      <c r="O349">
        <v>39</v>
      </c>
      <c r="P349">
        <v>44</v>
      </c>
    </row>
    <row r="350" spans="1:16" x14ac:dyDescent="0.2">
      <c r="A350">
        <v>349</v>
      </c>
      <c r="B350" s="3">
        <v>40559</v>
      </c>
      <c r="C350">
        <v>1</v>
      </c>
      <c r="D350">
        <v>2011</v>
      </c>
      <c r="E350" t="s">
        <v>10</v>
      </c>
      <c r="F350">
        <v>0</v>
      </c>
      <c r="G350" t="b">
        <v>1</v>
      </c>
      <c r="H350" t="s">
        <v>12</v>
      </c>
      <c r="I350">
        <v>1</v>
      </c>
      <c r="J350">
        <v>0.26</v>
      </c>
      <c r="K350">
        <v>0.30299999999999999</v>
      </c>
      <c r="L350">
        <v>0.56000000000000005</v>
      </c>
      <c r="M350">
        <v>0</v>
      </c>
      <c r="N350">
        <v>6</v>
      </c>
      <c r="O350">
        <v>33</v>
      </c>
      <c r="P350">
        <v>39</v>
      </c>
    </row>
    <row r="351" spans="1:16" x14ac:dyDescent="0.2">
      <c r="A351">
        <v>350</v>
      </c>
      <c r="B351" s="3">
        <v>40559</v>
      </c>
      <c r="C351">
        <v>1</v>
      </c>
      <c r="D351">
        <v>2011</v>
      </c>
      <c r="E351" t="s">
        <v>10</v>
      </c>
      <c r="F351">
        <v>1</v>
      </c>
      <c r="G351" t="b">
        <v>1</v>
      </c>
      <c r="H351" t="s">
        <v>12</v>
      </c>
      <c r="I351">
        <v>1</v>
      </c>
      <c r="J351">
        <v>0.26</v>
      </c>
      <c r="K351">
        <v>0.2727</v>
      </c>
      <c r="L351">
        <v>0.56000000000000005</v>
      </c>
      <c r="M351">
        <v>0.1343</v>
      </c>
      <c r="N351">
        <v>4</v>
      </c>
      <c r="O351">
        <v>19</v>
      </c>
      <c r="P351">
        <v>23</v>
      </c>
    </row>
    <row r="352" spans="1:16" x14ac:dyDescent="0.2">
      <c r="A352">
        <v>351</v>
      </c>
      <c r="B352" s="3">
        <v>40559</v>
      </c>
      <c r="C352">
        <v>1</v>
      </c>
      <c r="D352">
        <v>2011</v>
      </c>
      <c r="E352" t="s">
        <v>10</v>
      </c>
      <c r="F352">
        <v>2</v>
      </c>
      <c r="G352" t="b">
        <v>1</v>
      </c>
      <c r="H352" t="s">
        <v>12</v>
      </c>
      <c r="I352">
        <v>1</v>
      </c>
      <c r="J352">
        <v>0.26</v>
      </c>
      <c r="K352">
        <v>0.28789999999999999</v>
      </c>
      <c r="L352">
        <v>0.56000000000000005</v>
      </c>
      <c r="M352">
        <v>8.9599999999999999E-2</v>
      </c>
      <c r="N352">
        <v>3</v>
      </c>
      <c r="O352">
        <v>13</v>
      </c>
      <c r="P352">
        <v>16</v>
      </c>
    </row>
    <row r="353" spans="1:16" x14ac:dyDescent="0.2">
      <c r="A353">
        <v>352</v>
      </c>
      <c r="B353" s="3">
        <v>40559</v>
      </c>
      <c r="C353">
        <v>1</v>
      </c>
      <c r="D353">
        <v>2011</v>
      </c>
      <c r="E353" t="s">
        <v>10</v>
      </c>
      <c r="F353">
        <v>3</v>
      </c>
      <c r="G353" t="b">
        <v>1</v>
      </c>
      <c r="H353" t="s">
        <v>12</v>
      </c>
      <c r="I353">
        <v>1</v>
      </c>
      <c r="J353">
        <v>0.22</v>
      </c>
      <c r="K353">
        <v>0.2727</v>
      </c>
      <c r="L353">
        <v>0.69</v>
      </c>
      <c r="M353">
        <v>0</v>
      </c>
      <c r="N353">
        <v>9</v>
      </c>
      <c r="O353">
        <v>6</v>
      </c>
      <c r="P353">
        <v>15</v>
      </c>
    </row>
    <row r="354" spans="1:16" x14ac:dyDescent="0.2">
      <c r="A354">
        <v>353</v>
      </c>
      <c r="B354" s="3">
        <v>40559</v>
      </c>
      <c r="C354">
        <v>1</v>
      </c>
      <c r="D354">
        <v>2011</v>
      </c>
      <c r="E354" t="s">
        <v>10</v>
      </c>
      <c r="F354">
        <v>4</v>
      </c>
      <c r="G354" t="b">
        <v>1</v>
      </c>
      <c r="H354" t="s">
        <v>12</v>
      </c>
      <c r="I354">
        <v>1</v>
      </c>
      <c r="J354">
        <v>0.26</v>
      </c>
      <c r="K354">
        <v>0.2576</v>
      </c>
      <c r="L354">
        <v>0.56000000000000005</v>
      </c>
      <c r="M354">
        <v>0.16420000000000001</v>
      </c>
      <c r="N354">
        <v>0</v>
      </c>
      <c r="O354">
        <v>1</v>
      </c>
      <c r="P354">
        <v>1</v>
      </c>
    </row>
    <row r="355" spans="1:16" x14ac:dyDescent="0.2">
      <c r="A355">
        <v>354</v>
      </c>
      <c r="B355" s="3">
        <v>40559</v>
      </c>
      <c r="C355">
        <v>1</v>
      </c>
      <c r="D355">
        <v>2011</v>
      </c>
      <c r="E355" t="s">
        <v>10</v>
      </c>
      <c r="F355">
        <v>5</v>
      </c>
      <c r="G355" t="b">
        <v>1</v>
      </c>
      <c r="H355" t="s">
        <v>12</v>
      </c>
      <c r="I355">
        <v>2</v>
      </c>
      <c r="J355">
        <v>0.26</v>
      </c>
      <c r="K355">
        <v>0.2576</v>
      </c>
      <c r="L355">
        <v>0.56000000000000005</v>
      </c>
      <c r="M355">
        <v>0.16420000000000001</v>
      </c>
      <c r="N355">
        <v>1</v>
      </c>
      <c r="O355">
        <v>1</v>
      </c>
      <c r="P355">
        <v>2</v>
      </c>
    </row>
    <row r="356" spans="1:16" x14ac:dyDescent="0.2">
      <c r="A356">
        <v>355</v>
      </c>
      <c r="B356" s="3">
        <v>40559</v>
      </c>
      <c r="C356">
        <v>1</v>
      </c>
      <c r="D356">
        <v>2011</v>
      </c>
      <c r="E356" t="s">
        <v>10</v>
      </c>
      <c r="F356">
        <v>6</v>
      </c>
      <c r="G356" t="b">
        <v>1</v>
      </c>
      <c r="H356" t="s">
        <v>12</v>
      </c>
      <c r="I356">
        <v>2</v>
      </c>
      <c r="J356">
        <v>0.26</v>
      </c>
      <c r="K356">
        <v>0.2576</v>
      </c>
      <c r="L356">
        <v>0.56000000000000005</v>
      </c>
      <c r="M356">
        <v>0.16420000000000001</v>
      </c>
      <c r="N356">
        <v>0</v>
      </c>
      <c r="O356">
        <v>1</v>
      </c>
      <c r="P356">
        <v>1</v>
      </c>
    </row>
    <row r="357" spans="1:16" x14ac:dyDescent="0.2">
      <c r="A357">
        <v>356</v>
      </c>
      <c r="B357" s="3">
        <v>40559</v>
      </c>
      <c r="C357">
        <v>1</v>
      </c>
      <c r="D357">
        <v>2011</v>
      </c>
      <c r="E357" t="s">
        <v>10</v>
      </c>
      <c r="F357">
        <v>7</v>
      </c>
      <c r="G357" t="b">
        <v>1</v>
      </c>
      <c r="H357" t="s">
        <v>12</v>
      </c>
      <c r="I357">
        <v>2</v>
      </c>
      <c r="J357">
        <v>0.24</v>
      </c>
      <c r="K357">
        <v>0.21210000000000001</v>
      </c>
      <c r="L357">
        <v>0.56000000000000005</v>
      </c>
      <c r="M357">
        <v>0.29849999999999999</v>
      </c>
      <c r="N357">
        <v>0</v>
      </c>
      <c r="O357">
        <v>3</v>
      </c>
      <c r="P357">
        <v>3</v>
      </c>
    </row>
    <row r="358" spans="1:16" x14ac:dyDescent="0.2">
      <c r="A358">
        <v>357</v>
      </c>
      <c r="B358" s="3">
        <v>40559</v>
      </c>
      <c r="C358">
        <v>1</v>
      </c>
      <c r="D358">
        <v>2011</v>
      </c>
      <c r="E358" t="s">
        <v>10</v>
      </c>
      <c r="F358">
        <v>8</v>
      </c>
      <c r="G358" t="b">
        <v>1</v>
      </c>
      <c r="H358" t="s">
        <v>12</v>
      </c>
      <c r="I358">
        <v>1</v>
      </c>
      <c r="J358">
        <v>0.22</v>
      </c>
      <c r="K358">
        <v>0.21210000000000001</v>
      </c>
      <c r="L358">
        <v>0.55000000000000004</v>
      </c>
      <c r="M358">
        <v>0.28360000000000002</v>
      </c>
      <c r="N358">
        <v>0</v>
      </c>
      <c r="O358">
        <v>18</v>
      </c>
      <c r="P358">
        <v>18</v>
      </c>
    </row>
    <row r="359" spans="1:16" x14ac:dyDescent="0.2">
      <c r="A359">
        <v>358</v>
      </c>
      <c r="B359" s="3">
        <v>40559</v>
      </c>
      <c r="C359">
        <v>1</v>
      </c>
      <c r="D359">
        <v>2011</v>
      </c>
      <c r="E359" t="s">
        <v>10</v>
      </c>
      <c r="F359">
        <v>9</v>
      </c>
      <c r="G359" t="b">
        <v>1</v>
      </c>
      <c r="H359" t="s">
        <v>12</v>
      </c>
      <c r="I359">
        <v>1</v>
      </c>
      <c r="J359">
        <v>0.22</v>
      </c>
      <c r="K359">
        <v>0.21210000000000001</v>
      </c>
      <c r="L359">
        <v>0.51</v>
      </c>
      <c r="M359">
        <v>0.25369999999999998</v>
      </c>
      <c r="N359">
        <v>3</v>
      </c>
      <c r="O359">
        <v>29</v>
      </c>
      <c r="P359">
        <v>32</v>
      </c>
    </row>
    <row r="360" spans="1:16" x14ac:dyDescent="0.2">
      <c r="A360">
        <v>359</v>
      </c>
      <c r="B360" s="3">
        <v>40559</v>
      </c>
      <c r="C360">
        <v>1</v>
      </c>
      <c r="D360">
        <v>2011</v>
      </c>
      <c r="E360" t="s">
        <v>10</v>
      </c>
      <c r="F360">
        <v>10</v>
      </c>
      <c r="G360" t="b">
        <v>1</v>
      </c>
      <c r="H360" t="s">
        <v>12</v>
      </c>
      <c r="I360">
        <v>1</v>
      </c>
      <c r="J360">
        <v>0.22</v>
      </c>
      <c r="K360">
        <v>0.21210000000000001</v>
      </c>
      <c r="L360">
        <v>0.51</v>
      </c>
      <c r="M360">
        <v>0.28360000000000002</v>
      </c>
      <c r="N360">
        <v>8</v>
      </c>
      <c r="O360">
        <v>71</v>
      </c>
      <c r="P360">
        <v>79</v>
      </c>
    </row>
    <row r="361" spans="1:16" x14ac:dyDescent="0.2">
      <c r="A361">
        <v>360</v>
      </c>
      <c r="B361" s="3">
        <v>40559</v>
      </c>
      <c r="C361">
        <v>1</v>
      </c>
      <c r="D361">
        <v>2011</v>
      </c>
      <c r="E361" t="s">
        <v>10</v>
      </c>
      <c r="F361">
        <v>11</v>
      </c>
      <c r="G361" t="b">
        <v>1</v>
      </c>
      <c r="H361" t="s">
        <v>12</v>
      </c>
      <c r="I361">
        <v>1</v>
      </c>
      <c r="J361">
        <v>0.24</v>
      </c>
      <c r="K361">
        <v>0.2273</v>
      </c>
      <c r="L361">
        <v>0.44</v>
      </c>
      <c r="M361">
        <v>0.25369999999999998</v>
      </c>
      <c r="N361">
        <v>23</v>
      </c>
      <c r="O361">
        <v>70</v>
      </c>
      <c r="P361">
        <v>93</v>
      </c>
    </row>
    <row r="362" spans="1:16" x14ac:dyDescent="0.2">
      <c r="A362">
        <v>361</v>
      </c>
      <c r="B362" s="3">
        <v>40559</v>
      </c>
      <c r="C362">
        <v>1</v>
      </c>
      <c r="D362">
        <v>2011</v>
      </c>
      <c r="E362" t="s">
        <v>10</v>
      </c>
      <c r="F362">
        <v>12</v>
      </c>
      <c r="G362" t="b">
        <v>1</v>
      </c>
      <c r="H362" t="s">
        <v>12</v>
      </c>
      <c r="I362">
        <v>1</v>
      </c>
      <c r="J362">
        <v>0.24</v>
      </c>
      <c r="K362">
        <v>0.21210000000000001</v>
      </c>
      <c r="L362">
        <v>0.41</v>
      </c>
      <c r="M362">
        <v>0.28360000000000002</v>
      </c>
      <c r="N362">
        <v>29</v>
      </c>
      <c r="O362">
        <v>75</v>
      </c>
      <c r="P362">
        <v>104</v>
      </c>
    </row>
    <row r="363" spans="1:16" x14ac:dyDescent="0.2">
      <c r="A363">
        <v>362</v>
      </c>
      <c r="B363" s="3">
        <v>40559</v>
      </c>
      <c r="C363">
        <v>1</v>
      </c>
      <c r="D363">
        <v>2011</v>
      </c>
      <c r="E363" t="s">
        <v>10</v>
      </c>
      <c r="F363">
        <v>13</v>
      </c>
      <c r="G363" t="b">
        <v>1</v>
      </c>
      <c r="H363" t="s">
        <v>12</v>
      </c>
      <c r="I363">
        <v>1</v>
      </c>
      <c r="J363">
        <v>0.26</v>
      </c>
      <c r="K363">
        <v>0.2273</v>
      </c>
      <c r="L363">
        <v>0.35</v>
      </c>
      <c r="M363">
        <v>0.29849999999999999</v>
      </c>
      <c r="N363">
        <v>23</v>
      </c>
      <c r="O363">
        <v>95</v>
      </c>
      <c r="P363">
        <v>118</v>
      </c>
    </row>
    <row r="364" spans="1:16" x14ac:dyDescent="0.2">
      <c r="A364">
        <v>363</v>
      </c>
      <c r="B364" s="3">
        <v>40559</v>
      </c>
      <c r="C364">
        <v>1</v>
      </c>
      <c r="D364">
        <v>2011</v>
      </c>
      <c r="E364" t="s">
        <v>10</v>
      </c>
      <c r="F364">
        <v>14</v>
      </c>
      <c r="G364" t="b">
        <v>1</v>
      </c>
      <c r="H364" t="s">
        <v>12</v>
      </c>
      <c r="I364">
        <v>1</v>
      </c>
      <c r="J364">
        <v>0.28000000000000003</v>
      </c>
      <c r="K364">
        <v>0.2727</v>
      </c>
      <c r="L364">
        <v>0.36</v>
      </c>
      <c r="M364">
        <v>0.25369999999999998</v>
      </c>
      <c r="N364">
        <v>22</v>
      </c>
      <c r="O364">
        <v>69</v>
      </c>
      <c r="P364">
        <v>91</v>
      </c>
    </row>
    <row r="365" spans="1:16" x14ac:dyDescent="0.2">
      <c r="A365">
        <v>364</v>
      </c>
      <c r="B365" s="3">
        <v>40559</v>
      </c>
      <c r="C365">
        <v>1</v>
      </c>
      <c r="D365">
        <v>2011</v>
      </c>
      <c r="E365" t="s">
        <v>10</v>
      </c>
      <c r="F365">
        <v>15</v>
      </c>
      <c r="G365" t="b">
        <v>1</v>
      </c>
      <c r="H365" t="s">
        <v>12</v>
      </c>
      <c r="I365">
        <v>1</v>
      </c>
      <c r="J365">
        <v>0.26</v>
      </c>
      <c r="K365">
        <v>0.2424</v>
      </c>
      <c r="L365">
        <v>0.38</v>
      </c>
      <c r="M365">
        <v>0.25369999999999998</v>
      </c>
      <c r="N365">
        <v>35</v>
      </c>
      <c r="O365">
        <v>78</v>
      </c>
      <c r="P365">
        <v>113</v>
      </c>
    </row>
    <row r="366" spans="1:16" x14ac:dyDescent="0.2">
      <c r="A366">
        <v>365</v>
      </c>
      <c r="B366" s="3">
        <v>40559</v>
      </c>
      <c r="C366">
        <v>1</v>
      </c>
      <c r="D366">
        <v>2011</v>
      </c>
      <c r="E366" t="s">
        <v>10</v>
      </c>
      <c r="F366">
        <v>16</v>
      </c>
      <c r="G366" t="b">
        <v>1</v>
      </c>
      <c r="H366" t="s">
        <v>12</v>
      </c>
      <c r="I366">
        <v>1</v>
      </c>
      <c r="J366">
        <v>0.24</v>
      </c>
      <c r="K366">
        <v>0.2273</v>
      </c>
      <c r="L366">
        <v>0.38</v>
      </c>
      <c r="M366">
        <v>0.22389999999999999</v>
      </c>
      <c r="N366">
        <v>22</v>
      </c>
      <c r="O366">
        <v>77</v>
      </c>
      <c r="P366">
        <v>99</v>
      </c>
    </row>
    <row r="367" spans="1:16" x14ac:dyDescent="0.2">
      <c r="A367">
        <v>366</v>
      </c>
      <c r="B367" s="3">
        <v>40559</v>
      </c>
      <c r="C367">
        <v>1</v>
      </c>
      <c r="D367">
        <v>2011</v>
      </c>
      <c r="E367" t="s">
        <v>10</v>
      </c>
      <c r="F367">
        <v>17</v>
      </c>
      <c r="G367" t="b">
        <v>1</v>
      </c>
      <c r="H367" t="s">
        <v>12</v>
      </c>
      <c r="I367">
        <v>1</v>
      </c>
      <c r="J367">
        <v>0.22</v>
      </c>
      <c r="K367">
        <v>0.21210000000000001</v>
      </c>
      <c r="L367">
        <v>0.37</v>
      </c>
      <c r="M367">
        <v>0.25369999999999998</v>
      </c>
      <c r="N367">
        <v>23</v>
      </c>
      <c r="O367">
        <v>82</v>
      </c>
      <c r="P367">
        <v>105</v>
      </c>
    </row>
    <row r="368" spans="1:16" x14ac:dyDescent="0.2">
      <c r="A368">
        <v>367</v>
      </c>
      <c r="B368" s="3">
        <v>40559</v>
      </c>
      <c r="C368">
        <v>1</v>
      </c>
      <c r="D368">
        <v>2011</v>
      </c>
      <c r="E368" t="s">
        <v>10</v>
      </c>
      <c r="F368">
        <v>18</v>
      </c>
      <c r="G368" t="b">
        <v>1</v>
      </c>
      <c r="H368" t="s">
        <v>12</v>
      </c>
      <c r="I368">
        <v>1</v>
      </c>
      <c r="J368">
        <v>0.2</v>
      </c>
      <c r="K368">
        <v>0.21210000000000001</v>
      </c>
      <c r="L368">
        <v>0.4</v>
      </c>
      <c r="M368">
        <v>0.16420000000000001</v>
      </c>
      <c r="N368">
        <v>11</v>
      </c>
      <c r="O368">
        <v>56</v>
      </c>
      <c r="P368">
        <v>67</v>
      </c>
    </row>
    <row r="369" spans="1:16" x14ac:dyDescent="0.2">
      <c r="A369">
        <v>368</v>
      </c>
      <c r="B369" s="3">
        <v>40559</v>
      </c>
      <c r="C369">
        <v>1</v>
      </c>
      <c r="D369">
        <v>2011</v>
      </c>
      <c r="E369" t="s">
        <v>10</v>
      </c>
      <c r="F369">
        <v>19</v>
      </c>
      <c r="G369" t="b">
        <v>1</v>
      </c>
      <c r="H369" t="s">
        <v>12</v>
      </c>
      <c r="I369">
        <v>1</v>
      </c>
      <c r="J369">
        <v>0.18</v>
      </c>
      <c r="K369">
        <v>0.19700000000000001</v>
      </c>
      <c r="L369">
        <v>0.47</v>
      </c>
      <c r="M369">
        <v>0.1343</v>
      </c>
      <c r="N369">
        <v>14</v>
      </c>
      <c r="O369">
        <v>47</v>
      </c>
      <c r="P369">
        <v>61</v>
      </c>
    </row>
    <row r="370" spans="1:16" x14ac:dyDescent="0.2">
      <c r="A370">
        <v>369</v>
      </c>
      <c r="B370" s="3">
        <v>40559</v>
      </c>
      <c r="C370">
        <v>1</v>
      </c>
      <c r="D370">
        <v>2011</v>
      </c>
      <c r="E370" t="s">
        <v>10</v>
      </c>
      <c r="F370">
        <v>20</v>
      </c>
      <c r="G370" t="b">
        <v>1</v>
      </c>
      <c r="H370" t="s">
        <v>12</v>
      </c>
      <c r="I370">
        <v>1</v>
      </c>
      <c r="J370">
        <v>0.18</v>
      </c>
      <c r="K370">
        <v>0.19700000000000001</v>
      </c>
      <c r="L370">
        <v>0.47</v>
      </c>
      <c r="M370">
        <v>0.16420000000000001</v>
      </c>
      <c r="N370">
        <v>7</v>
      </c>
      <c r="O370">
        <v>50</v>
      </c>
      <c r="P370">
        <v>57</v>
      </c>
    </row>
    <row r="371" spans="1:16" x14ac:dyDescent="0.2">
      <c r="A371">
        <v>370</v>
      </c>
      <c r="B371" s="3">
        <v>40559</v>
      </c>
      <c r="C371">
        <v>1</v>
      </c>
      <c r="D371">
        <v>2011</v>
      </c>
      <c r="E371" t="s">
        <v>10</v>
      </c>
      <c r="F371">
        <v>21</v>
      </c>
      <c r="G371" t="b">
        <v>1</v>
      </c>
      <c r="H371" t="s">
        <v>12</v>
      </c>
      <c r="I371">
        <v>1</v>
      </c>
      <c r="J371">
        <v>0.18</v>
      </c>
      <c r="K371">
        <v>0.19700000000000001</v>
      </c>
      <c r="L371">
        <v>0.51</v>
      </c>
      <c r="M371">
        <v>0.16420000000000001</v>
      </c>
      <c r="N371">
        <v>6</v>
      </c>
      <c r="O371">
        <v>22</v>
      </c>
      <c r="P371">
        <v>28</v>
      </c>
    </row>
    <row r="372" spans="1:16" x14ac:dyDescent="0.2">
      <c r="A372">
        <v>371</v>
      </c>
      <c r="B372" s="3">
        <v>40559</v>
      </c>
      <c r="C372">
        <v>1</v>
      </c>
      <c r="D372">
        <v>2011</v>
      </c>
      <c r="E372" t="s">
        <v>10</v>
      </c>
      <c r="F372">
        <v>22</v>
      </c>
      <c r="G372" t="b">
        <v>1</v>
      </c>
      <c r="H372" t="s">
        <v>12</v>
      </c>
      <c r="I372">
        <v>2</v>
      </c>
      <c r="J372">
        <v>0.2</v>
      </c>
      <c r="K372">
        <v>0.21210000000000001</v>
      </c>
      <c r="L372">
        <v>0.49</v>
      </c>
      <c r="M372">
        <v>0.1343</v>
      </c>
      <c r="N372">
        <v>2</v>
      </c>
      <c r="O372">
        <v>19</v>
      </c>
      <c r="P372">
        <v>21</v>
      </c>
    </row>
    <row r="373" spans="1:16" x14ac:dyDescent="0.2">
      <c r="A373">
        <v>372</v>
      </c>
      <c r="B373" s="3">
        <v>40559</v>
      </c>
      <c r="C373">
        <v>1</v>
      </c>
      <c r="D373">
        <v>2011</v>
      </c>
      <c r="E373" t="s">
        <v>10</v>
      </c>
      <c r="F373">
        <v>23</v>
      </c>
      <c r="G373" t="b">
        <v>1</v>
      </c>
      <c r="H373" t="s">
        <v>12</v>
      </c>
      <c r="I373">
        <v>2</v>
      </c>
      <c r="J373">
        <v>0.2</v>
      </c>
      <c r="K373">
        <v>0.2273</v>
      </c>
      <c r="L373">
        <v>0.4</v>
      </c>
      <c r="M373">
        <v>0.1045</v>
      </c>
      <c r="N373">
        <v>0</v>
      </c>
      <c r="O373">
        <v>18</v>
      </c>
      <c r="P373">
        <v>18</v>
      </c>
    </row>
    <row r="374" spans="1:16" x14ac:dyDescent="0.2">
      <c r="A374">
        <v>373</v>
      </c>
      <c r="B374" s="3">
        <v>40560</v>
      </c>
      <c r="C374">
        <v>1</v>
      </c>
      <c r="D374">
        <v>2011</v>
      </c>
      <c r="E374" t="s">
        <v>10</v>
      </c>
      <c r="F374">
        <v>0</v>
      </c>
      <c r="G374" t="b">
        <v>0</v>
      </c>
      <c r="H374" t="s">
        <v>13</v>
      </c>
      <c r="I374">
        <v>2</v>
      </c>
      <c r="J374">
        <v>0.2</v>
      </c>
      <c r="K374">
        <v>0.19700000000000001</v>
      </c>
      <c r="L374">
        <v>0.47</v>
      </c>
      <c r="M374">
        <v>0.22389999999999999</v>
      </c>
      <c r="N374">
        <v>1</v>
      </c>
      <c r="O374">
        <v>16</v>
      </c>
      <c r="P374">
        <v>17</v>
      </c>
    </row>
    <row r="375" spans="1:16" x14ac:dyDescent="0.2">
      <c r="A375">
        <v>374</v>
      </c>
      <c r="B375" s="3">
        <v>40560</v>
      </c>
      <c r="C375">
        <v>1</v>
      </c>
      <c r="D375">
        <v>2011</v>
      </c>
      <c r="E375" t="s">
        <v>10</v>
      </c>
      <c r="F375">
        <v>1</v>
      </c>
      <c r="G375" t="b">
        <v>0</v>
      </c>
      <c r="H375" t="s">
        <v>13</v>
      </c>
      <c r="I375">
        <v>2</v>
      </c>
      <c r="J375">
        <v>0.2</v>
      </c>
      <c r="K375">
        <v>0.19700000000000001</v>
      </c>
      <c r="L375">
        <v>0.44</v>
      </c>
      <c r="M375">
        <v>0.19400000000000001</v>
      </c>
      <c r="N375">
        <v>1</v>
      </c>
      <c r="O375">
        <v>15</v>
      </c>
      <c r="P375">
        <v>16</v>
      </c>
    </row>
    <row r="376" spans="1:16" x14ac:dyDescent="0.2">
      <c r="A376">
        <v>375</v>
      </c>
      <c r="B376" s="3">
        <v>40560</v>
      </c>
      <c r="C376">
        <v>1</v>
      </c>
      <c r="D376">
        <v>2011</v>
      </c>
      <c r="E376" t="s">
        <v>10</v>
      </c>
      <c r="F376">
        <v>2</v>
      </c>
      <c r="G376" t="b">
        <v>0</v>
      </c>
      <c r="H376" t="s">
        <v>13</v>
      </c>
      <c r="I376">
        <v>2</v>
      </c>
      <c r="J376">
        <v>0.18</v>
      </c>
      <c r="K376">
        <v>0.16669999999999999</v>
      </c>
      <c r="L376">
        <v>0.43</v>
      </c>
      <c r="M376">
        <v>0.25369999999999998</v>
      </c>
      <c r="N376">
        <v>0</v>
      </c>
      <c r="O376">
        <v>8</v>
      </c>
      <c r="P376">
        <v>8</v>
      </c>
    </row>
    <row r="377" spans="1:16" x14ac:dyDescent="0.2">
      <c r="A377">
        <v>376</v>
      </c>
      <c r="B377" s="3">
        <v>40560</v>
      </c>
      <c r="C377">
        <v>1</v>
      </c>
      <c r="D377">
        <v>2011</v>
      </c>
      <c r="E377" t="s">
        <v>10</v>
      </c>
      <c r="F377">
        <v>3</v>
      </c>
      <c r="G377" t="b">
        <v>0</v>
      </c>
      <c r="H377" t="s">
        <v>13</v>
      </c>
      <c r="I377">
        <v>2</v>
      </c>
      <c r="J377">
        <v>0.18</v>
      </c>
      <c r="K377">
        <v>0.18179999999999999</v>
      </c>
      <c r="L377">
        <v>0.43</v>
      </c>
      <c r="M377">
        <v>0.19400000000000001</v>
      </c>
      <c r="N377">
        <v>0</v>
      </c>
      <c r="O377">
        <v>2</v>
      </c>
      <c r="P377">
        <v>2</v>
      </c>
    </row>
    <row r="378" spans="1:16" x14ac:dyDescent="0.2">
      <c r="A378">
        <v>377</v>
      </c>
      <c r="B378" s="3">
        <v>40560</v>
      </c>
      <c r="C378">
        <v>1</v>
      </c>
      <c r="D378">
        <v>2011</v>
      </c>
      <c r="E378" t="s">
        <v>10</v>
      </c>
      <c r="F378">
        <v>4</v>
      </c>
      <c r="G378" t="b">
        <v>0</v>
      </c>
      <c r="H378" t="s">
        <v>13</v>
      </c>
      <c r="I378">
        <v>2</v>
      </c>
      <c r="J378">
        <v>0.18</v>
      </c>
      <c r="K378">
        <v>0.19700000000000001</v>
      </c>
      <c r="L378">
        <v>0.43</v>
      </c>
      <c r="M378">
        <v>0.1343</v>
      </c>
      <c r="N378">
        <v>1</v>
      </c>
      <c r="O378">
        <v>2</v>
      </c>
      <c r="P378">
        <v>3</v>
      </c>
    </row>
    <row r="379" spans="1:16" x14ac:dyDescent="0.2">
      <c r="A379">
        <v>378</v>
      </c>
      <c r="B379" s="3">
        <v>40560</v>
      </c>
      <c r="C379">
        <v>1</v>
      </c>
      <c r="D379">
        <v>2011</v>
      </c>
      <c r="E379" t="s">
        <v>10</v>
      </c>
      <c r="F379">
        <v>5</v>
      </c>
      <c r="G379" t="b">
        <v>0</v>
      </c>
      <c r="H379" t="s">
        <v>13</v>
      </c>
      <c r="I379">
        <v>2</v>
      </c>
      <c r="J379">
        <v>0.18</v>
      </c>
      <c r="K379">
        <v>0.19700000000000001</v>
      </c>
      <c r="L379">
        <v>0.43</v>
      </c>
      <c r="M379">
        <v>0.16420000000000001</v>
      </c>
      <c r="N379">
        <v>0</v>
      </c>
      <c r="O379">
        <v>1</v>
      </c>
      <c r="P379">
        <v>1</v>
      </c>
    </row>
    <row r="380" spans="1:16" x14ac:dyDescent="0.2">
      <c r="A380">
        <v>379</v>
      </c>
      <c r="B380" s="3">
        <v>40560</v>
      </c>
      <c r="C380">
        <v>1</v>
      </c>
      <c r="D380">
        <v>2011</v>
      </c>
      <c r="E380" t="s">
        <v>10</v>
      </c>
      <c r="F380">
        <v>6</v>
      </c>
      <c r="G380" t="b">
        <v>0</v>
      </c>
      <c r="H380" t="s">
        <v>13</v>
      </c>
      <c r="I380">
        <v>2</v>
      </c>
      <c r="J380">
        <v>0.18</v>
      </c>
      <c r="K380">
        <v>0.18179999999999999</v>
      </c>
      <c r="L380">
        <v>0.43</v>
      </c>
      <c r="M380">
        <v>0.19400000000000001</v>
      </c>
      <c r="N380">
        <v>0</v>
      </c>
      <c r="O380">
        <v>5</v>
      </c>
      <c r="P380">
        <v>5</v>
      </c>
    </row>
    <row r="381" spans="1:16" x14ac:dyDescent="0.2">
      <c r="A381">
        <v>380</v>
      </c>
      <c r="B381" s="3">
        <v>40560</v>
      </c>
      <c r="C381">
        <v>1</v>
      </c>
      <c r="D381">
        <v>2011</v>
      </c>
      <c r="E381" t="s">
        <v>10</v>
      </c>
      <c r="F381">
        <v>7</v>
      </c>
      <c r="G381" t="b">
        <v>0</v>
      </c>
      <c r="H381" t="s">
        <v>13</v>
      </c>
      <c r="I381">
        <v>2</v>
      </c>
      <c r="J381">
        <v>0.16</v>
      </c>
      <c r="K381">
        <v>0.18179999999999999</v>
      </c>
      <c r="L381">
        <v>0.5</v>
      </c>
      <c r="M381">
        <v>0.1343</v>
      </c>
      <c r="N381">
        <v>4</v>
      </c>
      <c r="O381">
        <v>9</v>
      </c>
      <c r="P381">
        <v>13</v>
      </c>
    </row>
    <row r="382" spans="1:16" x14ac:dyDescent="0.2">
      <c r="A382">
        <v>381</v>
      </c>
      <c r="B382" s="3">
        <v>40560</v>
      </c>
      <c r="C382">
        <v>1</v>
      </c>
      <c r="D382">
        <v>2011</v>
      </c>
      <c r="E382" t="s">
        <v>10</v>
      </c>
      <c r="F382">
        <v>8</v>
      </c>
      <c r="G382" t="b">
        <v>0</v>
      </c>
      <c r="H382" t="s">
        <v>13</v>
      </c>
      <c r="I382">
        <v>2</v>
      </c>
      <c r="J382">
        <v>0.16</v>
      </c>
      <c r="K382">
        <v>0.1515</v>
      </c>
      <c r="L382">
        <v>0.47</v>
      </c>
      <c r="M382">
        <v>0.22389999999999999</v>
      </c>
      <c r="N382">
        <v>3</v>
      </c>
      <c r="O382">
        <v>30</v>
      </c>
      <c r="P382">
        <v>33</v>
      </c>
    </row>
    <row r="383" spans="1:16" x14ac:dyDescent="0.2">
      <c r="A383">
        <v>382</v>
      </c>
      <c r="B383" s="3">
        <v>40560</v>
      </c>
      <c r="C383">
        <v>1</v>
      </c>
      <c r="D383">
        <v>2011</v>
      </c>
      <c r="E383" t="s">
        <v>10</v>
      </c>
      <c r="F383">
        <v>9</v>
      </c>
      <c r="G383" t="b">
        <v>0</v>
      </c>
      <c r="H383" t="s">
        <v>13</v>
      </c>
      <c r="I383">
        <v>2</v>
      </c>
      <c r="J383">
        <v>0.16</v>
      </c>
      <c r="K383">
        <v>0.1515</v>
      </c>
      <c r="L383">
        <v>0.47</v>
      </c>
      <c r="M383">
        <v>0.22389999999999999</v>
      </c>
      <c r="N383">
        <v>8</v>
      </c>
      <c r="O383">
        <v>39</v>
      </c>
      <c r="P383">
        <v>47</v>
      </c>
    </row>
    <row r="384" spans="1:16" x14ac:dyDescent="0.2">
      <c r="A384">
        <v>383</v>
      </c>
      <c r="B384" s="3">
        <v>40560</v>
      </c>
      <c r="C384">
        <v>1</v>
      </c>
      <c r="D384">
        <v>2011</v>
      </c>
      <c r="E384" t="s">
        <v>10</v>
      </c>
      <c r="F384">
        <v>10</v>
      </c>
      <c r="G384" t="b">
        <v>0</v>
      </c>
      <c r="H384" t="s">
        <v>13</v>
      </c>
      <c r="I384">
        <v>2</v>
      </c>
      <c r="J384">
        <v>0.16</v>
      </c>
      <c r="K384">
        <v>0.1515</v>
      </c>
      <c r="L384">
        <v>0.5</v>
      </c>
      <c r="M384">
        <v>0.25369999999999998</v>
      </c>
      <c r="N384">
        <v>7</v>
      </c>
      <c r="O384">
        <v>50</v>
      </c>
      <c r="P384">
        <v>57</v>
      </c>
    </row>
    <row r="385" spans="1:16" x14ac:dyDescent="0.2">
      <c r="A385">
        <v>384</v>
      </c>
      <c r="B385" s="3">
        <v>40560</v>
      </c>
      <c r="C385">
        <v>1</v>
      </c>
      <c r="D385">
        <v>2011</v>
      </c>
      <c r="E385" t="s">
        <v>10</v>
      </c>
      <c r="F385">
        <v>11</v>
      </c>
      <c r="G385" t="b">
        <v>0</v>
      </c>
      <c r="H385" t="s">
        <v>13</v>
      </c>
      <c r="I385">
        <v>2</v>
      </c>
      <c r="J385">
        <v>0.16</v>
      </c>
      <c r="K385">
        <v>0.1515</v>
      </c>
      <c r="L385">
        <v>0.55000000000000004</v>
      </c>
      <c r="M385">
        <v>0.19400000000000001</v>
      </c>
      <c r="N385">
        <v>9</v>
      </c>
      <c r="O385">
        <v>55</v>
      </c>
      <c r="P385">
        <v>64</v>
      </c>
    </row>
    <row r="386" spans="1:16" x14ac:dyDescent="0.2">
      <c r="A386">
        <v>385</v>
      </c>
      <c r="B386" s="3">
        <v>40560</v>
      </c>
      <c r="C386">
        <v>1</v>
      </c>
      <c r="D386">
        <v>2011</v>
      </c>
      <c r="E386" t="s">
        <v>10</v>
      </c>
      <c r="F386">
        <v>12</v>
      </c>
      <c r="G386" t="b">
        <v>0</v>
      </c>
      <c r="H386" t="s">
        <v>13</v>
      </c>
      <c r="I386">
        <v>2</v>
      </c>
      <c r="J386">
        <v>0.18</v>
      </c>
      <c r="K386">
        <v>0.19700000000000001</v>
      </c>
      <c r="L386">
        <v>0.47</v>
      </c>
      <c r="M386">
        <v>0.1343</v>
      </c>
      <c r="N386">
        <v>10</v>
      </c>
      <c r="O386">
        <v>70</v>
      </c>
      <c r="P386">
        <v>80</v>
      </c>
    </row>
    <row r="387" spans="1:16" x14ac:dyDescent="0.2">
      <c r="A387">
        <v>386</v>
      </c>
      <c r="B387" s="3">
        <v>40560</v>
      </c>
      <c r="C387">
        <v>1</v>
      </c>
      <c r="D387">
        <v>2011</v>
      </c>
      <c r="E387" t="s">
        <v>10</v>
      </c>
      <c r="F387">
        <v>13</v>
      </c>
      <c r="G387" t="b">
        <v>0</v>
      </c>
      <c r="H387" t="s">
        <v>13</v>
      </c>
      <c r="I387">
        <v>2</v>
      </c>
      <c r="J387">
        <v>0.18</v>
      </c>
      <c r="K387">
        <v>0.19700000000000001</v>
      </c>
      <c r="L387">
        <v>0.47</v>
      </c>
      <c r="M387">
        <v>0.1343</v>
      </c>
      <c r="N387">
        <v>13</v>
      </c>
      <c r="O387">
        <v>80</v>
      </c>
      <c r="P387">
        <v>93</v>
      </c>
    </row>
    <row r="388" spans="1:16" x14ac:dyDescent="0.2">
      <c r="A388">
        <v>387</v>
      </c>
      <c r="B388" s="3">
        <v>40560</v>
      </c>
      <c r="C388">
        <v>1</v>
      </c>
      <c r="D388">
        <v>2011</v>
      </c>
      <c r="E388" t="s">
        <v>10</v>
      </c>
      <c r="F388">
        <v>14</v>
      </c>
      <c r="G388" t="b">
        <v>0</v>
      </c>
      <c r="H388" t="s">
        <v>13</v>
      </c>
      <c r="I388">
        <v>2</v>
      </c>
      <c r="J388">
        <v>0.18</v>
      </c>
      <c r="K388">
        <v>0.21210000000000001</v>
      </c>
      <c r="L388">
        <v>0.43</v>
      </c>
      <c r="M388">
        <v>0.1045</v>
      </c>
      <c r="N388">
        <v>12</v>
      </c>
      <c r="O388">
        <v>74</v>
      </c>
      <c r="P388">
        <v>86</v>
      </c>
    </row>
    <row r="389" spans="1:16" x14ac:dyDescent="0.2">
      <c r="A389">
        <v>388</v>
      </c>
      <c r="B389" s="3">
        <v>40560</v>
      </c>
      <c r="C389">
        <v>1</v>
      </c>
      <c r="D389">
        <v>2011</v>
      </c>
      <c r="E389" t="s">
        <v>10</v>
      </c>
      <c r="F389">
        <v>15</v>
      </c>
      <c r="G389" t="b">
        <v>0</v>
      </c>
      <c r="H389" t="s">
        <v>13</v>
      </c>
      <c r="I389">
        <v>2</v>
      </c>
      <c r="J389">
        <v>0.2</v>
      </c>
      <c r="K389">
        <v>0.21210000000000001</v>
      </c>
      <c r="L389">
        <v>0.47</v>
      </c>
      <c r="M389">
        <v>0.16420000000000001</v>
      </c>
      <c r="N389">
        <v>21</v>
      </c>
      <c r="O389">
        <v>72</v>
      </c>
      <c r="P389">
        <v>93</v>
      </c>
    </row>
    <row r="390" spans="1:16" x14ac:dyDescent="0.2">
      <c r="A390">
        <v>389</v>
      </c>
      <c r="B390" s="3">
        <v>40560</v>
      </c>
      <c r="C390">
        <v>1</v>
      </c>
      <c r="D390">
        <v>2011</v>
      </c>
      <c r="E390" t="s">
        <v>10</v>
      </c>
      <c r="F390">
        <v>16</v>
      </c>
      <c r="G390" t="b">
        <v>0</v>
      </c>
      <c r="H390" t="s">
        <v>13</v>
      </c>
      <c r="I390">
        <v>2</v>
      </c>
      <c r="J390">
        <v>0.2</v>
      </c>
      <c r="K390">
        <v>0.21210000000000001</v>
      </c>
      <c r="L390">
        <v>0.47</v>
      </c>
      <c r="M390">
        <v>0.16420000000000001</v>
      </c>
      <c r="N390">
        <v>6</v>
      </c>
      <c r="O390">
        <v>76</v>
      </c>
      <c r="P390">
        <v>82</v>
      </c>
    </row>
    <row r="391" spans="1:16" x14ac:dyDescent="0.2">
      <c r="A391">
        <v>390</v>
      </c>
      <c r="B391" s="3">
        <v>40560</v>
      </c>
      <c r="C391">
        <v>1</v>
      </c>
      <c r="D391">
        <v>2011</v>
      </c>
      <c r="E391" t="s">
        <v>10</v>
      </c>
      <c r="F391">
        <v>17</v>
      </c>
      <c r="G391" t="b">
        <v>0</v>
      </c>
      <c r="H391" t="s">
        <v>13</v>
      </c>
      <c r="I391">
        <v>1</v>
      </c>
      <c r="J391">
        <v>0.2</v>
      </c>
      <c r="K391">
        <v>0.19700000000000001</v>
      </c>
      <c r="L391">
        <v>0.51</v>
      </c>
      <c r="M391">
        <v>0.19400000000000001</v>
      </c>
      <c r="N391">
        <v>4</v>
      </c>
      <c r="O391">
        <v>67</v>
      </c>
      <c r="P391">
        <v>71</v>
      </c>
    </row>
    <row r="392" spans="1:16" x14ac:dyDescent="0.2">
      <c r="A392">
        <v>391</v>
      </c>
      <c r="B392" s="3">
        <v>40560</v>
      </c>
      <c r="C392">
        <v>1</v>
      </c>
      <c r="D392">
        <v>2011</v>
      </c>
      <c r="E392" t="s">
        <v>10</v>
      </c>
      <c r="F392">
        <v>18</v>
      </c>
      <c r="G392" t="b">
        <v>0</v>
      </c>
      <c r="H392" t="s">
        <v>13</v>
      </c>
      <c r="I392">
        <v>2</v>
      </c>
      <c r="J392">
        <v>0.18</v>
      </c>
      <c r="K392">
        <v>0.16669999999999999</v>
      </c>
      <c r="L392">
        <v>0.55000000000000004</v>
      </c>
      <c r="M392">
        <v>0.25369999999999998</v>
      </c>
      <c r="N392">
        <v>7</v>
      </c>
      <c r="O392">
        <v>85</v>
      </c>
      <c r="P392">
        <v>92</v>
      </c>
    </row>
    <row r="393" spans="1:16" x14ac:dyDescent="0.2">
      <c r="A393">
        <v>392</v>
      </c>
      <c r="B393" s="3">
        <v>40560</v>
      </c>
      <c r="C393">
        <v>1</v>
      </c>
      <c r="D393">
        <v>2011</v>
      </c>
      <c r="E393" t="s">
        <v>10</v>
      </c>
      <c r="F393">
        <v>19</v>
      </c>
      <c r="G393" t="b">
        <v>0</v>
      </c>
      <c r="H393" t="s">
        <v>13</v>
      </c>
      <c r="I393">
        <v>3</v>
      </c>
      <c r="J393">
        <v>0.18</v>
      </c>
      <c r="K393">
        <v>0.18179999999999999</v>
      </c>
      <c r="L393">
        <v>0.59</v>
      </c>
      <c r="M393">
        <v>0.19400000000000001</v>
      </c>
      <c r="N393">
        <v>2</v>
      </c>
      <c r="O393">
        <v>58</v>
      </c>
      <c r="P393">
        <v>60</v>
      </c>
    </row>
    <row r="394" spans="1:16" x14ac:dyDescent="0.2">
      <c r="A394">
        <v>393</v>
      </c>
      <c r="B394" s="3">
        <v>40560</v>
      </c>
      <c r="C394">
        <v>1</v>
      </c>
      <c r="D394">
        <v>2011</v>
      </c>
      <c r="E394" t="s">
        <v>10</v>
      </c>
      <c r="F394">
        <v>20</v>
      </c>
      <c r="G394" t="b">
        <v>0</v>
      </c>
      <c r="H394" t="s">
        <v>13</v>
      </c>
      <c r="I394">
        <v>3</v>
      </c>
      <c r="J394">
        <v>0.16</v>
      </c>
      <c r="K394">
        <v>0.1515</v>
      </c>
      <c r="L394">
        <v>0.8</v>
      </c>
      <c r="M394">
        <v>0.19400000000000001</v>
      </c>
      <c r="N394">
        <v>4</v>
      </c>
      <c r="O394">
        <v>29</v>
      </c>
      <c r="P394">
        <v>33</v>
      </c>
    </row>
    <row r="395" spans="1:16" x14ac:dyDescent="0.2">
      <c r="A395">
        <v>394</v>
      </c>
      <c r="B395" s="3">
        <v>40560</v>
      </c>
      <c r="C395">
        <v>1</v>
      </c>
      <c r="D395">
        <v>2011</v>
      </c>
      <c r="E395" t="s">
        <v>10</v>
      </c>
      <c r="F395">
        <v>21</v>
      </c>
      <c r="G395" t="b">
        <v>0</v>
      </c>
      <c r="H395" t="s">
        <v>13</v>
      </c>
      <c r="I395">
        <v>3</v>
      </c>
      <c r="J395">
        <v>0.16</v>
      </c>
      <c r="K395">
        <v>0.1515</v>
      </c>
      <c r="L395">
        <v>0.8</v>
      </c>
      <c r="M395">
        <v>0.19400000000000001</v>
      </c>
      <c r="N395">
        <v>3</v>
      </c>
      <c r="O395">
        <v>24</v>
      </c>
      <c r="P395">
        <v>27</v>
      </c>
    </row>
    <row r="396" spans="1:16" x14ac:dyDescent="0.2">
      <c r="A396">
        <v>395</v>
      </c>
      <c r="B396" s="3">
        <v>40560</v>
      </c>
      <c r="C396">
        <v>1</v>
      </c>
      <c r="D396">
        <v>2011</v>
      </c>
      <c r="E396" t="s">
        <v>10</v>
      </c>
      <c r="F396">
        <v>22</v>
      </c>
      <c r="G396" t="b">
        <v>0</v>
      </c>
      <c r="H396" t="s">
        <v>13</v>
      </c>
      <c r="I396">
        <v>3</v>
      </c>
      <c r="J396">
        <v>0.14000000000000001</v>
      </c>
      <c r="K396">
        <v>0.1212</v>
      </c>
      <c r="L396">
        <v>0.93</v>
      </c>
      <c r="M396">
        <v>0.25369999999999998</v>
      </c>
      <c r="N396">
        <v>0</v>
      </c>
      <c r="O396">
        <v>13</v>
      </c>
      <c r="P396">
        <v>13</v>
      </c>
    </row>
    <row r="397" spans="1:16" x14ac:dyDescent="0.2">
      <c r="A397">
        <v>396</v>
      </c>
      <c r="B397" s="3">
        <v>40560</v>
      </c>
      <c r="C397">
        <v>1</v>
      </c>
      <c r="D397">
        <v>2011</v>
      </c>
      <c r="E397" t="s">
        <v>10</v>
      </c>
      <c r="F397">
        <v>23</v>
      </c>
      <c r="G397" t="b">
        <v>0</v>
      </c>
      <c r="H397" t="s">
        <v>13</v>
      </c>
      <c r="I397">
        <v>3</v>
      </c>
      <c r="J397">
        <v>0.16</v>
      </c>
      <c r="K397">
        <v>0.13639999999999999</v>
      </c>
      <c r="L397">
        <v>0.86</v>
      </c>
      <c r="M397">
        <v>0.28360000000000002</v>
      </c>
      <c r="N397">
        <v>1</v>
      </c>
      <c r="O397">
        <v>3</v>
      </c>
      <c r="P397">
        <v>4</v>
      </c>
    </row>
    <row r="398" spans="1:16" x14ac:dyDescent="0.2">
      <c r="A398">
        <v>397</v>
      </c>
      <c r="B398" s="3">
        <v>40561</v>
      </c>
      <c r="C398">
        <v>1</v>
      </c>
      <c r="D398">
        <v>2011</v>
      </c>
      <c r="E398" t="s">
        <v>10</v>
      </c>
      <c r="F398">
        <v>12</v>
      </c>
      <c r="G398" t="b">
        <v>0</v>
      </c>
      <c r="H398" t="s">
        <v>14</v>
      </c>
      <c r="I398">
        <v>2</v>
      </c>
      <c r="J398">
        <v>0.2</v>
      </c>
      <c r="K398">
        <v>0.18179999999999999</v>
      </c>
      <c r="L398">
        <v>0.86</v>
      </c>
      <c r="M398">
        <v>0.32840000000000003</v>
      </c>
      <c r="N398">
        <v>0</v>
      </c>
      <c r="O398">
        <v>3</v>
      </c>
      <c r="P398">
        <v>3</v>
      </c>
    </row>
    <row r="399" spans="1:16" x14ac:dyDescent="0.2">
      <c r="A399">
        <v>398</v>
      </c>
      <c r="B399" s="3">
        <v>40561</v>
      </c>
      <c r="C399">
        <v>1</v>
      </c>
      <c r="D399">
        <v>2011</v>
      </c>
      <c r="E399" t="s">
        <v>10</v>
      </c>
      <c r="F399">
        <v>13</v>
      </c>
      <c r="G399" t="b">
        <v>0</v>
      </c>
      <c r="H399" t="s">
        <v>14</v>
      </c>
      <c r="I399">
        <v>2</v>
      </c>
      <c r="J399">
        <v>0.2</v>
      </c>
      <c r="K399">
        <v>0.19700000000000001</v>
      </c>
      <c r="L399">
        <v>0.86</v>
      </c>
      <c r="M399">
        <v>0.22389999999999999</v>
      </c>
      <c r="N399">
        <v>0</v>
      </c>
      <c r="O399">
        <v>22</v>
      </c>
      <c r="P399">
        <v>22</v>
      </c>
    </row>
    <row r="400" spans="1:16" x14ac:dyDescent="0.2">
      <c r="A400">
        <v>399</v>
      </c>
      <c r="B400" s="3">
        <v>40561</v>
      </c>
      <c r="C400">
        <v>1</v>
      </c>
      <c r="D400">
        <v>2011</v>
      </c>
      <c r="E400" t="s">
        <v>10</v>
      </c>
      <c r="F400">
        <v>14</v>
      </c>
      <c r="G400" t="b">
        <v>0</v>
      </c>
      <c r="H400" t="s">
        <v>14</v>
      </c>
      <c r="I400">
        <v>2</v>
      </c>
      <c r="J400">
        <v>0.22</v>
      </c>
      <c r="K400">
        <v>0.2273</v>
      </c>
      <c r="L400">
        <v>0.8</v>
      </c>
      <c r="M400">
        <v>0.16420000000000001</v>
      </c>
      <c r="N400">
        <v>2</v>
      </c>
      <c r="O400">
        <v>26</v>
      </c>
      <c r="P400">
        <v>28</v>
      </c>
    </row>
    <row r="401" spans="1:16" x14ac:dyDescent="0.2">
      <c r="A401">
        <v>400</v>
      </c>
      <c r="B401" s="3">
        <v>40561</v>
      </c>
      <c r="C401">
        <v>1</v>
      </c>
      <c r="D401">
        <v>2011</v>
      </c>
      <c r="E401" t="s">
        <v>10</v>
      </c>
      <c r="F401">
        <v>15</v>
      </c>
      <c r="G401" t="b">
        <v>0</v>
      </c>
      <c r="H401" t="s">
        <v>14</v>
      </c>
      <c r="I401">
        <v>2</v>
      </c>
      <c r="J401">
        <v>0.22</v>
      </c>
      <c r="K401">
        <v>0.2273</v>
      </c>
      <c r="L401">
        <v>0.87</v>
      </c>
      <c r="M401">
        <v>0.16420000000000001</v>
      </c>
      <c r="N401">
        <v>3</v>
      </c>
      <c r="O401">
        <v>32</v>
      </c>
      <c r="P401">
        <v>35</v>
      </c>
    </row>
    <row r="402" spans="1:16" x14ac:dyDescent="0.2">
      <c r="A402">
        <v>401</v>
      </c>
      <c r="B402" s="3">
        <v>40561</v>
      </c>
      <c r="C402">
        <v>1</v>
      </c>
      <c r="D402">
        <v>2011</v>
      </c>
      <c r="E402" t="s">
        <v>10</v>
      </c>
      <c r="F402">
        <v>16</v>
      </c>
      <c r="G402" t="b">
        <v>0</v>
      </c>
      <c r="H402" t="s">
        <v>14</v>
      </c>
      <c r="I402">
        <v>2</v>
      </c>
      <c r="J402">
        <v>0.22</v>
      </c>
      <c r="K402">
        <v>0.2273</v>
      </c>
      <c r="L402">
        <v>0.87</v>
      </c>
      <c r="M402">
        <v>0.19400000000000001</v>
      </c>
      <c r="N402">
        <v>0</v>
      </c>
      <c r="O402">
        <v>61</v>
      </c>
      <c r="P402">
        <v>61</v>
      </c>
    </row>
    <row r="403" spans="1:16" x14ac:dyDescent="0.2">
      <c r="A403">
        <v>402</v>
      </c>
      <c r="B403" s="3">
        <v>40561</v>
      </c>
      <c r="C403">
        <v>1</v>
      </c>
      <c r="D403">
        <v>2011</v>
      </c>
      <c r="E403" t="s">
        <v>10</v>
      </c>
      <c r="F403">
        <v>17</v>
      </c>
      <c r="G403" t="b">
        <v>0</v>
      </c>
      <c r="H403" t="s">
        <v>14</v>
      </c>
      <c r="I403">
        <v>2</v>
      </c>
      <c r="J403">
        <v>0.22</v>
      </c>
      <c r="K403">
        <v>0.2273</v>
      </c>
      <c r="L403">
        <v>0.82</v>
      </c>
      <c r="M403">
        <v>0.19400000000000001</v>
      </c>
      <c r="N403">
        <v>1</v>
      </c>
      <c r="O403">
        <v>124</v>
      </c>
      <c r="P403">
        <v>125</v>
      </c>
    </row>
    <row r="404" spans="1:16" x14ac:dyDescent="0.2">
      <c r="A404">
        <v>403</v>
      </c>
      <c r="B404" s="3">
        <v>40561</v>
      </c>
      <c r="C404">
        <v>1</v>
      </c>
      <c r="D404">
        <v>2011</v>
      </c>
      <c r="E404" t="s">
        <v>10</v>
      </c>
      <c r="F404">
        <v>18</v>
      </c>
      <c r="G404" t="b">
        <v>0</v>
      </c>
      <c r="H404" t="s">
        <v>14</v>
      </c>
      <c r="I404">
        <v>2</v>
      </c>
      <c r="J404">
        <v>0.22</v>
      </c>
      <c r="K404">
        <v>0.2273</v>
      </c>
      <c r="L404">
        <v>0.8</v>
      </c>
      <c r="M404">
        <v>0.16420000000000001</v>
      </c>
      <c r="N404">
        <v>1</v>
      </c>
      <c r="O404">
        <v>132</v>
      </c>
      <c r="P404">
        <v>133</v>
      </c>
    </row>
    <row r="405" spans="1:16" x14ac:dyDescent="0.2">
      <c r="A405">
        <v>404</v>
      </c>
      <c r="B405" s="3">
        <v>40561</v>
      </c>
      <c r="C405">
        <v>1</v>
      </c>
      <c r="D405">
        <v>2011</v>
      </c>
      <c r="E405" t="s">
        <v>10</v>
      </c>
      <c r="F405">
        <v>19</v>
      </c>
      <c r="G405" t="b">
        <v>0</v>
      </c>
      <c r="H405" t="s">
        <v>14</v>
      </c>
      <c r="I405">
        <v>2</v>
      </c>
      <c r="J405">
        <v>0.22</v>
      </c>
      <c r="K405">
        <v>0.2273</v>
      </c>
      <c r="L405">
        <v>0.8</v>
      </c>
      <c r="M405">
        <v>0.1343</v>
      </c>
      <c r="N405">
        <v>1</v>
      </c>
      <c r="O405">
        <v>98</v>
      </c>
      <c r="P405">
        <v>99</v>
      </c>
    </row>
    <row r="406" spans="1:16" x14ac:dyDescent="0.2">
      <c r="A406">
        <v>405</v>
      </c>
      <c r="B406" s="3">
        <v>40561</v>
      </c>
      <c r="C406">
        <v>1</v>
      </c>
      <c r="D406">
        <v>2011</v>
      </c>
      <c r="E406" t="s">
        <v>10</v>
      </c>
      <c r="F406">
        <v>20</v>
      </c>
      <c r="G406" t="b">
        <v>0</v>
      </c>
      <c r="H406" t="s">
        <v>14</v>
      </c>
      <c r="I406">
        <v>2</v>
      </c>
      <c r="J406">
        <v>0.22</v>
      </c>
      <c r="K406">
        <v>0.2727</v>
      </c>
      <c r="L406">
        <v>0.87</v>
      </c>
      <c r="M406">
        <v>0</v>
      </c>
      <c r="N406">
        <v>0</v>
      </c>
      <c r="O406">
        <v>83</v>
      </c>
      <c r="P406">
        <v>83</v>
      </c>
    </row>
    <row r="407" spans="1:16" x14ac:dyDescent="0.2">
      <c r="A407">
        <v>406</v>
      </c>
      <c r="B407" s="3">
        <v>40561</v>
      </c>
      <c r="C407">
        <v>1</v>
      </c>
      <c r="D407">
        <v>2011</v>
      </c>
      <c r="E407" t="s">
        <v>10</v>
      </c>
      <c r="F407">
        <v>21</v>
      </c>
      <c r="G407" t="b">
        <v>0</v>
      </c>
      <c r="H407" t="s">
        <v>14</v>
      </c>
      <c r="I407">
        <v>2</v>
      </c>
      <c r="J407">
        <v>0.22</v>
      </c>
      <c r="K407">
        <v>0.2424</v>
      </c>
      <c r="L407">
        <v>0.93</v>
      </c>
      <c r="M407">
        <v>0.1045</v>
      </c>
      <c r="N407">
        <v>0</v>
      </c>
      <c r="O407">
        <v>41</v>
      </c>
      <c r="P407">
        <v>41</v>
      </c>
    </row>
    <row r="408" spans="1:16" x14ac:dyDescent="0.2">
      <c r="A408">
        <v>407</v>
      </c>
      <c r="B408" s="3">
        <v>40561</v>
      </c>
      <c r="C408">
        <v>1</v>
      </c>
      <c r="D408">
        <v>2011</v>
      </c>
      <c r="E408" t="s">
        <v>10</v>
      </c>
      <c r="F408">
        <v>22</v>
      </c>
      <c r="G408" t="b">
        <v>0</v>
      </c>
      <c r="H408" t="s">
        <v>14</v>
      </c>
      <c r="I408">
        <v>2</v>
      </c>
      <c r="J408">
        <v>0.22</v>
      </c>
      <c r="K408">
        <v>0.2576</v>
      </c>
      <c r="L408">
        <v>0.93</v>
      </c>
      <c r="M408">
        <v>8.9599999999999999E-2</v>
      </c>
      <c r="N408">
        <v>0</v>
      </c>
      <c r="O408">
        <v>33</v>
      </c>
      <c r="P408">
        <v>33</v>
      </c>
    </row>
    <row r="409" spans="1:16" x14ac:dyDescent="0.2">
      <c r="A409">
        <v>408</v>
      </c>
      <c r="B409" s="3">
        <v>40561</v>
      </c>
      <c r="C409">
        <v>1</v>
      </c>
      <c r="D409">
        <v>2011</v>
      </c>
      <c r="E409" t="s">
        <v>10</v>
      </c>
      <c r="F409">
        <v>23</v>
      </c>
      <c r="G409" t="b">
        <v>0</v>
      </c>
      <c r="H409" t="s">
        <v>14</v>
      </c>
      <c r="I409">
        <v>2</v>
      </c>
      <c r="J409">
        <v>0.22</v>
      </c>
      <c r="K409">
        <v>0.2727</v>
      </c>
      <c r="L409">
        <v>0.93</v>
      </c>
      <c r="M409">
        <v>0</v>
      </c>
      <c r="N409">
        <v>1</v>
      </c>
      <c r="O409">
        <v>19</v>
      </c>
      <c r="P409">
        <v>20</v>
      </c>
    </row>
    <row r="410" spans="1:16" x14ac:dyDescent="0.2">
      <c r="A410">
        <v>409</v>
      </c>
      <c r="B410" s="3">
        <v>40562</v>
      </c>
      <c r="C410">
        <v>1</v>
      </c>
      <c r="D410">
        <v>2011</v>
      </c>
      <c r="E410" t="s">
        <v>10</v>
      </c>
      <c r="F410">
        <v>0</v>
      </c>
      <c r="G410" t="b">
        <v>0</v>
      </c>
      <c r="H410" t="s">
        <v>15</v>
      </c>
      <c r="I410">
        <v>2</v>
      </c>
      <c r="J410">
        <v>0.22</v>
      </c>
      <c r="K410">
        <v>0.2727</v>
      </c>
      <c r="L410">
        <v>0.93</v>
      </c>
      <c r="M410">
        <v>0</v>
      </c>
      <c r="N410">
        <v>0</v>
      </c>
      <c r="O410">
        <v>3</v>
      </c>
      <c r="P410">
        <v>3</v>
      </c>
    </row>
    <row r="411" spans="1:16" x14ac:dyDescent="0.2">
      <c r="A411">
        <v>410</v>
      </c>
      <c r="B411" s="3">
        <v>40562</v>
      </c>
      <c r="C411">
        <v>1</v>
      </c>
      <c r="D411">
        <v>2011</v>
      </c>
      <c r="E411" t="s">
        <v>10</v>
      </c>
      <c r="F411">
        <v>1</v>
      </c>
      <c r="G411" t="b">
        <v>0</v>
      </c>
      <c r="H411" t="s">
        <v>15</v>
      </c>
      <c r="I411">
        <v>3</v>
      </c>
      <c r="J411">
        <v>0.22</v>
      </c>
      <c r="K411">
        <v>0.2273</v>
      </c>
      <c r="L411">
        <v>0.93</v>
      </c>
      <c r="M411">
        <v>0.1343</v>
      </c>
      <c r="N411">
        <v>1</v>
      </c>
      <c r="O411">
        <v>6</v>
      </c>
      <c r="P411">
        <v>7</v>
      </c>
    </row>
    <row r="412" spans="1:16" x14ac:dyDescent="0.2">
      <c r="A412">
        <v>411</v>
      </c>
      <c r="B412" s="3">
        <v>40562</v>
      </c>
      <c r="C412">
        <v>1</v>
      </c>
      <c r="D412">
        <v>2011</v>
      </c>
      <c r="E412" t="s">
        <v>10</v>
      </c>
      <c r="F412">
        <v>2</v>
      </c>
      <c r="G412" t="b">
        <v>0</v>
      </c>
      <c r="H412" t="s">
        <v>15</v>
      </c>
      <c r="I412">
        <v>3</v>
      </c>
      <c r="J412">
        <v>0.22</v>
      </c>
      <c r="K412">
        <v>0.2273</v>
      </c>
      <c r="L412">
        <v>0.93</v>
      </c>
      <c r="M412">
        <v>0.1343</v>
      </c>
      <c r="N412">
        <v>0</v>
      </c>
      <c r="O412">
        <v>3</v>
      </c>
      <c r="P412">
        <v>3</v>
      </c>
    </row>
    <row r="413" spans="1:16" x14ac:dyDescent="0.2">
      <c r="A413">
        <v>412</v>
      </c>
      <c r="B413" s="3">
        <v>40562</v>
      </c>
      <c r="C413">
        <v>1</v>
      </c>
      <c r="D413">
        <v>2011</v>
      </c>
      <c r="E413" t="s">
        <v>10</v>
      </c>
      <c r="F413">
        <v>4</v>
      </c>
      <c r="G413" t="b">
        <v>0</v>
      </c>
      <c r="H413" t="s">
        <v>15</v>
      </c>
      <c r="I413">
        <v>3</v>
      </c>
      <c r="J413">
        <v>0.22</v>
      </c>
      <c r="K413">
        <v>0.2273</v>
      </c>
      <c r="L413">
        <v>0.93</v>
      </c>
      <c r="M413">
        <v>0.1343</v>
      </c>
      <c r="N413">
        <v>1</v>
      </c>
      <c r="O413">
        <v>1</v>
      </c>
      <c r="P413">
        <v>2</v>
      </c>
    </row>
    <row r="414" spans="1:16" x14ac:dyDescent="0.2">
      <c r="A414">
        <v>413</v>
      </c>
      <c r="B414" s="3">
        <v>40562</v>
      </c>
      <c r="C414">
        <v>1</v>
      </c>
      <c r="D414">
        <v>2011</v>
      </c>
      <c r="E414" t="s">
        <v>10</v>
      </c>
      <c r="F414">
        <v>5</v>
      </c>
      <c r="G414" t="b">
        <v>0</v>
      </c>
      <c r="H414" t="s">
        <v>15</v>
      </c>
      <c r="I414">
        <v>2</v>
      </c>
      <c r="J414">
        <v>0.22</v>
      </c>
      <c r="K414">
        <v>0.2576</v>
      </c>
      <c r="L414">
        <v>0.93</v>
      </c>
      <c r="M414">
        <v>8.9599999999999999E-2</v>
      </c>
      <c r="N414">
        <v>0</v>
      </c>
      <c r="O414">
        <v>7</v>
      </c>
      <c r="P414">
        <v>7</v>
      </c>
    </row>
    <row r="415" spans="1:16" x14ac:dyDescent="0.2">
      <c r="A415">
        <v>414</v>
      </c>
      <c r="B415" s="3">
        <v>40562</v>
      </c>
      <c r="C415">
        <v>1</v>
      </c>
      <c r="D415">
        <v>2011</v>
      </c>
      <c r="E415" t="s">
        <v>10</v>
      </c>
      <c r="F415">
        <v>6</v>
      </c>
      <c r="G415" t="b">
        <v>0</v>
      </c>
      <c r="H415" t="s">
        <v>15</v>
      </c>
      <c r="I415">
        <v>2</v>
      </c>
      <c r="J415">
        <v>0.22</v>
      </c>
      <c r="K415">
        <v>0.2576</v>
      </c>
      <c r="L415">
        <v>0.93</v>
      </c>
      <c r="M415">
        <v>8.9599999999999999E-2</v>
      </c>
      <c r="N415">
        <v>0</v>
      </c>
      <c r="O415">
        <v>32</v>
      </c>
      <c r="P415">
        <v>32</v>
      </c>
    </row>
    <row r="416" spans="1:16" x14ac:dyDescent="0.2">
      <c r="A416">
        <v>415</v>
      </c>
      <c r="B416" s="3">
        <v>40562</v>
      </c>
      <c r="C416">
        <v>1</v>
      </c>
      <c r="D416">
        <v>2011</v>
      </c>
      <c r="E416" t="s">
        <v>10</v>
      </c>
      <c r="F416">
        <v>7</v>
      </c>
      <c r="G416" t="b">
        <v>0</v>
      </c>
      <c r="H416" t="s">
        <v>15</v>
      </c>
      <c r="I416">
        <v>2</v>
      </c>
      <c r="J416">
        <v>0.24</v>
      </c>
      <c r="K416">
        <v>0.2576</v>
      </c>
      <c r="L416">
        <v>0.92</v>
      </c>
      <c r="M416">
        <v>0.1045</v>
      </c>
      <c r="N416">
        <v>1</v>
      </c>
      <c r="O416">
        <v>89</v>
      </c>
      <c r="P416">
        <v>90</v>
      </c>
    </row>
    <row r="417" spans="1:16" x14ac:dyDescent="0.2">
      <c r="A417">
        <v>416</v>
      </c>
      <c r="B417" s="3">
        <v>40562</v>
      </c>
      <c r="C417">
        <v>1</v>
      </c>
      <c r="D417">
        <v>2011</v>
      </c>
      <c r="E417" t="s">
        <v>10</v>
      </c>
      <c r="F417">
        <v>8</v>
      </c>
      <c r="G417" t="b">
        <v>0</v>
      </c>
      <c r="H417" t="s">
        <v>15</v>
      </c>
      <c r="I417">
        <v>2</v>
      </c>
      <c r="J417">
        <v>0.24</v>
      </c>
      <c r="K417">
        <v>0.2576</v>
      </c>
      <c r="L417">
        <v>0.93</v>
      </c>
      <c r="M417">
        <v>0.1045</v>
      </c>
      <c r="N417">
        <v>1</v>
      </c>
      <c r="O417">
        <v>196</v>
      </c>
      <c r="P417">
        <v>197</v>
      </c>
    </row>
    <row r="418" spans="1:16" x14ac:dyDescent="0.2">
      <c r="A418">
        <v>417</v>
      </c>
      <c r="B418" s="3">
        <v>40562</v>
      </c>
      <c r="C418">
        <v>1</v>
      </c>
      <c r="D418">
        <v>2011</v>
      </c>
      <c r="E418" t="s">
        <v>10</v>
      </c>
      <c r="F418">
        <v>9</v>
      </c>
      <c r="G418" t="b">
        <v>0</v>
      </c>
      <c r="H418" t="s">
        <v>15</v>
      </c>
      <c r="I418">
        <v>2</v>
      </c>
      <c r="J418">
        <v>0.24</v>
      </c>
      <c r="K418">
        <v>0.2576</v>
      </c>
      <c r="L418">
        <v>0.93</v>
      </c>
      <c r="M418">
        <v>0.1045</v>
      </c>
      <c r="N418">
        <v>2</v>
      </c>
      <c r="O418">
        <v>107</v>
      </c>
      <c r="P418">
        <v>109</v>
      </c>
    </row>
    <row r="419" spans="1:16" x14ac:dyDescent="0.2">
      <c r="A419">
        <v>418</v>
      </c>
      <c r="B419" s="3">
        <v>40562</v>
      </c>
      <c r="C419">
        <v>1</v>
      </c>
      <c r="D419">
        <v>2011</v>
      </c>
      <c r="E419" t="s">
        <v>10</v>
      </c>
      <c r="F419">
        <v>10</v>
      </c>
      <c r="G419" t="b">
        <v>0</v>
      </c>
      <c r="H419" t="s">
        <v>15</v>
      </c>
      <c r="I419">
        <v>2</v>
      </c>
      <c r="J419">
        <v>0.26</v>
      </c>
      <c r="K419">
        <v>0.2727</v>
      </c>
      <c r="L419">
        <v>0.93</v>
      </c>
      <c r="M419">
        <v>0.1343</v>
      </c>
      <c r="N419">
        <v>1</v>
      </c>
      <c r="O419">
        <v>46</v>
      </c>
      <c r="P419">
        <v>47</v>
      </c>
    </row>
    <row r="420" spans="1:16" x14ac:dyDescent="0.2">
      <c r="A420">
        <v>419</v>
      </c>
      <c r="B420" s="3">
        <v>40562</v>
      </c>
      <c r="C420">
        <v>1</v>
      </c>
      <c r="D420">
        <v>2011</v>
      </c>
      <c r="E420" t="s">
        <v>10</v>
      </c>
      <c r="F420">
        <v>11</v>
      </c>
      <c r="G420" t="b">
        <v>0</v>
      </c>
      <c r="H420" t="s">
        <v>15</v>
      </c>
      <c r="I420">
        <v>2</v>
      </c>
      <c r="J420">
        <v>0.28000000000000003</v>
      </c>
      <c r="K420">
        <v>0.30299999999999999</v>
      </c>
      <c r="L420">
        <v>0.87</v>
      </c>
      <c r="M420">
        <v>8.9599999999999999E-2</v>
      </c>
      <c r="N420">
        <v>5</v>
      </c>
      <c r="O420">
        <v>47</v>
      </c>
      <c r="P420">
        <v>52</v>
      </c>
    </row>
    <row r="421" spans="1:16" x14ac:dyDescent="0.2">
      <c r="A421">
        <v>420</v>
      </c>
      <c r="B421" s="3">
        <v>40562</v>
      </c>
      <c r="C421">
        <v>1</v>
      </c>
      <c r="D421">
        <v>2011</v>
      </c>
      <c r="E421" t="s">
        <v>10</v>
      </c>
      <c r="F421">
        <v>12</v>
      </c>
      <c r="G421" t="b">
        <v>0</v>
      </c>
      <c r="H421" t="s">
        <v>15</v>
      </c>
      <c r="I421">
        <v>2</v>
      </c>
      <c r="J421">
        <v>0.3</v>
      </c>
      <c r="K421">
        <v>0.31819999999999998</v>
      </c>
      <c r="L421">
        <v>0.81</v>
      </c>
      <c r="M421">
        <v>8.9599999999999999E-2</v>
      </c>
      <c r="N421">
        <v>5</v>
      </c>
      <c r="O421">
        <v>65</v>
      </c>
      <c r="P421">
        <v>70</v>
      </c>
    </row>
    <row r="422" spans="1:16" x14ac:dyDescent="0.2">
      <c r="A422">
        <v>421</v>
      </c>
      <c r="B422" s="3">
        <v>40562</v>
      </c>
      <c r="C422">
        <v>1</v>
      </c>
      <c r="D422">
        <v>2011</v>
      </c>
      <c r="E422" t="s">
        <v>10</v>
      </c>
      <c r="F422">
        <v>13</v>
      </c>
      <c r="G422" t="b">
        <v>0</v>
      </c>
      <c r="H422" t="s">
        <v>15</v>
      </c>
      <c r="I422">
        <v>1</v>
      </c>
      <c r="J422">
        <v>0.4</v>
      </c>
      <c r="K422">
        <v>0.40910000000000002</v>
      </c>
      <c r="L422">
        <v>0.62</v>
      </c>
      <c r="M422">
        <v>0.28360000000000002</v>
      </c>
      <c r="N422">
        <v>11</v>
      </c>
      <c r="O422">
        <v>67</v>
      </c>
      <c r="P422">
        <v>78</v>
      </c>
    </row>
    <row r="423" spans="1:16" x14ac:dyDescent="0.2">
      <c r="A423">
        <v>422</v>
      </c>
      <c r="B423" s="3">
        <v>40562</v>
      </c>
      <c r="C423">
        <v>1</v>
      </c>
      <c r="D423">
        <v>2011</v>
      </c>
      <c r="E423" t="s">
        <v>10</v>
      </c>
      <c r="F423">
        <v>14</v>
      </c>
      <c r="G423" t="b">
        <v>0</v>
      </c>
      <c r="H423" t="s">
        <v>15</v>
      </c>
      <c r="I423">
        <v>1</v>
      </c>
      <c r="J423">
        <v>0.4</v>
      </c>
      <c r="K423">
        <v>0.40910000000000002</v>
      </c>
      <c r="L423">
        <v>0.57999999999999996</v>
      </c>
      <c r="M423">
        <v>0.25369999999999998</v>
      </c>
      <c r="N423">
        <v>7</v>
      </c>
      <c r="O423">
        <v>68</v>
      </c>
      <c r="P423">
        <v>75</v>
      </c>
    </row>
    <row r="424" spans="1:16" x14ac:dyDescent="0.2">
      <c r="A424">
        <v>423</v>
      </c>
      <c r="B424" s="3">
        <v>40562</v>
      </c>
      <c r="C424">
        <v>1</v>
      </c>
      <c r="D424">
        <v>2011</v>
      </c>
      <c r="E424" t="s">
        <v>10</v>
      </c>
      <c r="F424">
        <v>15</v>
      </c>
      <c r="G424" t="b">
        <v>0</v>
      </c>
      <c r="H424" t="s">
        <v>15</v>
      </c>
      <c r="I424">
        <v>1</v>
      </c>
      <c r="J424">
        <v>0.4</v>
      </c>
      <c r="K424">
        <v>0.40910000000000002</v>
      </c>
      <c r="L424">
        <v>0.54</v>
      </c>
      <c r="M424">
        <v>0.28360000000000002</v>
      </c>
      <c r="N424">
        <v>4</v>
      </c>
      <c r="O424">
        <v>78</v>
      </c>
      <c r="P424">
        <v>82</v>
      </c>
    </row>
    <row r="425" spans="1:16" x14ac:dyDescent="0.2">
      <c r="A425">
        <v>424</v>
      </c>
      <c r="B425" s="3">
        <v>40562</v>
      </c>
      <c r="C425">
        <v>1</v>
      </c>
      <c r="D425">
        <v>2011</v>
      </c>
      <c r="E425" t="s">
        <v>10</v>
      </c>
      <c r="F425">
        <v>16</v>
      </c>
      <c r="G425" t="b">
        <v>0</v>
      </c>
      <c r="H425" t="s">
        <v>15</v>
      </c>
      <c r="I425">
        <v>1</v>
      </c>
      <c r="J425">
        <v>0.38</v>
      </c>
      <c r="K425">
        <v>0.39389999999999997</v>
      </c>
      <c r="L425">
        <v>0.57999999999999996</v>
      </c>
      <c r="M425">
        <v>0.3881</v>
      </c>
      <c r="N425">
        <v>10</v>
      </c>
      <c r="O425">
        <v>94</v>
      </c>
      <c r="P425">
        <v>104</v>
      </c>
    </row>
    <row r="426" spans="1:16" x14ac:dyDescent="0.2">
      <c r="A426">
        <v>425</v>
      </c>
      <c r="B426" s="3">
        <v>40562</v>
      </c>
      <c r="C426">
        <v>1</v>
      </c>
      <c r="D426">
        <v>2011</v>
      </c>
      <c r="E426" t="s">
        <v>10</v>
      </c>
      <c r="F426">
        <v>17</v>
      </c>
      <c r="G426" t="b">
        <v>0</v>
      </c>
      <c r="H426" t="s">
        <v>15</v>
      </c>
      <c r="I426">
        <v>1</v>
      </c>
      <c r="J426">
        <v>0.36</v>
      </c>
      <c r="K426">
        <v>0.33329999999999999</v>
      </c>
      <c r="L426">
        <v>0.56999999999999995</v>
      </c>
      <c r="M426">
        <v>0.32840000000000003</v>
      </c>
      <c r="N426">
        <v>7</v>
      </c>
      <c r="O426">
        <v>190</v>
      </c>
      <c r="P426">
        <v>197</v>
      </c>
    </row>
    <row r="427" spans="1:16" x14ac:dyDescent="0.2">
      <c r="A427">
        <v>426</v>
      </c>
      <c r="B427" s="3">
        <v>40562</v>
      </c>
      <c r="C427">
        <v>1</v>
      </c>
      <c r="D427">
        <v>2011</v>
      </c>
      <c r="E427" t="s">
        <v>10</v>
      </c>
      <c r="F427">
        <v>18</v>
      </c>
      <c r="G427" t="b">
        <v>0</v>
      </c>
      <c r="H427" t="s">
        <v>15</v>
      </c>
      <c r="I427">
        <v>1</v>
      </c>
      <c r="J427">
        <v>0.34</v>
      </c>
      <c r="K427">
        <v>0.31819999999999998</v>
      </c>
      <c r="L427">
        <v>0.61</v>
      </c>
      <c r="M427">
        <v>0.28360000000000002</v>
      </c>
      <c r="N427">
        <v>5</v>
      </c>
      <c r="O427">
        <v>156</v>
      </c>
      <c r="P427">
        <v>161</v>
      </c>
    </row>
    <row r="428" spans="1:16" x14ac:dyDescent="0.2">
      <c r="A428">
        <v>427</v>
      </c>
      <c r="B428" s="3">
        <v>40562</v>
      </c>
      <c r="C428">
        <v>1</v>
      </c>
      <c r="D428">
        <v>2011</v>
      </c>
      <c r="E428" t="s">
        <v>10</v>
      </c>
      <c r="F428">
        <v>19</v>
      </c>
      <c r="G428" t="b">
        <v>0</v>
      </c>
      <c r="H428" t="s">
        <v>15</v>
      </c>
      <c r="I428">
        <v>1</v>
      </c>
      <c r="J428">
        <v>0.32</v>
      </c>
      <c r="K428">
        <v>0.28789999999999999</v>
      </c>
      <c r="L428">
        <v>0.56999999999999995</v>
      </c>
      <c r="M428">
        <v>0.41789999999999999</v>
      </c>
      <c r="N428">
        <v>4</v>
      </c>
      <c r="O428">
        <v>108</v>
      </c>
      <c r="P428">
        <v>112</v>
      </c>
    </row>
    <row r="429" spans="1:16" x14ac:dyDescent="0.2">
      <c r="A429">
        <v>428</v>
      </c>
      <c r="B429" s="3">
        <v>40562</v>
      </c>
      <c r="C429">
        <v>1</v>
      </c>
      <c r="D429">
        <v>2011</v>
      </c>
      <c r="E429" t="s">
        <v>10</v>
      </c>
      <c r="F429">
        <v>20</v>
      </c>
      <c r="G429" t="b">
        <v>0</v>
      </c>
      <c r="H429" t="s">
        <v>15</v>
      </c>
      <c r="I429">
        <v>1</v>
      </c>
      <c r="J429">
        <v>0.32</v>
      </c>
      <c r="K429">
        <v>0.30299999999999999</v>
      </c>
      <c r="L429">
        <v>0.49</v>
      </c>
      <c r="M429">
        <v>0.29849999999999999</v>
      </c>
      <c r="N429">
        <v>2</v>
      </c>
      <c r="O429">
        <v>74</v>
      </c>
      <c r="P429">
        <v>76</v>
      </c>
    </row>
    <row r="430" spans="1:16" x14ac:dyDescent="0.2">
      <c r="A430">
        <v>429</v>
      </c>
      <c r="B430" s="3">
        <v>40562</v>
      </c>
      <c r="C430">
        <v>1</v>
      </c>
      <c r="D430">
        <v>2011</v>
      </c>
      <c r="E430" t="s">
        <v>10</v>
      </c>
      <c r="F430">
        <v>21</v>
      </c>
      <c r="G430" t="b">
        <v>0</v>
      </c>
      <c r="H430" t="s">
        <v>15</v>
      </c>
      <c r="I430">
        <v>1</v>
      </c>
      <c r="J430">
        <v>0.32</v>
      </c>
      <c r="K430">
        <v>0.28789999999999999</v>
      </c>
      <c r="L430">
        <v>0.49</v>
      </c>
      <c r="M430">
        <v>0.41789999999999999</v>
      </c>
      <c r="N430">
        <v>4</v>
      </c>
      <c r="O430">
        <v>55</v>
      </c>
      <c r="P430">
        <v>59</v>
      </c>
    </row>
    <row r="431" spans="1:16" x14ac:dyDescent="0.2">
      <c r="A431">
        <v>430</v>
      </c>
      <c r="B431" s="3">
        <v>40562</v>
      </c>
      <c r="C431">
        <v>1</v>
      </c>
      <c r="D431">
        <v>2011</v>
      </c>
      <c r="E431" t="s">
        <v>10</v>
      </c>
      <c r="F431">
        <v>22</v>
      </c>
      <c r="G431" t="b">
        <v>0</v>
      </c>
      <c r="H431" t="s">
        <v>15</v>
      </c>
      <c r="I431">
        <v>1</v>
      </c>
      <c r="J431">
        <v>0.3</v>
      </c>
      <c r="K431">
        <v>0.30299999999999999</v>
      </c>
      <c r="L431">
        <v>0.52</v>
      </c>
      <c r="M431">
        <v>0.16420000000000001</v>
      </c>
      <c r="N431">
        <v>6</v>
      </c>
      <c r="O431">
        <v>53</v>
      </c>
      <c r="P431">
        <v>59</v>
      </c>
    </row>
    <row r="432" spans="1:16" x14ac:dyDescent="0.2">
      <c r="A432">
        <v>431</v>
      </c>
      <c r="B432" s="3">
        <v>40562</v>
      </c>
      <c r="C432">
        <v>1</v>
      </c>
      <c r="D432">
        <v>2011</v>
      </c>
      <c r="E432" t="s">
        <v>10</v>
      </c>
      <c r="F432">
        <v>23</v>
      </c>
      <c r="G432" t="b">
        <v>0</v>
      </c>
      <c r="H432" t="s">
        <v>15</v>
      </c>
      <c r="I432">
        <v>1</v>
      </c>
      <c r="J432">
        <v>0.3</v>
      </c>
      <c r="K432">
        <v>0.2727</v>
      </c>
      <c r="L432">
        <v>0.52</v>
      </c>
      <c r="M432">
        <v>0.4627</v>
      </c>
      <c r="N432">
        <v>1</v>
      </c>
      <c r="O432">
        <v>27</v>
      </c>
      <c r="P432">
        <v>28</v>
      </c>
    </row>
    <row r="433" spans="1:16" x14ac:dyDescent="0.2">
      <c r="A433">
        <v>432</v>
      </c>
      <c r="B433" s="3">
        <v>40563</v>
      </c>
      <c r="C433">
        <v>1</v>
      </c>
      <c r="D433">
        <v>2011</v>
      </c>
      <c r="E433" t="s">
        <v>10</v>
      </c>
      <c r="F433">
        <v>0</v>
      </c>
      <c r="G433" t="b">
        <v>0</v>
      </c>
      <c r="H433" t="s">
        <v>16</v>
      </c>
      <c r="I433">
        <v>1</v>
      </c>
      <c r="J433">
        <v>0.26</v>
      </c>
      <c r="K433">
        <v>0.2273</v>
      </c>
      <c r="L433">
        <v>0.56000000000000005</v>
      </c>
      <c r="M433">
        <v>0.3881</v>
      </c>
      <c r="N433">
        <v>5</v>
      </c>
      <c r="O433">
        <v>8</v>
      </c>
      <c r="P433">
        <v>13</v>
      </c>
    </row>
    <row r="434" spans="1:16" x14ac:dyDescent="0.2">
      <c r="A434">
        <v>433</v>
      </c>
      <c r="B434" s="3">
        <v>40563</v>
      </c>
      <c r="C434">
        <v>1</v>
      </c>
      <c r="D434">
        <v>2011</v>
      </c>
      <c r="E434" t="s">
        <v>10</v>
      </c>
      <c r="F434">
        <v>1</v>
      </c>
      <c r="G434" t="b">
        <v>0</v>
      </c>
      <c r="H434" t="s">
        <v>16</v>
      </c>
      <c r="I434">
        <v>1</v>
      </c>
      <c r="J434">
        <v>0.26</v>
      </c>
      <c r="K434">
        <v>0.2727</v>
      </c>
      <c r="L434">
        <v>0.56000000000000005</v>
      </c>
      <c r="M434">
        <v>0</v>
      </c>
      <c r="N434">
        <v>2</v>
      </c>
      <c r="O434">
        <v>3</v>
      </c>
      <c r="P434">
        <v>5</v>
      </c>
    </row>
    <row r="435" spans="1:16" x14ac:dyDescent="0.2">
      <c r="A435">
        <v>434</v>
      </c>
      <c r="B435" s="3">
        <v>40563</v>
      </c>
      <c r="C435">
        <v>1</v>
      </c>
      <c r="D435">
        <v>2011</v>
      </c>
      <c r="E435" t="s">
        <v>10</v>
      </c>
      <c r="F435">
        <v>2</v>
      </c>
      <c r="G435" t="b">
        <v>0</v>
      </c>
      <c r="H435" t="s">
        <v>16</v>
      </c>
      <c r="I435">
        <v>1</v>
      </c>
      <c r="J435">
        <v>0.26</v>
      </c>
      <c r="K435">
        <v>0.2727</v>
      </c>
      <c r="L435">
        <v>0.56000000000000005</v>
      </c>
      <c r="M435">
        <v>0</v>
      </c>
      <c r="N435">
        <v>0</v>
      </c>
      <c r="O435">
        <v>2</v>
      </c>
      <c r="P435">
        <v>2</v>
      </c>
    </row>
    <row r="436" spans="1:16" x14ac:dyDescent="0.2">
      <c r="A436">
        <v>435</v>
      </c>
      <c r="B436" s="3">
        <v>40563</v>
      </c>
      <c r="C436">
        <v>1</v>
      </c>
      <c r="D436">
        <v>2011</v>
      </c>
      <c r="E436" t="s">
        <v>10</v>
      </c>
      <c r="F436">
        <v>3</v>
      </c>
      <c r="G436" t="b">
        <v>0</v>
      </c>
      <c r="H436" t="s">
        <v>16</v>
      </c>
      <c r="I436">
        <v>1</v>
      </c>
      <c r="J436">
        <v>0.26</v>
      </c>
      <c r="K436">
        <v>0.2576</v>
      </c>
      <c r="L436">
        <v>0.56000000000000005</v>
      </c>
      <c r="M436">
        <v>0.16420000000000001</v>
      </c>
      <c r="N436">
        <v>0</v>
      </c>
      <c r="O436">
        <v>1</v>
      </c>
      <c r="P436">
        <v>1</v>
      </c>
    </row>
    <row r="437" spans="1:16" x14ac:dyDescent="0.2">
      <c r="A437">
        <v>436</v>
      </c>
      <c r="B437" s="3">
        <v>40563</v>
      </c>
      <c r="C437">
        <v>1</v>
      </c>
      <c r="D437">
        <v>2011</v>
      </c>
      <c r="E437" t="s">
        <v>10</v>
      </c>
      <c r="F437">
        <v>4</v>
      </c>
      <c r="G437" t="b">
        <v>0</v>
      </c>
      <c r="H437" t="s">
        <v>16</v>
      </c>
      <c r="I437">
        <v>1</v>
      </c>
      <c r="J437">
        <v>0.26</v>
      </c>
      <c r="K437">
        <v>0.2576</v>
      </c>
      <c r="L437">
        <v>0.56000000000000005</v>
      </c>
      <c r="M437">
        <v>0.16420000000000001</v>
      </c>
      <c r="N437">
        <v>0</v>
      </c>
      <c r="O437">
        <v>1</v>
      </c>
      <c r="P437">
        <v>1</v>
      </c>
    </row>
    <row r="438" spans="1:16" x14ac:dyDescent="0.2">
      <c r="A438">
        <v>437</v>
      </c>
      <c r="B438" s="3">
        <v>40563</v>
      </c>
      <c r="C438">
        <v>1</v>
      </c>
      <c r="D438">
        <v>2011</v>
      </c>
      <c r="E438" t="s">
        <v>10</v>
      </c>
      <c r="F438">
        <v>5</v>
      </c>
      <c r="G438" t="b">
        <v>0</v>
      </c>
      <c r="H438" t="s">
        <v>16</v>
      </c>
      <c r="I438">
        <v>1</v>
      </c>
      <c r="J438">
        <v>0.24</v>
      </c>
      <c r="K438">
        <v>0.2273</v>
      </c>
      <c r="L438">
        <v>0.6</v>
      </c>
      <c r="M438">
        <v>0.22389999999999999</v>
      </c>
      <c r="N438">
        <v>0</v>
      </c>
      <c r="O438">
        <v>6</v>
      </c>
      <c r="P438">
        <v>6</v>
      </c>
    </row>
    <row r="439" spans="1:16" x14ac:dyDescent="0.2">
      <c r="A439">
        <v>438</v>
      </c>
      <c r="B439" s="3">
        <v>40563</v>
      </c>
      <c r="C439">
        <v>1</v>
      </c>
      <c r="D439">
        <v>2011</v>
      </c>
      <c r="E439" t="s">
        <v>10</v>
      </c>
      <c r="F439">
        <v>6</v>
      </c>
      <c r="G439" t="b">
        <v>0</v>
      </c>
      <c r="H439" t="s">
        <v>16</v>
      </c>
      <c r="I439">
        <v>1</v>
      </c>
      <c r="J439">
        <v>0.22</v>
      </c>
      <c r="K439">
        <v>0.21210000000000001</v>
      </c>
      <c r="L439">
        <v>0.6</v>
      </c>
      <c r="M439">
        <v>0.22389999999999999</v>
      </c>
      <c r="N439">
        <v>0</v>
      </c>
      <c r="O439">
        <v>35</v>
      </c>
      <c r="P439">
        <v>35</v>
      </c>
    </row>
    <row r="440" spans="1:16" x14ac:dyDescent="0.2">
      <c r="A440">
        <v>439</v>
      </c>
      <c r="B440" s="3">
        <v>40563</v>
      </c>
      <c r="C440">
        <v>1</v>
      </c>
      <c r="D440">
        <v>2011</v>
      </c>
      <c r="E440" t="s">
        <v>10</v>
      </c>
      <c r="F440">
        <v>7</v>
      </c>
      <c r="G440" t="b">
        <v>0</v>
      </c>
      <c r="H440" t="s">
        <v>16</v>
      </c>
      <c r="I440">
        <v>1</v>
      </c>
      <c r="J440">
        <v>0.22</v>
      </c>
      <c r="K440">
        <v>0.21210000000000001</v>
      </c>
      <c r="L440">
        <v>0.55000000000000004</v>
      </c>
      <c r="M440">
        <v>0.22389999999999999</v>
      </c>
      <c r="N440">
        <v>1</v>
      </c>
      <c r="O440">
        <v>100</v>
      </c>
      <c r="P440">
        <v>101</v>
      </c>
    </row>
    <row r="441" spans="1:16" x14ac:dyDescent="0.2">
      <c r="A441">
        <v>440</v>
      </c>
      <c r="B441" s="3">
        <v>40563</v>
      </c>
      <c r="C441">
        <v>1</v>
      </c>
      <c r="D441">
        <v>2011</v>
      </c>
      <c r="E441" t="s">
        <v>10</v>
      </c>
      <c r="F441">
        <v>8</v>
      </c>
      <c r="G441" t="b">
        <v>0</v>
      </c>
      <c r="H441" t="s">
        <v>16</v>
      </c>
      <c r="I441">
        <v>1</v>
      </c>
      <c r="J441">
        <v>0.22</v>
      </c>
      <c r="K441">
        <v>0.21210000000000001</v>
      </c>
      <c r="L441">
        <v>0.55000000000000004</v>
      </c>
      <c r="M441">
        <v>0.28360000000000002</v>
      </c>
      <c r="N441">
        <v>2</v>
      </c>
      <c r="O441">
        <v>247</v>
      </c>
      <c r="P441">
        <v>249</v>
      </c>
    </row>
    <row r="442" spans="1:16" x14ac:dyDescent="0.2">
      <c r="A442">
        <v>441</v>
      </c>
      <c r="B442" s="3">
        <v>40563</v>
      </c>
      <c r="C442">
        <v>1</v>
      </c>
      <c r="D442">
        <v>2011</v>
      </c>
      <c r="E442" t="s">
        <v>10</v>
      </c>
      <c r="F442">
        <v>9</v>
      </c>
      <c r="G442" t="b">
        <v>0</v>
      </c>
      <c r="H442" t="s">
        <v>16</v>
      </c>
      <c r="I442">
        <v>2</v>
      </c>
      <c r="J442">
        <v>0.24</v>
      </c>
      <c r="K442">
        <v>0.2273</v>
      </c>
      <c r="L442">
        <v>0.52</v>
      </c>
      <c r="M442">
        <v>0.22389999999999999</v>
      </c>
      <c r="N442">
        <v>3</v>
      </c>
      <c r="O442">
        <v>140</v>
      </c>
      <c r="P442">
        <v>143</v>
      </c>
    </row>
    <row r="443" spans="1:16" x14ac:dyDescent="0.2">
      <c r="A443">
        <v>442</v>
      </c>
      <c r="B443" s="3">
        <v>40563</v>
      </c>
      <c r="C443">
        <v>1</v>
      </c>
      <c r="D443">
        <v>2011</v>
      </c>
      <c r="E443" t="s">
        <v>10</v>
      </c>
      <c r="F443">
        <v>10</v>
      </c>
      <c r="G443" t="b">
        <v>0</v>
      </c>
      <c r="H443" t="s">
        <v>16</v>
      </c>
      <c r="I443">
        <v>1</v>
      </c>
      <c r="J443">
        <v>0.26</v>
      </c>
      <c r="K443">
        <v>0.2273</v>
      </c>
      <c r="L443">
        <v>0.48</v>
      </c>
      <c r="M443">
        <v>0.29849999999999999</v>
      </c>
      <c r="N443">
        <v>1</v>
      </c>
      <c r="O443">
        <v>56</v>
      </c>
      <c r="P443">
        <v>57</v>
      </c>
    </row>
    <row r="444" spans="1:16" x14ac:dyDescent="0.2">
      <c r="A444">
        <v>443</v>
      </c>
      <c r="B444" s="3">
        <v>40563</v>
      </c>
      <c r="C444">
        <v>1</v>
      </c>
      <c r="D444">
        <v>2011</v>
      </c>
      <c r="E444" t="s">
        <v>10</v>
      </c>
      <c r="F444">
        <v>11</v>
      </c>
      <c r="G444" t="b">
        <v>0</v>
      </c>
      <c r="H444" t="s">
        <v>16</v>
      </c>
      <c r="I444">
        <v>2</v>
      </c>
      <c r="J444">
        <v>0.28000000000000003</v>
      </c>
      <c r="K444">
        <v>0.2727</v>
      </c>
      <c r="L444">
        <v>0.45</v>
      </c>
      <c r="M444">
        <v>0.16420000000000001</v>
      </c>
      <c r="N444">
        <v>5</v>
      </c>
      <c r="O444">
        <v>63</v>
      </c>
      <c r="P444">
        <v>68</v>
      </c>
    </row>
    <row r="445" spans="1:16" x14ac:dyDescent="0.2">
      <c r="A445">
        <v>444</v>
      </c>
      <c r="B445" s="3">
        <v>40563</v>
      </c>
      <c r="C445">
        <v>1</v>
      </c>
      <c r="D445">
        <v>2011</v>
      </c>
      <c r="E445" t="s">
        <v>10</v>
      </c>
      <c r="F445">
        <v>12</v>
      </c>
      <c r="G445" t="b">
        <v>0</v>
      </c>
      <c r="H445" t="s">
        <v>16</v>
      </c>
      <c r="I445">
        <v>2</v>
      </c>
      <c r="J445">
        <v>0.3</v>
      </c>
      <c r="K445">
        <v>0.33329999999999999</v>
      </c>
      <c r="L445">
        <v>0.42</v>
      </c>
      <c r="M445">
        <v>0</v>
      </c>
      <c r="N445">
        <v>7</v>
      </c>
      <c r="O445">
        <v>77</v>
      </c>
      <c r="P445">
        <v>84</v>
      </c>
    </row>
    <row r="446" spans="1:16" x14ac:dyDescent="0.2">
      <c r="A446">
        <v>445</v>
      </c>
      <c r="B446" s="3">
        <v>40563</v>
      </c>
      <c r="C446">
        <v>1</v>
      </c>
      <c r="D446">
        <v>2011</v>
      </c>
      <c r="E446" t="s">
        <v>10</v>
      </c>
      <c r="F446">
        <v>13</v>
      </c>
      <c r="G446" t="b">
        <v>0</v>
      </c>
      <c r="H446" t="s">
        <v>16</v>
      </c>
      <c r="I446">
        <v>2</v>
      </c>
      <c r="J446">
        <v>0.28000000000000003</v>
      </c>
      <c r="K446">
        <v>0.28789999999999999</v>
      </c>
      <c r="L446">
        <v>0.45</v>
      </c>
      <c r="M446">
        <v>0.1045</v>
      </c>
      <c r="N446">
        <v>12</v>
      </c>
      <c r="O446">
        <v>86</v>
      </c>
      <c r="P446">
        <v>98</v>
      </c>
    </row>
    <row r="447" spans="1:16" x14ac:dyDescent="0.2">
      <c r="A447">
        <v>446</v>
      </c>
      <c r="B447" s="3">
        <v>40563</v>
      </c>
      <c r="C447">
        <v>1</v>
      </c>
      <c r="D447">
        <v>2011</v>
      </c>
      <c r="E447" t="s">
        <v>10</v>
      </c>
      <c r="F447">
        <v>14</v>
      </c>
      <c r="G447" t="b">
        <v>0</v>
      </c>
      <c r="H447" t="s">
        <v>16</v>
      </c>
      <c r="I447">
        <v>2</v>
      </c>
      <c r="J447">
        <v>0.3</v>
      </c>
      <c r="K447">
        <v>0.30299999999999999</v>
      </c>
      <c r="L447">
        <v>0.45</v>
      </c>
      <c r="M447">
        <v>0.1343</v>
      </c>
      <c r="N447">
        <v>6</v>
      </c>
      <c r="O447">
        <v>75</v>
      </c>
      <c r="P447">
        <v>81</v>
      </c>
    </row>
    <row r="448" spans="1:16" x14ac:dyDescent="0.2">
      <c r="A448">
        <v>447</v>
      </c>
      <c r="B448" s="3">
        <v>40563</v>
      </c>
      <c r="C448">
        <v>1</v>
      </c>
      <c r="D448">
        <v>2011</v>
      </c>
      <c r="E448" t="s">
        <v>10</v>
      </c>
      <c r="F448">
        <v>15</v>
      </c>
      <c r="G448" t="b">
        <v>0</v>
      </c>
      <c r="H448" t="s">
        <v>16</v>
      </c>
      <c r="I448">
        <v>2</v>
      </c>
      <c r="J448">
        <v>0.32</v>
      </c>
      <c r="K448">
        <v>0.31819999999999998</v>
      </c>
      <c r="L448">
        <v>0.45</v>
      </c>
      <c r="M448">
        <v>0.19400000000000001</v>
      </c>
      <c r="N448">
        <v>8</v>
      </c>
      <c r="O448">
        <v>62</v>
      </c>
      <c r="P448">
        <v>70</v>
      </c>
    </row>
    <row r="449" spans="1:16" x14ac:dyDescent="0.2">
      <c r="A449">
        <v>448</v>
      </c>
      <c r="B449" s="3">
        <v>40563</v>
      </c>
      <c r="C449">
        <v>1</v>
      </c>
      <c r="D449">
        <v>2011</v>
      </c>
      <c r="E449" t="s">
        <v>10</v>
      </c>
      <c r="F449">
        <v>16</v>
      </c>
      <c r="G449" t="b">
        <v>0</v>
      </c>
      <c r="H449" t="s">
        <v>16</v>
      </c>
      <c r="I449">
        <v>2</v>
      </c>
      <c r="J449">
        <v>0.3</v>
      </c>
      <c r="K449">
        <v>0.30299999999999999</v>
      </c>
      <c r="L449">
        <v>0.49</v>
      </c>
      <c r="M449">
        <v>0.1343</v>
      </c>
      <c r="N449">
        <v>8</v>
      </c>
      <c r="O449">
        <v>83</v>
      </c>
      <c r="P449">
        <v>91</v>
      </c>
    </row>
    <row r="450" spans="1:16" x14ac:dyDescent="0.2">
      <c r="A450">
        <v>449</v>
      </c>
      <c r="B450" s="3">
        <v>40563</v>
      </c>
      <c r="C450">
        <v>1</v>
      </c>
      <c r="D450">
        <v>2011</v>
      </c>
      <c r="E450" t="s">
        <v>10</v>
      </c>
      <c r="F450">
        <v>17</v>
      </c>
      <c r="G450" t="b">
        <v>0</v>
      </c>
      <c r="H450" t="s">
        <v>16</v>
      </c>
      <c r="I450">
        <v>2</v>
      </c>
      <c r="J450">
        <v>0.3</v>
      </c>
      <c r="K450">
        <v>0.31819999999999998</v>
      </c>
      <c r="L450">
        <v>0.49</v>
      </c>
      <c r="M450">
        <v>0.1045</v>
      </c>
      <c r="N450">
        <v>8</v>
      </c>
      <c r="O450">
        <v>207</v>
      </c>
      <c r="P450">
        <v>215</v>
      </c>
    </row>
    <row r="451" spans="1:16" x14ac:dyDescent="0.2">
      <c r="A451">
        <v>450</v>
      </c>
      <c r="B451" s="3">
        <v>40563</v>
      </c>
      <c r="C451">
        <v>1</v>
      </c>
      <c r="D451">
        <v>2011</v>
      </c>
      <c r="E451" t="s">
        <v>10</v>
      </c>
      <c r="F451">
        <v>18</v>
      </c>
      <c r="G451" t="b">
        <v>0</v>
      </c>
      <c r="H451" t="s">
        <v>16</v>
      </c>
      <c r="I451">
        <v>2</v>
      </c>
      <c r="J451">
        <v>0.26</v>
      </c>
      <c r="K451">
        <v>0.2576</v>
      </c>
      <c r="L451">
        <v>0.56000000000000005</v>
      </c>
      <c r="M451">
        <v>0.19400000000000001</v>
      </c>
      <c r="N451">
        <v>1</v>
      </c>
      <c r="O451">
        <v>184</v>
      </c>
      <c r="P451">
        <v>185</v>
      </c>
    </row>
    <row r="452" spans="1:16" x14ac:dyDescent="0.2">
      <c r="A452">
        <v>451</v>
      </c>
      <c r="B452" s="3">
        <v>40563</v>
      </c>
      <c r="C452">
        <v>1</v>
      </c>
      <c r="D452">
        <v>2011</v>
      </c>
      <c r="E452" t="s">
        <v>10</v>
      </c>
      <c r="F452">
        <v>19</v>
      </c>
      <c r="G452" t="b">
        <v>0</v>
      </c>
      <c r="H452" t="s">
        <v>16</v>
      </c>
      <c r="I452">
        <v>1</v>
      </c>
      <c r="J452">
        <v>0.26</v>
      </c>
      <c r="K452">
        <v>0.2273</v>
      </c>
      <c r="L452">
        <v>0.56000000000000005</v>
      </c>
      <c r="M452">
        <v>0.32840000000000003</v>
      </c>
      <c r="N452">
        <v>6</v>
      </c>
      <c r="O452">
        <v>146</v>
      </c>
      <c r="P452">
        <v>152</v>
      </c>
    </row>
    <row r="453" spans="1:16" x14ac:dyDescent="0.2">
      <c r="A453">
        <v>452</v>
      </c>
      <c r="B453" s="3">
        <v>40563</v>
      </c>
      <c r="C453">
        <v>1</v>
      </c>
      <c r="D453">
        <v>2011</v>
      </c>
      <c r="E453" t="s">
        <v>10</v>
      </c>
      <c r="F453">
        <v>20</v>
      </c>
      <c r="G453" t="b">
        <v>0</v>
      </c>
      <c r="H453" t="s">
        <v>16</v>
      </c>
      <c r="I453">
        <v>2</v>
      </c>
      <c r="J453">
        <v>0.26</v>
      </c>
      <c r="K453">
        <v>0.2424</v>
      </c>
      <c r="L453">
        <v>0.6</v>
      </c>
      <c r="M453">
        <v>0.28360000000000002</v>
      </c>
      <c r="N453">
        <v>2</v>
      </c>
      <c r="O453">
        <v>124</v>
      </c>
      <c r="P453">
        <v>126</v>
      </c>
    </row>
    <row r="454" spans="1:16" x14ac:dyDescent="0.2">
      <c r="A454">
        <v>453</v>
      </c>
      <c r="B454" s="3">
        <v>40563</v>
      </c>
      <c r="C454">
        <v>1</v>
      </c>
      <c r="D454">
        <v>2011</v>
      </c>
      <c r="E454" t="s">
        <v>10</v>
      </c>
      <c r="F454">
        <v>21</v>
      </c>
      <c r="G454" t="b">
        <v>0</v>
      </c>
      <c r="H454" t="s">
        <v>16</v>
      </c>
      <c r="I454">
        <v>2</v>
      </c>
      <c r="J454">
        <v>0.24</v>
      </c>
      <c r="K454">
        <v>0.2273</v>
      </c>
      <c r="L454">
        <v>0.6</v>
      </c>
      <c r="M454">
        <v>0.25369999999999998</v>
      </c>
      <c r="N454">
        <v>3</v>
      </c>
      <c r="O454">
        <v>54</v>
      </c>
      <c r="P454">
        <v>57</v>
      </c>
    </row>
    <row r="455" spans="1:16" x14ac:dyDescent="0.2">
      <c r="A455">
        <v>454</v>
      </c>
      <c r="B455" s="3">
        <v>40563</v>
      </c>
      <c r="C455">
        <v>1</v>
      </c>
      <c r="D455">
        <v>2011</v>
      </c>
      <c r="E455" t="s">
        <v>10</v>
      </c>
      <c r="F455">
        <v>22</v>
      </c>
      <c r="G455" t="b">
        <v>0</v>
      </c>
      <c r="H455" t="s">
        <v>16</v>
      </c>
      <c r="I455">
        <v>2</v>
      </c>
      <c r="J455">
        <v>0.24</v>
      </c>
      <c r="K455">
        <v>0.21210000000000001</v>
      </c>
      <c r="L455">
        <v>0.65</v>
      </c>
      <c r="M455">
        <v>0.28360000000000002</v>
      </c>
      <c r="N455">
        <v>0</v>
      </c>
      <c r="O455">
        <v>56</v>
      </c>
      <c r="P455">
        <v>56</v>
      </c>
    </row>
    <row r="456" spans="1:16" x14ac:dyDescent="0.2">
      <c r="A456">
        <v>455</v>
      </c>
      <c r="B456" s="3">
        <v>40563</v>
      </c>
      <c r="C456">
        <v>1</v>
      </c>
      <c r="D456">
        <v>2011</v>
      </c>
      <c r="E456" t="s">
        <v>10</v>
      </c>
      <c r="F456">
        <v>23</v>
      </c>
      <c r="G456" t="b">
        <v>0</v>
      </c>
      <c r="H456" t="s">
        <v>16</v>
      </c>
      <c r="I456">
        <v>2</v>
      </c>
      <c r="J456">
        <v>0.24</v>
      </c>
      <c r="K456">
        <v>0.21210000000000001</v>
      </c>
      <c r="L456">
        <v>0.65</v>
      </c>
      <c r="M456">
        <v>0.32840000000000003</v>
      </c>
      <c r="N456">
        <v>3</v>
      </c>
      <c r="O456">
        <v>28</v>
      </c>
      <c r="P456">
        <v>31</v>
      </c>
    </row>
    <row r="457" spans="1:16" x14ac:dyDescent="0.2">
      <c r="A457">
        <v>456</v>
      </c>
      <c r="B457" s="3">
        <v>40564</v>
      </c>
      <c r="C457">
        <v>1</v>
      </c>
      <c r="D457">
        <v>2011</v>
      </c>
      <c r="E457" t="s">
        <v>10</v>
      </c>
      <c r="F457">
        <v>0</v>
      </c>
      <c r="G457" t="b">
        <v>0</v>
      </c>
      <c r="H457" t="s">
        <v>17</v>
      </c>
      <c r="I457">
        <v>2</v>
      </c>
      <c r="J457">
        <v>0.24</v>
      </c>
      <c r="K457">
        <v>0.2273</v>
      </c>
      <c r="L457">
        <v>0.7</v>
      </c>
      <c r="M457">
        <v>0.25369999999999998</v>
      </c>
      <c r="N457">
        <v>1</v>
      </c>
      <c r="O457">
        <v>20</v>
      </c>
      <c r="P457">
        <v>21</v>
      </c>
    </row>
    <row r="458" spans="1:16" x14ac:dyDescent="0.2">
      <c r="A458">
        <v>457</v>
      </c>
      <c r="B458" s="3">
        <v>40564</v>
      </c>
      <c r="C458">
        <v>1</v>
      </c>
      <c r="D458">
        <v>2011</v>
      </c>
      <c r="E458" t="s">
        <v>10</v>
      </c>
      <c r="F458">
        <v>1</v>
      </c>
      <c r="G458" t="b">
        <v>0</v>
      </c>
      <c r="H458" t="s">
        <v>17</v>
      </c>
      <c r="I458">
        <v>2</v>
      </c>
      <c r="J458">
        <v>0.24</v>
      </c>
      <c r="K458">
        <v>0.2273</v>
      </c>
      <c r="L458">
        <v>0.7</v>
      </c>
      <c r="M458">
        <v>0.25369999999999998</v>
      </c>
      <c r="N458">
        <v>0</v>
      </c>
      <c r="O458">
        <v>6</v>
      </c>
      <c r="P458">
        <v>6</v>
      </c>
    </row>
    <row r="459" spans="1:16" x14ac:dyDescent="0.2">
      <c r="A459">
        <v>458</v>
      </c>
      <c r="B459" s="3">
        <v>40564</v>
      </c>
      <c r="C459">
        <v>1</v>
      </c>
      <c r="D459">
        <v>2011</v>
      </c>
      <c r="E459" t="s">
        <v>10</v>
      </c>
      <c r="F459">
        <v>2</v>
      </c>
      <c r="G459" t="b">
        <v>0</v>
      </c>
      <c r="H459" t="s">
        <v>17</v>
      </c>
      <c r="I459">
        <v>3</v>
      </c>
      <c r="J459">
        <v>0.24</v>
      </c>
      <c r="K459">
        <v>0.2424</v>
      </c>
      <c r="L459">
        <v>0.75</v>
      </c>
      <c r="M459">
        <v>0.16420000000000001</v>
      </c>
      <c r="N459">
        <v>0</v>
      </c>
      <c r="O459">
        <v>2</v>
      </c>
      <c r="P459">
        <v>2</v>
      </c>
    </row>
    <row r="460" spans="1:16" x14ac:dyDescent="0.2">
      <c r="A460">
        <v>459</v>
      </c>
      <c r="B460" s="3">
        <v>40564</v>
      </c>
      <c r="C460">
        <v>1</v>
      </c>
      <c r="D460">
        <v>2011</v>
      </c>
      <c r="E460" t="s">
        <v>10</v>
      </c>
      <c r="F460">
        <v>3</v>
      </c>
      <c r="G460" t="b">
        <v>0</v>
      </c>
      <c r="H460" t="s">
        <v>17</v>
      </c>
      <c r="I460">
        <v>3</v>
      </c>
      <c r="J460">
        <v>0.22</v>
      </c>
      <c r="K460">
        <v>0.21210000000000001</v>
      </c>
      <c r="L460">
        <v>0.8</v>
      </c>
      <c r="M460">
        <v>0.29849999999999999</v>
      </c>
      <c r="N460">
        <v>0</v>
      </c>
      <c r="O460">
        <v>1</v>
      </c>
      <c r="P460">
        <v>1</v>
      </c>
    </row>
    <row r="461" spans="1:16" x14ac:dyDescent="0.2">
      <c r="A461">
        <v>460</v>
      </c>
      <c r="B461" s="3">
        <v>40564</v>
      </c>
      <c r="C461">
        <v>1</v>
      </c>
      <c r="D461">
        <v>2011</v>
      </c>
      <c r="E461" t="s">
        <v>10</v>
      </c>
      <c r="F461">
        <v>4</v>
      </c>
      <c r="G461" t="b">
        <v>0</v>
      </c>
      <c r="H461" t="s">
        <v>17</v>
      </c>
      <c r="I461">
        <v>2</v>
      </c>
      <c r="J461">
        <v>0.22</v>
      </c>
      <c r="K461">
        <v>0.2576</v>
      </c>
      <c r="L461">
        <v>0.87</v>
      </c>
      <c r="M461">
        <v>8.9599999999999999E-2</v>
      </c>
      <c r="N461">
        <v>0</v>
      </c>
      <c r="O461">
        <v>1</v>
      </c>
      <c r="P461">
        <v>1</v>
      </c>
    </row>
    <row r="462" spans="1:16" x14ac:dyDescent="0.2">
      <c r="A462">
        <v>461</v>
      </c>
      <c r="B462" s="3">
        <v>40564</v>
      </c>
      <c r="C462">
        <v>1</v>
      </c>
      <c r="D462">
        <v>2011</v>
      </c>
      <c r="E462" t="s">
        <v>10</v>
      </c>
      <c r="F462">
        <v>5</v>
      </c>
      <c r="G462" t="b">
        <v>0</v>
      </c>
      <c r="H462" t="s">
        <v>17</v>
      </c>
      <c r="I462">
        <v>1</v>
      </c>
      <c r="J462">
        <v>0.24</v>
      </c>
      <c r="K462">
        <v>0.19700000000000001</v>
      </c>
      <c r="L462">
        <v>0.6</v>
      </c>
      <c r="M462">
        <v>0.41789999999999999</v>
      </c>
      <c r="N462">
        <v>1</v>
      </c>
      <c r="O462">
        <v>4</v>
      </c>
      <c r="P462">
        <v>5</v>
      </c>
    </row>
    <row r="463" spans="1:16" x14ac:dyDescent="0.2">
      <c r="A463">
        <v>462</v>
      </c>
      <c r="B463" s="3">
        <v>40564</v>
      </c>
      <c r="C463">
        <v>1</v>
      </c>
      <c r="D463">
        <v>2011</v>
      </c>
      <c r="E463" t="s">
        <v>10</v>
      </c>
      <c r="F463">
        <v>6</v>
      </c>
      <c r="G463" t="b">
        <v>0</v>
      </c>
      <c r="H463" t="s">
        <v>17</v>
      </c>
      <c r="I463">
        <v>1</v>
      </c>
      <c r="J463">
        <v>0.22</v>
      </c>
      <c r="K463">
        <v>0.21210000000000001</v>
      </c>
      <c r="L463">
        <v>0.55000000000000004</v>
      </c>
      <c r="M463">
        <v>0.25369999999999998</v>
      </c>
      <c r="N463">
        <v>0</v>
      </c>
      <c r="O463">
        <v>27</v>
      </c>
      <c r="P463">
        <v>27</v>
      </c>
    </row>
    <row r="464" spans="1:16" x14ac:dyDescent="0.2">
      <c r="A464">
        <v>463</v>
      </c>
      <c r="B464" s="3">
        <v>40564</v>
      </c>
      <c r="C464">
        <v>1</v>
      </c>
      <c r="D464">
        <v>2011</v>
      </c>
      <c r="E464" t="s">
        <v>10</v>
      </c>
      <c r="F464">
        <v>7</v>
      </c>
      <c r="G464" t="b">
        <v>0</v>
      </c>
      <c r="H464" t="s">
        <v>17</v>
      </c>
      <c r="I464">
        <v>1</v>
      </c>
      <c r="J464">
        <v>0.2</v>
      </c>
      <c r="K464">
        <v>0.18179999999999999</v>
      </c>
      <c r="L464">
        <v>0.51</v>
      </c>
      <c r="M464">
        <v>0.28360000000000002</v>
      </c>
      <c r="N464">
        <v>2</v>
      </c>
      <c r="O464">
        <v>66</v>
      </c>
      <c r="P464">
        <v>68</v>
      </c>
    </row>
    <row r="465" spans="1:16" x14ac:dyDescent="0.2">
      <c r="A465">
        <v>464</v>
      </c>
      <c r="B465" s="3">
        <v>40564</v>
      </c>
      <c r="C465">
        <v>1</v>
      </c>
      <c r="D465">
        <v>2011</v>
      </c>
      <c r="E465" t="s">
        <v>10</v>
      </c>
      <c r="F465">
        <v>8</v>
      </c>
      <c r="G465" t="b">
        <v>0</v>
      </c>
      <c r="H465" t="s">
        <v>17</v>
      </c>
      <c r="I465">
        <v>1</v>
      </c>
      <c r="J465">
        <v>0.2</v>
      </c>
      <c r="K465">
        <v>0.18179999999999999</v>
      </c>
      <c r="L465">
        <v>0.47</v>
      </c>
      <c r="M465">
        <v>0.32840000000000003</v>
      </c>
      <c r="N465">
        <v>7</v>
      </c>
      <c r="O465">
        <v>210</v>
      </c>
      <c r="P465">
        <v>217</v>
      </c>
    </row>
    <row r="466" spans="1:16" x14ac:dyDescent="0.2">
      <c r="A466">
        <v>465</v>
      </c>
      <c r="B466" s="3">
        <v>40564</v>
      </c>
      <c r="C466">
        <v>1</v>
      </c>
      <c r="D466">
        <v>2011</v>
      </c>
      <c r="E466" t="s">
        <v>10</v>
      </c>
      <c r="F466">
        <v>9</v>
      </c>
      <c r="G466" t="b">
        <v>0</v>
      </c>
      <c r="H466" t="s">
        <v>17</v>
      </c>
      <c r="I466">
        <v>1</v>
      </c>
      <c r="J466">
        <v>0.2</v>
      </c>
      <c r="K466">
        <v>0.18179999999999999</v>
      </c>
      <c r="L466">
        <v>0.51</v>
      </c>
      <c r="M466">
        <v>0.35820000000000002</v>
      </c>
      <c r="N466">
        <v>7</v>
      </c>
      <c r="O466">
        <v>159</v>
      </c>
      <c r="P466">
        <v>166</v>
      </c>
    </row>
    <row r="467" spans="1:16" x14ac:dyDescent="0.2">
      <c r="A467">
        <v>466</v>
      </c>
      <c r="B467" s="3">
        <v>40564</v>
      </c>
      <c r="C467">
        <v>1</v>
      </c>
      <c r="D467">
        <v>2011</v>
      </c>
      <c r="E467" t="s">
        <v>10</v>
      </c>
      <c r="F467">
        <v>10</v>
      </c>
      <c r="G467" t="b">
        <v>0</v>
      </c>
      <c r="H467" t="s">
        <v>17</v>
      </c>
      <c r="I467">
        <v>1</v>
      </c>
      <c r="J467">
        <v>0.2</v>
      </c>
      <c r="K467">
        <v>0.16669999999999999</v>
      </c>
      <c r="L467">
        <v>0.47</v>
      </c>
      <c r="M467">
        <v>0.4627</v>
      </c>
      <c r="N467">
        <v>6</v>
      </c>
      <c r="O467">
        <v>57</v>
      </c>
      <c r="P467">
        <v>63</v>
      </c>
    </row>
    <row r="468" spans="1:16" x14ac:dyDescent="0.2">
      <c r="A468">
        <v>467</v>
      </c>
      <c r="B468" s="3">
        <v>40564</v>
      </c>
      <c r="C468">
        <v>1</v>
      </c>
      <c r="D468">
        <v>2011</v>
      </c>
      <c r="E468" t="s">
        <v>10</v>
      </c>
      <c r="F468">
        <v>11</v>
      </c>
      <c r="G468" t="b">
        <v>0</v>
      </c>
      <c r="H468" t="s">
        <v>17</v>
      </c>
      <c r="I468">
        <v>1</v>
      </c>
      <c r="J468">
        <v>0.22</v>
      </c>
      <c r="K468">
        <v>0.18179999999999999</v>
      </c>
      <c r="L468">
        <v>0.41</v>
      </c>
      <c r="M468">
        <v>0.4627</v>
      </c>
      <c r="N468">
        <v>6</v>
      </c>
      <c r="O468">
        <v>53</v>
      </c>
      <c r="P468">
        <v>59</v>
      </c>
    </row>
    <row r="469" spans="1:16" x14ac:dyDescent="0.2">
      <c r="A469">
        <v>468</v>
      </c>
      <c r="B469" s="3">
        <v>40564</v>
      </c>
      <c r="C469">
        <v>1</v>
      </c>
      <c r="D469">
        <v>2011</v>
      </c>
      <c r="E469" t="s">
        <v>10</v>
      </c>
      <c r="F469">
        <v>12</v>
      </c>
      <c r="G469" t="b">
        <v>0</v>
      </c>
      <c r="H469" t="s">
        <v>17</v>
      </c>
      <c r="I469">
        <v>1</v>
      </c>
      <c r="J469">
        <v>0.22</v>
      </c>
      <c r="K469">
        <v>0.18179999999999999</v>
      </c>
      <c r="L469">
        <v>0.27</v>
      </c>
      <c r="M469">
        <v>0.58209999999999995</v>
      </c>
      <c r="N469">
        <v>11</v>
      </c>
      <c r="O469">
        <v>67</v>
      </c>
      <c r="P469">
        <v>78</v>
      </c>
    </row>
    <row r="470" spans="1:16" x14ac:dyDescent="0.2">
      <c r="A470">
        <v>469</v>
      </c>
      <c r="B470" s="3">
        <v>40564</v>
      </c>
      <c r="C470">
        <v>1</v>
      </c>
      <c r="D470">
        <v>2011</v>
      </c>
      <c r="E470" t="s">
        <v>10</v>
      </c>
      <c r="F470">
        <v>13</v>
      </c>
      <c r="G470" t="b">
        <v>0</v>
      </c>
      <c r="H470" t="s">
        <v>17</v>
      </c>
      <c r="I470">
        <v>1</v>
      </c>
      <c r="J470">
        <v>0.2</v>
      </c>
      <c r="K470">
        <v>0.1515</v>
      </c>
      <c r="L470">
        <v>0.21</v>
      </c>
      <c r="M470">
        <v>0.58209999999999995</v>
      </c>
      <c r="N470">
        <v>8</v>
      </c>
      <c r="O470">
        <v>65</v>
      </c>
      <c r="P470">
        <v>73</v>
      </c>
    </row>
    <row r="471" spans="1:16" x14ac:dyDescent="0.2">
      <c r="A471">
        <v>470</v>
      </c>
      <c r="B471" s="3">
        <v>40564</v>
      </c>
      <c r="C471">
        <v>1</v>
      </c>
      <c r="D471">
        <v>2011</v>
      </c>
      <c r="E471" t="s">
        <v>10</v>
      </c>
      <c r="F471">
        <v>14</v>
      </c>
      <c r="G471" t="b">
        <v>0</v>
      </c>
      <c r="H471" t="s">
        <v>17</v>
      </c>
      <c r="I471">
        <v>1</v>
      </c>
      <c r="J471">
        <v>0.2</v>
      </c>
      <c r="K471">
        <v>0.1515</v>
      </c>
      <c r="L471">
        <v>0.25</v>
      </c>
      <c r="M471">
        <v>0.52239999999999998</v>
      </c>
      <c r="N471">
        <v>6</v>
      </c>
      <c r="O471">
        <v>56</v>
      </c>
      <c r="P471">
        <v>62</v>
      </c>
    </row>
    <row r="472" spans="1:16" x14ac:dyDescent="0.2">
      <c r="A472">
        <v>471</v>
      </c>
      <c r="B472" s="3">
        <v>40564</v>
      </c>
      <c r="C472">
        <v>1</v>
      </c>
      <c r="D472">
        <v>2011</v>
      </c>
      <c r="E472" t="s">
        <v>10</v>
      </c>
      <c r="F472">
        <v>15</v>
      </c>
      <c r="G472" t="b">
        <v>0</v>
      </c>
      <c r="H472" t="s">
        <v>17</v>
      </c>
      <c r="I472">
        <v>1</v>
      </c>
      <c r="J472">
        <v>0.16</v>
      </c>
      <c r="K472">
        <v>0.1212</v>
      </c>
      <c r="L472">
        <v>0.26</v>
      </c>
      <c r="M472">
        <v>0.44779999999999998</v>
      </c>
      <c r="N472">
        <v>4</v>
      </c>
      <c r="O472">
        <v>61</v>
      </c>
      <c r="P472">
        <v>65</v>
      </c>
    </row>
    <row r="473" spans="1:16" x14ac:dyDescent="0.2">
      <c r="A473">
        <v>472</v>
      </c>
      <c r="B473" s="3">
        <v>40564</v>
      </c>
      <c r="C473">
        <v>1</v>
      </c>
      <c r="D473">
        <v>2011</v>
      </c>
      <c r="E473" t="s">
        <v>10</v>
      </c>
      <c r="F473">
        <v>16</v>
      </c>
      <c r="G473" t="b">
        <v>0</v>
      </c>
      <c r="H473" t="s">
        <v>17</v>
      </c>
      <c r="I473">
        <v>1</v>
      </c>
      <c r="J473">
        <v>0.16</v>
      </c>
      <c r="K473">
        <v>0.13639999999999999</v>
      </c>
      <c r="L473">
        <v>0.26</v>
      </c>
      <c r="M473">
        <v>0.35820000000000002</v>
      </c>
      <c r="N473">
        <v>0</v>
      </c>
      <c r="O473">
        <v>97</v>
      </c>
      <c r="P473">
        <v>97</v>
      </c>
    </row>
    <row r="474" spans="1:16" x14ac:dyDescent="0.2">
      <c r="A474">
        <v>473</v>
      </c>
      <c r="B474" s="3">
        <v>40564</v>
      </c>
      <c r="C474">
        <v>1</v>
      </c>
      <c r="D474">
        <v>2011</v>
      </c>
      <c r="E474" t="s">
        <v>10</v>
      </c>
      <c r="F474">
        <v>17</v>
      </c>
      <c r="G474" t="b">
        <v>0</v>
      </c>
      <c r="H474" t="s">
        <v>17</v>
      </c>
      <c r="I474">
        <v>1</v>
      </c>
      <c r="J474">
        <v>0.14000000000000001</v>
      </c>
      <c r="K474">
        <v>0.1212</v>
      </c>
      <c r="L474">
        <v>0.28000000000000003</v>
      </c>
      <c r="M474">
        <v>0.35820000000000002</v>
      </c>
      <c r="N474">
        <v>10</v>
      </c>
      <c r="O474">
        <v>151</v>
      </c>
      <c r="P474">
        <v>161</v>
      </c>
    </row>
    <row r="475" spans="1:16" x14ac:dyDescent="0.2">
      <c r="A475">
        <v>474</v>
      </c>
      <c r="B475" s="3">
        <v>40564</v>
      </c>
      <c r="C475">
        <v>1</v>
      </c>
      <c r="D475">
        <v>2011</v>
      </c>
      <c r="E475" t="s">
        <v>10</v>
      </c>
      <c r="F475">
        <v>18</v>
      </c>
      <c r="G475" t="b">
        <v>0</v>
      </c>
      <c r="H475" t="s">
        <v>17</v>
      </c>
      <c r="I475">
        <v>1</v>
      </c>
      <c r="J475">
        <v>0.12</v>
      </c>
      <c r="K475">
        <v>0.1212</v>
      </c>
      <c r="L475">
        <v>0.3</v>
      </c>
      <c r="M475">
        <v>0.25369999999999998</v>
      </c>
      <c r="N475">
        <v>1</v>
      </c>
      <c r="O475">
        <v>119</v>
      </c>
      <c r="P475">
        <v>120</v>
      </c>
    </row>
    <row r="476" spans="1:16" x14ac:dyDescent="0.2">
      <c r="A476">
        <v>475</v>
      </c>
      <c r="B476" s="3">
        <v>40564</v>
      </c>
      <c r="C476">
        <v>1</v>
      </c>
      <c r="D476">
        <v>2011</v>
      </c>
      <c r="E476" t="s">
        <v>10</v>
      </c>
      <c r="F476">
        <v>19</v>
      </c>
      <c r="G476" t="b">
        <v>0</v>
      </c>
      <c r="H476" t="s">
        <v>17</v>
      </c>
      <c r="I476">
        <v>1</v>
      </c>
      <c r="J476">
        <v>0.12</v>
      </c>
      <c r="K476">
        <v>0.1061</v>
      </c>
      <c r="L476">
        <v>0.3</v>
      </c>
      <c r="M476">
        <v>0.32840000000000003</v>
      </c>
      <c r="N476">
        <v>3</v>
      </c>
      <c r="O476">
        <v>93</v>
      </c>
      <c r="P476">
        <v>96</v>
      </c>
    </row>
    <row r="477" spans="1:16" x14ac:dyDescent="0.2">
      <c r="A477">
        <v>476</v>
      </c>
      <c r="B477" s="3">
        <v>40564</v>
      </c>
      <c r="C477">
        <v>1</v>
      </c>
      <c r="D477">
        <v>2011</v>
      </c>
      <c r="E477" t="s">
        <v>10</v>
      </c>
      <c r="F477">
        <v>20</v>
      </c>
      <c r="G477" t="b">
        <v>0</v>
      </c>
      <c r="H477" t="s">
        <v>17</v>
      </c>
      <c r="I477">
        <v>1</v>
      </c>
      <c r="J477">
        <v>0.1</v>
      </c>
      <c r="K477">
        <v>7.5800000000000006E-2</v>
      </c>
      <c r="L477">
        <v>0.33</v>
      </c>
      <c r="M477">
        <v>0.41789999999999999</v>
      </c>
      <c r="N477">
        <v>1</v>
      </c>
      <c r="O477">
        <v>52</v>
      </c>
      <c r="P477">
        <v>53</v>
      </c>
    </row>
    <row r="478" spans="1:16" x14ac:dyDescent="0.2">
      <c r="A478">
        <v>477</v>
      </c>
      <c r="B478" s="3">
        <v>40564</v>
      </c>
      <c r="C478">
        <v>1</v>
      </c>
      <c r="D478">
        <v>2011</v>
      </c>
      <c r="E478" t="s">
        <v>10</v>
      </c>
      <c r="F478">
        <v>21</v>
      </c>
      <c r="G478" t="b">
        <v>0</v>
      </c>
      <c r="H478" t="s">
        <v>17</v>
      </c>
      <c r="I478">
        <v>1</v>
      </c>
      <c r="J478">
        <v>0.08</v>
      </c>
      <c r="K478">
        <v>7.5800000000000006E-2</v>
      </c>
      <c r="L478">
        <v>0.38</v>
      </c>
      <c r="M478">
        <v>0.28360000000000002</v>
      </c>
      <c r="N478">
        <v>0</v>
      </c>
      <c r="O478">
        <v>41</v>
      </c>
      <c r="P478">
        <v>41</v>
      </c>
    </row>
    <row r="479" spans="1:16" x14ac:dyDescent="0.2">
      <c r="A479">
        <v>478</v>
      </c>
      <c r="B479" s="3">
        <v>40564</v>
      </c>
      <c r="C479">
        <v>1</v>
      </c>
      <c r="D479">
        <v>2011</v>
      </c>
      <c r="E479" t="s">
        <v>10</v>
      </c>
      <c r="F479">
        <v>22</v>
      </c>
      <c r="G479" t="b">
        <v>0</v>
      </c>
      <c r="H479" t="s">
        <v>17</v>
      </c>
      <c r="I479">
        <v>1</v>
      </c>
      <c r="J479">
        <v>0.06</v>
      </c>
      <c r="K479">
        <v>3.0300000000000001E-2</v>
      </c>
      <c r="L479">
        <v>0.41</v>
      </c>
      <c r="M479">
        <v>0.3881</v>
      </c>
      <c r="N479">
        <v>1</v>
      </c>
      <c r="O479">
        <v>33</v>
      </c>
      <c r="P479">
        <v>34</v>
      </c>
    </row>
    <row r="480" spans="1:16" x14ac:dyDescent="0.2">
      <c r="A480">
        <v>479</v>
      </c>
      <c r="B480" s="3">
        <v>40564</v>
      </c>
      <c r="C480">
        <v>1</v>
      </c>
      <c r="D480">
        <v>2011</v>
      </c>
      <c r="E480" t="s">
        <v>10</v>
      </c>
      <c r="F480">
        <v>23</v>
      </c>
      <c r="G480" t="b">
        <v>0</v>
      </c>
      <c r="H480" t="s">
        <v>17</v>
      </c>
      <c r="I480">
        <v>1</v>
      </c>
      <c r="J480">
        <v>0.06</v>
      </c>
      <c r="K480">
        <v>4.5499999999999999E-2</v>
      </c>
      <c r="L480">
        <v>0.38</v>
      </c>
      <c r="M480">
        <v>0.32840000000000003</v>
      </c>
      <c r="N480">
        <v>0</v>
      </c>
      <c r="O480">
        <v>27</v>
      </c>
      <c r="P480">
        <v>27</v>
      </c>
    </row>
    <row r="481" spans="1:16" x14ac:dyDescent="0.2">
      <c r="A481">
        <v>480</v>
      </c>
      <c r="B481" s="3">
        <v>40565</v>
      </c>
      <c r="C481">
        <v>1</v>
      </c>
      <c r="D481">
        <v>2011</v>
      </c>
      <c r="E481" t="s">
        <v>10</v>
      </c>
      <c r="F481">
        <v>0</v>
      </c>
      <c r="G481" t="b">
        <v>0</v>
      </c>
      <c r="H481" t="s">
        <v>11</v>
      </c>
      <c r="I481">
        <v>1</v>
      </c>
      <c r="J481">
        <v>0.04</v>
      </c>
      <c r="K481">
        <v>3.0300000000000001E-2</v>
      </c>
      <c r="L481">
        <v>0.45</v>
      </c>
      <c r="M481">
        <v>0.25369999999999998</v>
      </c>
      <c r="N481">
        <v>0</v>
      </c>
      <c r="O481">
        <v>13</v>
      </c>
      <c r="P481">
        <v>13</v>
      </c>
    </row>
    <row r="482" spans="1:16" x14ac:dyDescent="0.2">
      <c r="A482">
        <v>481</v>
      </c>
      <c r="B482" s="3">
        <v>40565</v>
      </c>
      <c r="C482">
        <v>1</v>
      </c>
      <c r="D482">
        <v>2011</v>
      </c>
      <c r="E482" t="s">
        <v>10</v>
      </c>
      <c r="F482">
        <v>1</v>
      </c>
      <c r="G482" t="b">
        <v>0</v>
      </c>
      <c r="H482" t="s">
        <v>11</v>
      </c>
      <c r="I482">
        <v>2</v>
      </c>
      <c r="J482">
        <v>0.04</v>
      </c>
      <c r="K482">
        <v>0</v>
      </c>
      <c r="L482">
        <v>0.41</v>
      </c>
      <c r="M482">
        <v>0.3881</v>
      </c>
      <c r="N482">
        <v>3</v>
      </c>
      <c r="O482">
        <v>9</v>
      </c>
      <c r="P482">
        <v>12</v>
      </c>
    </row>
    <row r="483" spans="1:16" x14ac:dyDescent="0.2">
      <c r="A483">
        <v>482</v>
      </c>
      <c r="B483" s="3">
        <v>40565</v>
      </c>
      <c r="C483">
        <v>1</v>
      </c>
      <c r="D483">
        <v>2011</v>
      </c>
      <c r="E483" t="s">
        <v>10</v>
      </c>
      <c r="F483">
        <v>2</v>
      </c>
      <c r="G483" t="b">
        <v>0</v>
      </c>
      <c r="H483" t="s">
        <v>11</v>
      </c>
      <c r="I483">
        <v>2</v>
      </c>
      <c r="J483">
        <v>0.04</v>
      </c>
      <c r="K483">
        <v>3.0300000000000001E-2</v>
      </c>
      <c r="L483">
        <v>0.41</v>
      </c>
      <c r="M483">
        <v>0.25369999999999998</v>
      </c>
      <c r="N483">
        <v>0</v>
      </c>
      <c r="O483">
        <v>11</v>
      </c>
      <c r="P483">
        <v>11</v>
      </c>
    </row>
    <row r="484" spans="1:16" x14ac:dyDescent="0.2">
      <c r="A484">
        <v>483</v>
      </c>
      <c r="B484" s="3">
        <v>40565</v>
      </c>
      <c r="C484">
        <v>1</v>
      </c>
      <c r="D484">
        <v>2011</v>
      </c>
      <c r="E484" t="s">
        <v>10</v>
      </c>
      <c r="F484">
        <v>3</v>
      </c>
      <c r="G484" t="b">
        <v>0</v>
      </c>
      <c r="H484" t="s">
        <v>11</v>
      </c>
      <c r="I484">
        <v>2</v>
      </c>
      <c r="J484">
        <v>0.04</v>
      </c>
      <c r="K484">
        <v>3.0300000000000001E-2</v>
      </c>
      <c r="L484">
        <v>0.41</v>
      </c>
      <c r="M484">
        <v>0.28360000000000002</v>
      </c>
      <c r="N484">
        <v>1</v>
      </c>
      <c r="O484">
        <v>6</v>
      </c>
      <c r="P484">
        <v>7</v>
      </c>
    </row>
    <row r="485" spans="1:16" x14ac:dyDescent="0.2">
      <c r="A485">
        <v>484</v>
      </c>
      <c r="B485" s="3">
        <v>40565</v>
      </c>
      <c r="C485">
        <v>1</v>
      </c>
      <c r="D485">
        <v>2011</v>
      </c>
      <c r="E485" t="s">
        <v>10</v>
      </c>
      <c r="F485">
        <v>4</v>
      </c>
      <c r="G485" t="b">
        <v>0</v>
      </c>
      <c r="H485" t="s">
        <v>11</v>
      </c>
      <c r="I485">
        <v>2</v>
      </c>
      <c r="J485">
        <v>0.02</v>
      </c>
      <c r="K485">
        <v>1.52E-2</v>
      </c>
      <c r="L485">
        <v>0.48</v>
      </c>
      <c r="M485">
        <v>0.29849999999999999</v>
      </c>
      <c r="N485">
        <v>0</v>
      </c>
      <c r="O485">
        <v>3</v>
      </c>
      <c r="P485">
        <v>3</v>
      </c>
    </row>
    <row r="486" spans="1:16" x14ac:dyDescent="0.2">
      <c r="A486">
        <v>485</v>
      </c>
      <c r="B486" s="3">
        <v>40565</v>
      </c>
      <c r="C486">
        <v>1</v>
      </c>
      <c r="D486">
        <v>2011</v>
      </c>
      <c r="E486" t="s">
        <v>10</v>
      </c>
      <c r="F486">
        <v>6</v>
      </c>
      <c r="G486" t="b">
        <v>0</v>
      </c>
      <c r="H486" t="s">
        <v>11</v>
      </c>
      <c r="I486">
        <v>2</v>
      </c>
      <c r="J486">
        <v>0.02</v>
      </c>
      <c r="K486">
        <v>3.0300000000000001E-2</v>
      </c>
      <c r="L486">
        <v>0.44</v>
      </c>
      <c r="M486">
        <v>0.22389999999999999</v>
      </c>
      <c r="N486">
        <v>0</v>
      </c>
      <c r="O486">
        <v>2</v>
      </c>
      <c r="P486">
        <v>2</v>
      </c>
    </row>
    <row r="487" spans="1:16" x14ac:dyDescent="0.2">
      <c r="A487">
        <v>486</v>
      </c>
      <c r="B487" s="3">
        <v>40565</v>
      </c>
      <c r="C487">
        <v>1</v>
      </c>
      <c r="D487">
        <v>2011</v>
      </c>
      <c r="E487" t="s">
        <v>10</v>
      </c>
      <c r="F487">
        <v>7</v>
      </c>
      <c r="G487" t="b">
        <v>0</v>
      </c>
      <c r="H487" t="s">
        <v>11</v>
      </c>
      <c r="I487">
        <v>1</v>
      </c>
      <c r="J487">
        <v>0.02</v>
      </c>
      <c r="K487">
        <v>1.52E-2</v>
      </c>
      <c r="L487">
        <v>0.44</v>
      </c>
      <c r="M487">
        <v>0.28360000000000002</v>
      </c>
      <c r="N487">
        <v>0</v>
      </c>
      <c r="O487">
        <v>8</v>
      </c>
      <c r="P487">
        <v>8</v>
      </c>
    </row>
    <row r="488" spans="1:16" x14ac:dyDescent="0.2">
      <c r="A488">
        <v>487</v>
      </c>
      <c r="B488" s="3">
        <v>40565</v>
      </c>
      <c r="C488">
        <v>1</v>
      </c>
      <c r="D488">
        <v>2011</v>
      </c>
      <c r="E488" t="s">
        <v>10</v>
      </c>
      <c r="F488">
        <v>8</v>
      </c>
      <c r="G488" t="b">
        <v>0</v>
      </c>
      <c r="H488" t="s">
        <v>11</v>
      </c>
      <c r="I488">
        <v>1</v>
      </c>
      <c r="J488">
        <v>0.02</v>
      </c>
      <c r="K488">
        <v>0</v>
      </c>
      <c r="L488">
        <v>0.44</v>
      </c>
      <c r="M488">
        <v>0.32840000000000003</v>
      </c>
      <c r="N488">
        <v>1</v>
      </c>
      <c r="O488">
        <v>26</v>
      </c>
      <c r="P488">
        <v>27</v>
      </c>
    </row>
    <row r="489" spans="1:16" x14ac:dyDescent="0.2">
      <c r="A489">
        <v>488</v>
      </c>
      <c r="B489" s="3">
        <v>40565</v>
      </c>
      <c r="C489">
        <v>1</v>
      </c>
      <c r="D489">
        <v>2011</v>
      </c>
      <c r="E489" t="s">
        <v>10</v>
      </c>
      <c r="F489">
        <v>9</v>
      </c>
      <c r="G489" t="b">
        <v>0</v>
      </c>
      <c r="H489" t="s">
        <v>11</v>
      </c>
      <c r="I489">
        <v>1</v>
      </c>
      <c r="J489">
        <v>0.04</v>
      </c>
      <c r="K489">
        <v>3.0300000000000001E-2</v>
      </c>
      <c r="L489">
        <v>0.41</v>
      </c>
      <c r="M489">
        <v>0.25369999999999998</v>
      </c>
      <c r="N489">
        <v>3</v>
      </c>
      <c r="O489">
        <v>37</v>
      </c>
      <c r="P489">
        <v>40</v>
      </c>
    </row>
    <row r="490" spans="1:16" x14ac:dyDescent="0.2">
      <c r="A490">
        <v>489</v>
      </c>
      <c r="B490" s="3">
        <v>40565</v>
      </c>
      <c r="C490">
        <v>1</v>
      </c>
      <c r="D490">
        <v>2011</v>
      </c>
      <c r="E490" t="s">
        <v>10</v>
      </c>
      <c r="F490">
        <v>10</v>
      </c>
      <c r="G490" t="b">
        <v>0</v>
      </c>
      <c r="H490" t="s">
        <v>11</v>
      </c>
      <c r="I490">
        <v>2</v>
      </c>
      <c r="J490">
        <v>0.04</v>
      </c>
      <c r="K490">
        <v>6.0600000000000001E-2</v>
      </c>
      <c r="L490">
        <v>0.41</v>
      </c>
      <c r="M490">
        <v>0.16420000000000001</v>
      </c>
      <c r="N490">
        <v>3</v>
      </c>
      <c r="O490">
        <v>50</v>
      </c>
      <c r="P490">
        <v>53</v>
      </c>
    </row>
    <row r="491" spans="1:16" x14ac:dyDescent="0.2">
      <c r="A491">
        <v>490</v>
      </c>
      <c r="B491" s="3">
        <v>40565</v>
      </c>
      <c r="C491">
        <v>1</v>
      </c>
      <c r="D491">
        <v>2011</v>
      </c>
      <c r="E491" t="s">
        <v>10</v>
      </c>
      <c r="F491">
        <v>11</v>
      </c>
      <c r="G491" t="b">
        <v>0</v>
      </c>
      <c r="H491" t="s">
        <v>11</v>
      </c>
      <c r="I491">
        <v>2</v>
      </c>
      <c r="J491">
        <v>0.06</v>
      </c>
      <c r="K491">
        <v>7.5800000000000006E-2</v>
      </c>
      <c r="L491">
        <v>0.38</v>
      </c>
      <c r="M491">
        <v>0.1343</v>
      </c>
      <c r="N491">
        <v>4</v>
      </c>
      <c r="O491">
        <v>59</v>
      </c>
      <c r="P491">
        <v>63</v>
      </c>
    </row>
    <row r="492" spans="1:16" x14ac:dyDescent="0.2">
      <c r="A492">
        <v>491</v>
      </c>
      <c r="B492" s="3">
        <v>40565</v>
      </c>
      <c r="C492">
        <v>1</v>
      </c>
      <c r="D492">
        <v>2011</v>
      </c>
      <c r="E492" t="s">
        <v>10</v>
      </c>
      <c r="F492">
        <v>12</v>
      </c>
      <c r="G492" t="b">
        <v>0</v>
      </c>
      <c r="H492" t="s">
        <v>11</v>
      </c>
      <c r="I492">
        <v>2</v>
      </c>
      <c r="J492">
        <v>0.06</v>
      </c>
      <c r="K492">
        <v>0.1061</v>
      </c>
      <c r="L492">
        <v>0.38</v>
      </c>
      <c r="M492">
        <v>0.1045</v>
      </c>
      <c r="N492">
        <v>10</v>
      </c>
      <c r="O492">
        <v>60</v>
      </c>
      <c r="P492">
        <v>70</v>
      </c>
    </row>
    <row r="493" spans="1:16" x14ac:dyDescent="0.2">
      <c r="A493">
        <v>492</v>
      </c>
      <c r="B493" s="3">
        <v>40565</v>
      </c>
      <c r="C493">
        <v>1</v>
      </c>
      <c r="D493">
        <v>2011</v>
      </c>
      <c r="E493" t="s">
        <v>10</v>
      </c>
      <c r="F493">
        <v>13</v>
      </c>
      <c r="G493" t="b">
        <v>0</v>
      </c>
      <c r="H493" t="s">
        <v>11</v>
      </c>
      <c r="I493">
        <v>1</v>
      </c>
      <c r="J493">
        <v>0.08</v>
      </c>
      <c r="K493">
        <v>0.16669999999999999</v>
      </c>
      <c r="L493">
        <v>0.35</v>
      </c>
      <c r="M493">
        <v>0</v>
      </c>
      <c r="N493">
        <v>12</v>
      </c>
      <c r="O493">
        <v>72</v>
      </c>
      <c r="P493">
        <v>84</v>
      </c>
    </row>
    <row r="494" spans="1:16" x14ac:dyDescent="0.2">
      <c r="A494">
        <v>493</v>
      </c>
      <c r="B494" s="3">
        <v>40565</v>
      </c>
      <c r="C494">
        <v>1</v>
      </c>
      <c r="D494">
        <v>2011</v>
      </c>
      <c r="E494" t="s">
        <v>10</v>
      </c>
      <c r="F494">
        <v>14</v>
      </c>
      <c r="G494" t="b">
        <v>0</v>
      </c>
      <c r="H494" t="s">
        <v>11</v>
      </c>
      <c r="I494">
        <v>1</v>
      </c>
      <c r="J494">
        <v>0.1</v>
      </c>
      <c r="K494">
        <v>0.13639999999999999</v>
      </c>
      <c r="L494">
        <v>0.33</v>
      </c>
      <c r="M494">
        <v>0.1045</v>
      </c>
      <c r="N494">
        <v>11</v>
      </c>
      <c r="O494">
        <v>64</v>
      </c>
      <c r="P494">
        <v>75</v>
      </c>
    </row>
    <row r="495" spans="1:16" x14ac:dyDescent="0.2">
      <c r="A495">
        <v>494</v>
      </c>
      <c r="B495" s="3">
        <v>40565</v>
      </c>
      <c r="C495">
        <v>1</v>
      </c>
      <c r="D495">
        <v>2011</v>
      </c>
      <c r="E495" t="s">
        <v>10</v>
      </c>
      <c r="F495">
        <v>15</v>
      </c>
      <c r="G495" t="b">
        <v>0</v>
      </c>
      <c r="H495" t="s">
        <v>11</v>
      </c>
      <c r="I495">
        <v>1</v>
      </c>
      <c r="J495">
        <v>0.12</v>
      </c>
      <c r="K495">
        <v>0.1515</v>
      </c>
      <c r="L495">
        <v>0.28000000000000003</v>
      </c>
      <c r="M495">
        <v>0</v>
      </c>
      <c r="N495">
        <v>10</v>
      </c>
      <c r="O495">
        <v>93</v>
      </c>
      <c r="P495">
        <v>103</v>
      </c>
    </row>
    <row r="496" spans="1:16" x14ac:dyDescent="0.2">
      <c r="A496">
        <v>495</v>
      </c>
      <c r="B496" s="3">
        <v>40565</v>
      </c>
      <c r="C496">
        <v>1</v>
      </c>
      <c r="D496">
        <v>2011</v>
      </c>
      <c r="E496" t="s">
        <v>10</v>
      </c>
      <c r="F496">
        <v>16</v>
      </c>
      <c r="G496" t="b">
        <v>0</v>
      </c>
      <c r="H496" t="s">
        <v>11</v>
      </c>
      <c r="I496">
        <v>1</v>
      </c>
      <c r="J496">
        <v>0.12</v>
      </c>
      <c r="K496">
        <v>0.13639999999999999</v>
      </c>
      <c r="L496">
        <v>0.28000000000000003</v>
      </c>
      <c r="M496">
        <v>0.19400000000000001</v>
      </c>
      <c r="N496">
        <v>11</v>
      </c>
      <c r="O496">
        <v>72</v>
      </c>
      <c r="P496">
        <v>83</v>
      </c>
    </row>
    <row r="497" spans="1:16" x14ac:dyDescent="0.2">
      <c r="A497">
        <v>496</v>
      </c>
      <c r="B497" s="3">
        <v>40565</v>
      </c>
      <c r="C497">
        <v>1</v>
      </c>
      <c r="D497">
        <v>2011</v>
      </c>
      <c r="E497" t="s">
        <v>10</v>
      </c>
      <c r="F497">
        <v>17</v>
      </c>
      <c r="G497" t="b">
        <v>0</v>
      </c>
      <c r="H497" t="s">
        <v>11</v>
      </c>
      <c r="I497">
        <v>1</v>
      </c>
      <c r="J497">
        <v>0.12</v>
      </c>
      <c r="K497">
        <v>0.19700000000000001</v>
      </c>
      <c r="L497">
        <v>0.28000000000000003</v>
      </c>
      <c r="M497">
        <v>0</v>
      </c>
      <c r="N497">
        <v>8</v>
      </c>
      <c r="O497">
        <v>59</v>
      </c>
      <c r="P497">
        <v>67</v>
      </c>
    </row>
    <row r="498" spans="1:16" x14ac:dyDescent="0.2">
      <c r="A498">
        <v>497</v>
      </c>
      <c r="B498" s="3">
        <v>40565</v>
      </c>
      <c r="C498">
        <v>1</v>
      </c>
      <c r="D498">
        <v>2011</v>
      </c>
      <c r="E498" t="s">
        <v>10</v>
      </c>
      <c r="F498">
        <v>18</v>
      </c>
      <c r="G498" t="b">
        <v>0</v>
      </c>
      <c r="H498" t="s">
        <v>11</v>
      </c>
      <c r="I498">
        <v>1</v>
      </c>
      <c r="J498">
        <v>0.08</v>
      </c>
      <c r="K498">
        <v>9.0899999999999995E-2</v>
      </c>
      <c r="L498">
        <v>0.35</v>
      </c>
      <c r="M498">
        <v>0.19400000000000001</v>
      </c>
      <c r="N498">
        <v>0</v>
      </c>
      <c r="O498">
        <v>54</v>
      </c>
      <c r="P498">
        <v>54</v>
      </c>
    </row>
    <row r="499" spans="1:16" x14ac:dyDescent="0.2">
      <c r="A499">
        <v>498</v>
      </c>
      <c r="B499" s="3">
        <v>40565</v>
      </c>
      <c r="C499">
        <v>1</v>
      </c>
      <c r="D499">
        <v>2011</v>
      </c>
      <c r="E499" t="s">
        <v>10</v>
      </c>
      <c r="F499">
        <v>19</v>
      </c>
      <c r="G499" t="b">
        <v>0</v>
      </c>
      <c r="H499" t="s">
        <v>11</v>
      </c>
      <c r="I499">
        <v>1</v>
      </c>
      <c r="J499">
        <v>0.08</v>
      </c>
      <c r="K499">
        <v>0.1061</v>
      </c>
      <c r="L499">
        <v>0.35</v>
      </c>
      <c r="M499">
        <v>0.1343</v>
      </c>
      <c r="N499">
        <v>6</v>
      </c>
      <c r="O499">
        <v>53</v>
      </c>
      <c r="P499">
        <v>59</v>
      </c>
    </row>
    <row r="500" spans="1:16" x14ac:dyDescent="0.2">
      <c r="A500">
        <v>499</v>
      </c>
      <c r="B500" s="3">
        <v>40565</v>
      </c>
      <c r="C500">
        <v>1</v>
      </c>
      <c r="D500">
        <v>2011</v>
      </c>
      <c r="E500" t="s">
        <v>10</v>
      </c>
      <c r="F500">
        <v>20</v>
      </c>
      <c r="G500" t="b">
        <v>0</v>
      </c>
      <c r="H500" t="s">
        <v>11</v>
      </c>
      <c r="I500">
        <v>1</v>
      </c>
      <c r="J500">
        <v>0.06</v>
      </c>
      <c r="K500">
        <v>7.5800000000000006E-2</v>
      </c>
      <c r="L500">
        <v>0.45</v>
      </c>
      <c r="M500">
        <v>0.16420000000000001</v>
      </c>
      <c r="N500">
        <v>1</v>
      </c>
      <c r="O500">
        <v>44</v>
      </c>
      <c r="P500">
        <v>45</v>
      </c>
    </row>
    <row r="501" spans="1:16" x14ac:dyDescent="0.2">
      <c r="A501">
        <v>500</v>
      </c>
      <c r="B501" s="3">
        <v>40565</v>
      </c>
      <c r="C501">
        <v>1</v>
      </c>
      <c r="D501">
        <v>2011</v>
      </c>
      <c r="E501" t="s">
        <v>10</v>
      </c>
      <c r="F501">
        <v>21</v>
      </c>
      <c r="G501" t="b">
        <v>0</v>
      </c>
      <c r="H501" t="s">
        <v>11</v>
      </c>
      <c r="I501">
        <v>1</v>
      </c>
      <c r="J501">
        <v>0.06</v>
      </c>
      <c r="K501">
        <v>0.1061</v>
      </c>
      <c r="L501">
        <v>0.41</v>
      </c>
      <c r="M501">
        <v>8.9599999999999999E-2</v>
      </c>
      <c r="N501">
        <v>0</v>
      </c>
      <c r="O501">
        <v>39</v>
      </c>
      <c r="P501">
        <v>39</v>
      </c>
    </row>
    <row r="502" spans="1:16" x14ac:dyDescent="0.2">
      <c r="A502">
        <v>501</v>
      </c>
      <c r="B502" s="3">
        <v>40565</v>
      </c>
      <c r="C502">
        <v>1</v>
      </c>
      <c r="D502">
        <v>2011</v>
      </c>
      <c r="E502" t="s">
        <v>10</v>
      </c>
      <c r="F502">
        <v>22</v>
      </c>
      <c r="G502" t="b">
        <v>0</v>
      </c>
      <c r="H502" t="s">
        <v>11</v>
      </c>
      <c r="I502">
        <v>1</v>
      </c>
      <c r="J502">
        <v>0.06</v>
      </c>
      <c r="K502">
        <v>0.1515</v>
      </c>
      <c r="L502">
        <v>0.49</v>
      </c>
      <c r="M502">
        <v>0</v>
      </c>
      <c r="N502">
        <v>7</v>
      </c>
      <c r="O502">
        <v>23</v>
      </c>
      <c r="P502">
        <v>30</v>
      </c>
    </row>
    <row r="503" spans="1:16" x14ac:dyDescent="0.2">
      <c r="A503">
        <v>502</v>
      </c>
      <c r="B503" s="3">
        <v>40565</v>
      </c>
      <c r="C503">
        <v>1</v>
      </c>
      <c r="D503">
        <v>2011</v>
      </c>
      <c r="E503" t="s">
        <v>10</v>
      </c>
      <c r="F503">
        <v>23</v>
      </c>
      <c r="G503" t="b">
        <v>0</v>
      </c>
      <c r="H503" t="s">
        <v>11</v>
      </c>
      <c r="I503">
        <v>1</v>
      </c>
      <c r="J503">
        <v>0.04</v>
      </c>
      <c r="K503">
        <v>7.5800000000000006E-2</v>
      </c>
      <c r="L503">
        <v>0.56999999999999995</v>
      </c>
      <c r="M503">
        <v>0.1045</v>
      </c>
      <c r="N503">
        <v>2</v>
      </c>
      <c r="O503">
        <v>31</v>
      </c>
      <c r="P503">
        <v>33</v>
      </c>
    </row>
    <row r="504" spans="1:16" x14ac:dyDescent="0.2">
      <c r="A504">
        <v>503</v>
      </c>
      <c r="B504" s="3">
        <v>40566</v>
      </c>
      <c r="C504">
        <v>1</v>
      </c>
      <c r="D504">
        <v>2011</v>
      </c>
      <c r="E504" t="s">
        <v>10</v>
      </c>
      <c r="F504">
        <v>0</v>
      </c>
      <c r="G504" t="b">
        <v>1</v>
      </c>
      <c r="H504" t="s">
        <v>12</v>
      </c>
      <c r="I504">
        <v>1</v>
      </c>
      <c r="J504">
        <v>0.04</v>
      </c>
      <c r="K504">
        <v>7.5800000000000006E-2</v>
      </c>
      <c r="L504">
        <v>0.56999999999999995</v>
      </c>
      <c r="M504">
        <v>0.1045</v>
      </c>
      <c r="N504">
        <v>2</v>
      </c>
      <c r="O504">
        <v>20</v>
      </c>
      <c r="P504">
        <v>22</v>
      </c>
    </row>
    <row r="505" spans="1:16" x14ac:dyDescent="0.2">
      <c r="A505">
        <v>504</v>
      </c>
      <c r="B505" s="3">
        <v>40566</v>
      </c>
      <c r="C505">
        <v>1</v>
      </c>
      <c r="D505">
        <v>2011</v>
      </c>
      <c r="E505" t="s">
        <v>10</v>
      </c>
      <c r="F505">
        <v>1</v>
      </c>
      <c r="G505" t="b">
        <v>1</v>
      </c>
      <c r="H505" t="s">
        <v>12</v>
      </c>
      <c r="I505">
        <v>1</v>
      </c>
      <c r="J505">
        <v>0.04</v>
      </c>
      <c r="K505">
        <v>7.5800000000000006E-2</v>
      </c>
      <c r="L505">
        <v>0.56999999999999995</v>
      </c>
      <c r="M505">
        <v>0.1045</v>
      </c>
      <c r="N505">
        <v>1</v>
      </c>
      <c r="O505">
        <v>12</v>
      </c>
      <c r="P505">
        <v>13</v>
      </c>
    </row>
    <row r="506" spans="1:16" x14ac:dyDescent="0.2">
      <c r="A506">
        <v>505</v>
      </c>
      <c r="B506" s="3">
        <v>40566</v>
      </c>
      <c r="C506">
        <v>1</v>
      </c>
      <c r="D506">
        <v>2011</v>
      </c>
      <c r="E506" t="s">
        <v>10</v>
      </c>
      <c r="F506">
        <v>2</v>
      </c>
      <c r="G506" t="b">
        <v>1</v>
      </c>
      <c r="H506" t="s">
        <v>12</v>
      </c>
      <c r="I506">
        <v>1</v>
      </c>
      <c r="J506">
        <v>0.02</v>
      </c>
      <c r="K506">
        <v>6.0600000000000001E-2</v>
      </c>
      <c r="L506">
        <v>0.62</v>
      </c>
      <c r="M506">
        <v>0.1343</v>
      </c>
      <c r="N506">
        <v>3</v>
      </c>
      <c r="O506">
        <v>15</v>
      </c>
      <c r="P506">
        <v>18</v>
      </c>
    </row>
    <row r="507" spans="1:16" x14ac:dyDescent="0.2">
      <c r="A507">
        <v>506</v>
      </c>
      <c r="B507" s="3">
        <v>40566</v>
      </c>
      <c r="C507">
        <v>1</v>
      </c>
      <c r="D507">
        <v>2011</v>
      </c>
      <c r="E507" t="s">
        <v>10</v>
      </c>
      <c r="F507">
        <v>3</v>
      </c>
      <c r="G507" t="b">
        <v>1</v>
      </c>
      <c r="H507" t="s">
        <v>12</v>
      </c>
      <c r="I507">
        <v>1</v>
      </c>
      <c r="J507">
        <v>0.02</v>
      </c>
      <c r="K507">
        <v>6.0600000000000001E-2</v>
      </c>
      <c r="L507">
        <v>0.62</v>
      </c>
      <c r="M507">
        <v>0.1343</v>
      </c>
      <c r="N507">
        <v>1</v>
      </c>
      <c r="O507">
        <v>4</v>
      </c>
      <c r="P507">
        <v>5</v>
      </c>
    </row>
    <row r="508" spans="1:16" x14ac:dyDescent="0.2">
      <c r="A508">
        <v>507</v>
      </c>
      <c r="B508" s="3">
        <v>40566</v>
      </c>
      <c r="C508">
        <v>1</v>
      </c>
      <c r="D508">
        <v>2011</v>
      </c>
      <c r="E508" t="s">
        <v>10</v>
      </c>
      <c r="F508">
        <v>5</v>
      </c>
      <c r="G508" t="b">
        <v>1</v>
      </c>
      <c r="H508" t="s">
        <v>12</v>
      </c>
      <c r="I508">
        <v>2</v>
      </c>
      <c r="J508">
        <v>0.04</v>
      </c>
      <c r="K508">
        <v>7.5800000000000006E-2</v>
      </c>
      <c r="L508">
        <v>0.56999999999999995</v>
      </c>
      <c r="M508">
        <v>0.1045</v>
      </c>
      <c r="N508">
        <v>0</v>
      </c>
      <c r="O508">
        <v>3</v>
      </c>
      <c r="P508">
        <v>3</v>
      </c>
    </row>
    <row r="509" spans="1:16" x14ac:dyDescent="0.2">
      <c r="A509">
        <v>508</v>
      </c>
      <c r="B509" s="3">
        <v>40566</v>
      </c>
      <c r="C509">
        <v>1</v>
      </c>
      <c r="D509">
        <v>2011</v>
      </c>
      <c r="E509" t="s">
        <v>10</v>
      </c>
      <c r="F509">
        <v>6</v>
      </c>
      <c r="G509" t="b">
        <v>1</v>
      </c>
      <c r="H509" t="s">
        <v>12</v>
      </c>
      <c r="I509">
        <v>2</v>
      </c>
      <c r="J509">
        <v>0.04</v>
      </c>
      <c r="K509">
        <v>7.5800000000000006E-2</v>
      </c>
      <c r="L509">
        <v>0.56999999999999995</v>
      </c>
      <c r="M509">
        <v>0.1045</v>
      </c>
      <c r="N509">
        <v>0</v>
      </c>
      <c r="O509">
        <v>1</v>
      </c>
      <c r="P509">
        <v>1</v>
      </c>
    </row>
    <row r="510" spans="1:16" x14ac:dyDescent="0.2">
      <c r="A510">
        <v>509</v>
      </c>
      <c r="B510" s="3">
        <v>40566</v>
      </c>
      <c r="C510">
        <v>1</v>
      </c>
      <c r="D510">
        <v>2011</v>
      </c>
      <c r="E510" t="s">
        <v>10</v>
      </c>
      <c r="F510">
        <v>7</v>
      </c>
      <c r="G510" t="b">
        <v>1</v>
      </c>
      <c r="H510" t="s">
        <v>12</v>
      </c>
      <c r="I510">
        <v>1</v>
      </c>
      <c r="J510">
        <v>0.08</v>
      </c>
      <c r="K510">
        <v>0.1061</v>
      </c>
      <c r="L510">
        <v>0.57999999999999996</v>
      </c>
      <c r="M510">
        <v>0.16420000000000001</v>
      </c>
      <c r="N510">
        <v>1</v>
      </c>
      <c r="O510">
        <v>1</v>
      </c>
      <c r="P510">
        <v>2</v>
      </c>
    </row>
    <row r="511" spans="1:16" x14ac:dyDescent="0.2">
      <c r="A511">
        <v>510</v>
      </c>
      <c r="B511" s="3">
        <v>40566</v>
      </c>
      <c r="C511">
        <v>1</v>
      </c>
      <c r="D511">
        <v>2011</v>
      </c>
      <c r="E511" t="s">
        <v>10</v>
      </c>
      <c r="F511">
        <v>8</v>
      </c>
      <c r="G511" t="b">
        <v>1</v>
      </c>
      <c r="H511" t="s">
        <v>12</v>
      </c>
      <c r="I511">
        <v>1</v>
      </c>
      <c r="J511">
        <v>0.06</v>
      </c>
      <c r="K511">
        <v>7.5800000000000006E-2</v>
      </c>
      <c r="L511">
        <v>0.62</v>
      </c>
      <c r="M511">
        <v>0.16420000000000001</v>
      </c>
      <c r="N511">
        <v>2</v>
      </c>
      <c r="O511">
        <v>17</v>
      </c>
      <c r="P511">
        <v>19</v>
      </c>
    </row>
    <row r="512" spans="1:16" x14ac:dyDescent="0.2">
      <c r="A512">
        <v>511</v>
      </c>
      <c r="B512" s="3">
        <v>40566</v>
      </c>
      <c r="C512">
        <v>1</v>
      </c>
      <c r="D512">
        <v>2011</v>
      </c>
      <c r="E512" t="s">
        <v>10</v>
      </c>
      <c r="F512">
        <v>9</v>
      </c>
      <c r="G512" t="b">
        <v>1</v>
      </c>
      <c r="H512" t="s">
        <v>12</v>
      </c>
      <c r="I512">
        <v>1</v>
      </c>
      <c r="J512">
        <v>0.1</v>
      </c>
      <c r="K512">
        <v>7.5800000000000006E-2</v>
      </c>
      <c r="L512">
        <v>0.54</v>
      </c>
      <c r="M512">
        <v>0.35820000000000002</v>
      </c>
      <c r="N512">
        <v>3</v>
      </c>
      <c r="O512">
        <v>25</v>
      </c>
      <c r="P512">
        <v>28</v>
      </c>
    </row>
    <row r="513" spans="1:16" x14ac:dyDescent="0.2">
      <c r="A513">
        <v>512</v>
      </c>
      <c r="B513" s="3">
        <v>40566</v>
      </c>
      <c r="C513">
        <v>1</v>
      </c>
      <c r="D513">
        <v>2011</v>
      </c>
      <c r="E513" t="s">
        <v>10</v>
      </c>
      <c r="F513">
        <v>10</v>
      </c>
      <c r="G513" t="b">
        <v>1</v>
      </c>
      <c r="H513" t="s">
        <v>12</v>
      </c>
      <c r="I513">
        <v>1</v>
      </c>
      <c r="J513">
        <v>0.14000000000000001</v>
      </c>
      <c r="K513">
        <v>0.1061</v>
      </c>
      <c r="L513">
        <v>0.46</v>
      </c>
      <c r="M513">
        <v>0.3881</v>
      </c>
      <c r="N513">
        <v>7</v>
      </c>
      <c r="O513">
        <v>51</v>
      </c>
      <c r="P513">
        <v>58</v>
      </c>
    </row>
    <row r="514" spans="1:16" x14ac:dyDescent="0.2">
      <c r="A514">
        <v>513</v>
      </c>
      <c r="B514" s="3">
        <v>40566</v>
      </c>
      <c r="C514">
        <v>1</v>
      </c>
      <c r="D514">
        <v>2011</v>
      </c>
      <c r="E514" t="s">
        <v>10</v>
      </c>
      <c r="F514">
        <v>11</v>
      </c>
      <c r="G514" t="b">
        <v>1</v>
      </c>
      <c r="H514" t="s">
        <v>12</v>
      </c>
      <c r="I514">
        <v>1</v>
      </c>
      <c r="J514">
        <v>0.14000000000000001</v>
      </c>
      <c r="K514">
        <v>0.13639999999999999</v>
      </c>
      <c r="L514">
        <v>0.43</v>
      </c>
      <c r="M514">
        <v>0.22389999999999999</v>
      </c>
      <c r="N514">
        <v>22</v>
      </c>
      <c r="O514">
        <v>77</v>
      </c>
      <c r="P514">
        <v>99</v>
      </c>
    </row>
    <row r="515" spans="1:16" x14ac:dyDescent="0.2">
      <c r="A515">
        <v>514</v>
      </c>
      <c r="B515" s="3">
        <v>40566</v>
      </c>
      <c r="C515">
        <v>1</v>
      </c>
      <c r="D515">
        <v>2011</v>
      </c>
      <c r="E515" t="s">
        <v>10</v>
      </c>
      <c r="F515">
        <v>12</v>
      </c>
      <c r="G515" t="b">
        <v>1</v>
      </c>
      <c r="H515" t="s">
        <v>12</v>
      </c>
      <c r="I515">
        <v>1</v>
      </c>
      <c r="J515">
        <v>0.16</v>
      </c>
      <c r="K515">
        <v>0.1212</v>
      </c>
      <c r="L515">
        <v>0.37</v>
      </c>
      <c r="M515">
        <v>0.4627</v>
      </c>
      <c r="N515">
        <v>24</v>
      </c>
      <c r="O515">
        <v>92</v>
      </c>
      <c r="P515">
        <v>116</v>
      </c>
    </row>
    <row r="516" spans="1:16" x14ac:dyDescent="0.2">
      <c r="A516">
        <v>515</v>
      </c>
      <c r="B516" s="3">
        <v>40566</v>
      </c>
      <c r="C516">
        <v>1</v>
      </c>
      <c r="D516">
        <v>2011</v>
      </c>
      <c r="E516" t="s">
        <v>10</v>
      </c>
      <c r="F516">
        <v>13</v>
      </c>
      <c r="G516" t="b">
        <v>1</v>
      </c>
      <c r="H516" t="s">
        <v>12</v>
      </c>
      <c r="I516">
        <v>1</v>
      </c>
      <c r="J516">
        <v>0.14000000000000001</v>
      </c>
      <c r="K516">
        <v>0.1061</v>
      </c>
      <c r="L516">
        <v>0.33</v>
      </c>
      <c r="M516">
        <v>0.3881</v>
      </c>
      <c r="N516">
        <v>12</v>
      </c>
      <c r="O516">
        <v>75</v>
      </c>
      <c r="P516">
        <v>87</v>
      </c>
    </row>
    <row r="517" spans="1:16" x14ac:dyDescent="0.2">
      <c r="A517">
        <v>516</v>
      </c>
      <c r="B517" s="3">
        <v>40566</v>
      </c>
      <c r="C517">
        <v>1</v>
      </c>
      <c r="D517">
        <v>2011</v>
      </c>
      <c r="E517" t="s">
        <v>10</v>
      </c>
      <c r="F517">
        <v>14</v>
      </c>
      <c r="G517" t="b">
        <v>1</v>
      </c>
      <c r="H517" t="s">
        <v>12</v>
      </c>
      <c r="I517">
        <v>1</v>
      </c>
      <c r="J517">
        <v>0.16</v>
      </c>
      <c r="K517">
        <v>0.13639999999999999</v>
      </c>
      <c r="L517">
        <v>0.28000000000000003</v>
      </c>
      <c r="M517">
        <v>0.35820000000000002</v>
      </c>
      <c r="N517">
        <v>17</v>
      </c>
      <c r="O517">
        <v>93</v>
      </c>
      <c r="P517">
        <v>110</v>
      </c>
    </row>
    <row r="518" spans="1:16" x14ac:dyDescent="0.2">
      <c r="A518">
        <v>517</v>
      </c>
      <c r="B518" s="3">
        <v>40566</v>
      </c>
      <c r="C518">
        <v>1</v>
      </c>
      <c r="D518">
        <v>2011</v>
      </c>
      <c r="E518" t="s">
        <v>10</v>
      </c>
      <c r="F518">
        <v>15</v>
      </c>
      <c r="G518" t="b">
        <v>1</v>
      </c>
      <c r="H518" t="s">
        <v>12</v>
      </c>
      <c r="I518">
        <v>1</v>
      </c>
      <c r="J518">
        <v>0.16</v>
      </c>
      <c r="K518">
        <v>0.13639999999999999</v>
      </c>
      <c r="L518">
        <v>0.28000000000000003</v>
      </c>
      <c r="M518">
        <v>0.35820000000000002</v>
      </c>
      <c r="N518">
        <v>13</v>
      </c>
      <c r="O518">
        <v>64</v>
      </c>
      <c r="P518">
        <v>77</v>
      </c>
    </row>
    <row r="519" spans="1:16" x14ac:dyDescent="0.2">
      <c r="A519">
        <v>518</v>
      </c>
      <c r="B519" s="3">
        <v>40566</v>
      </c>
      <c r="C519">
        <v>1</v>
      </c>
      <c r="D519">
        <v>2011</v>
      </c>
      <c r="E519" t="s">
        <v>10</v>
      </c>
      <c r="F519">
        <v>16</v>
      </c>
      <c r="G519" t="b">
        <v>1</v>
      </c>
      <c r="H519" t="s">
        <v>12</v>
      </c>
      <c r="I519">
        <v>1</v>
      </c>
      <c r="J519">
        <v>0.16</v>
      </c>
      <c r="K519">
        <v>0.13639999999999999</v>
      </c>
      <c r="L519">
        <v>0.26</v>
      </c>
      <c r="M519">
        <v>0.32840000000000003</v>
      </c>
      <c r="N519">
        <v>9</v>
      </c>
      <c r="O519">
        <v>56</v>
      </c>
      <c r="P519">
        <v>65</v>
      </c>
    </row>
    <row r="520" spans="1:16" x14ac:dyDescent="0.2">
      <c r="A520">
        <v>519</v>
      </c>
      <c r="B520" s="3">
        <v>40566</v>
      </c>
      <c r="C520">
        <v>1</v>
      </c>
      <c r="D520">
        <v>2011</v>
      </c>
      <c r="E520" t="s">
        <v>10</v>
      </c>
      <c r="F520">
        <v>17</v>
      </c>
      <c r="G520" t="b">
        <v>1</v>
      </c>
      <c r="H520" t="s">
        <v>12</v>
      </c>
      <c r="I520">
        <v>1</v>
      </c>
      <c r="J520">
        <v>0.14000000000000001</v>
      </c>
      <c r="K520">
        <v>0.1061</v>
      </c>
      <c r="L520">
        <v>0.26</v>
      </c>
      <c r="M520">
        <v>0.3881</v>
      </c>
      <c r="N520">
        <v>5</v>
      </c>
      <c r="O520">
        <v>50</v>
      </c>
      <c r="P520">
        <v>55</v>
      </c>
    </row>
    <row r="521" spans="1:16" x14ac:dyDescent="0.2">
      <c r="A521">
        <v>520</v>
      </c>
      <c r="B521" s="3">
        <v>40566</v>
      </c>
      <c r="C521">
        <v>1</v>
      </c>
      <c r="D521">
        <v>2011</v>
      </c>
      <c r="E521" t="s">
        <v>10</v>
      </c>
      <c r="F521">
        <v>18</v>
      </c>
      <c r="G521" t="b">
        <v>1</v>
      </c>
      <c r="H521" t="s">
        <v>12</v>
      </c>
      <c r="I521">
        <v>1</v>
      </c>
      <c r="J521">
        <v>0.12</v>
      </c>
      <c r="K521">
        <v>0.1212</v>
      </c>
      <c r="L521">
        <v>0.3</v>
      </c>
      <c r="M521">
        <v>0.25369999999999998</v>
      </c>
      <c r="N521">
        <v>5</v>
      </c>
      <c r="O521">
        <v>44</v>
      </c>
      <c r="P521">
        <v>49</v>
      </c>
    </row>
    <row r="522" spans="1:16" x14ac:dyDescent="0.2">
      <c r="A522">
        <v>521</v>
      </c>
      <c r="B522" s="3">
        <v>40566</v>
      </c>
      <c r="C522">
        <v>1</v>
      </c>
      <c r="D522">
        <v>2011</v>
      </c>
      <c r="E522" t="s">
        <v>10</v>
      </c>
      <c r="F522">
        <v>19</v>
      </c>
      <c r="G522" t="b">
        <v>1</v>
      </c>
      <c r="H522" t="s">
        <v>12</v>
      </c>
      <c r="I522">
        <v>1</v>
      </c>
      <c r="J522">
        <v>0.12</v>
      </c>
      <c r="K522">
        <v>0.1212</v>
      </c>
      <c r="L522">
        <v>0.3</v>
      </c>
      <c r="M522">
        <v>0.28360000000000002</v>
      </c>
      <c r="N522">
        <v>5</v>
      </c>
      <c r="O522">
        <v>45</v>
      </c>
      <c r="P522">
        <v>50</v>
      </c>
    </row>
    <row r="523" spans="1:16" x14ac:dyDescent="0.2">
      <c r="A523">
        <v>522</v>
      </c>
      <c r="B523" s="3">
        <v>40566</v>
      </c>
      <c r="C523">
        <v>1</v>
      </c>
      <c r="D523">
        <v>2011</v>
      </c>
      <c r="E523" t="s">
        <v>10</v>
      </c>
      <c r="F523">
        <v>20</v>
      </c>
      <c r="G523" t="b">
        <v>1</v>
      </c>
      <c r="H523" t="s">
        <v>12</v>
      </c>
      <c r="I523">
        <v>1</v>
      </c>
      <c r="J523">
        <v>0.1</v>
      </c>
      <c r="K523">
        <v>0.1061</v>
      </c>
      <c r="L523">
        <v>0.36</v>
      </c>
      <c r="M523">
        <v>0.25369999999999998</v>
      </c>
      <c r="N523">
        <v>4</v>
      </c>
      <c r="O523">
        <v>31</v>
      </c>
      <c r="P523">
        <v>35</v>
      </c>
    </row>
    <row r="524" spans="1:16" x14ac:dyDescent="0.2">
      <c r="A524">
        <v>523</v>
      </c>
      <c r="B524" s="3">
        <v>40566</v>
      </c>
      <c r="C524">
        <v>1</v>
      </c>
      <c r="D524">
        <v>2011</v>
      </c>
      <c r="E524" t="s">
        <v>10</v>
      </c>
      <c r="F524">
        <v>21</v>
      </c>
      <c r="G524" t="b">
        <v>1</v>
      </c>
      <c r="H524" t="s">
        <v>12</v>
      </c>
      <c r="I524">
        <v>1</v>
      </c>
      <c r="J524">
        <v>0.1</v>
      </c>
      <c r="K524">
        <v>0.1061</v>
      </c>
      <c r="L524">
        <v>0.36</v>
      </c>
      <c r="M524">
        <v>0.19400000000000001</v>
      </c>
      <c r="N524">
        <v>5</v>
      </c>
      <c r="O524">
        <v>20</v>
      </c>
      <c r="P524">
        <v>25</v>
      </c>
    </row>
    <row r="525" spans="1:16" x14ac:dyDescent="0.2">
      <c r="A525">
        <v>524</v>
      </c>
      <c r="B525" s="3">
        <v>40566</v>
      </c>
      <c r="C525">
        <v>1</v>
      </c>
      <c r="D525">
        <v>2011</v>
      </c>
      <c r="E525" t="s">
        <v>10</v>
      </c>
      <c r="F525">
        <v>22</v>
      </c>
      <c r="G525" t="b">
        <v>1</v>
      </c>
      <c r="H525" t="s">
        <v>12</v>
      </c>
      <c r="I525">
        <v>1</v>
      </c>
      <c r="J525">
        <v>0.08</v>
      </c>
      <c r="K525">
        <v>9.0899999999999995E-2</v>
      </c>
      <c r="L525">
        <v>0.38</v>
      </c>
      <c r="M525">
        <v>0.19400000000000001</v>
      </c>
      <c r="N525">
        <v>5</v>
      </c>
      <c r="O525">
        <v>23</v>
      </c>
      <c r="P525">
        <v>28</v>
      </c>
    </row>
    <row r="526" spans="1:16" x14ac:dyDescent="0.2">
      <c r="A526">
        <v>525</v>
      </c>
      <c r="B526" s="3">
        <v>40566</v>
      </c>
      <c r="C526">
        <v>1</v>
      </c>
      <c r="D526">
        <v>2011</v>
      </c>
      <c r="E526" t="s">
        <v>10</v>
      </c>
      <c r="F526">
        <v>23</v>
      </c>
      <c r="G526" t="b">
        <v>1</v>
      </c>
      <c r="H526" t="s">
        <v>12</v>
      </c>
      <c r="I526">
        <v>1</v>
      </c>
      <c r="J526">
        <v>0.06</v>
      </c>
      <c r="K526">
        <v>6.0600000000000001E-2</v>
      </c>
      <c r="L526">
        <v>0.41</v>
      </c>
      <c r="M526">
        <v>0.22389999999999999</v>
      </c>
      <c r="N526">
        <v>4</v>
      </c>
      <c r="O526">
        <v>17</v>
      </c>
      <c r="P526">
        <v>21</v>
      </c>
    </row>
    <row r="527" spans="1:16" x14ac:dyDescent="0.2">
      <c r="A527">
        <v>526</v>
      </c>
      <c r="B527" s="3">
        <v>40567</v>
      </c>
      <c r="C527">
        <v>1</v>
      </c>
      <c r="D527">
        <v>2011</v>
      </c>
      <c r="E527" t="s">
        <v>10</v>
      </c>
      <c r="F527">
        <v>0</v>
      </c>
      <c r="G527" t="b">
        <v>0</v>
      </c>
      <c r="H527" t="s">
        <v>13</v>
      </c>
      <c r="I527">
        <v>1</v>
      </c>
      <c r="J527">
        <v>0.06</v>
      </c>
      <c r="K527">
        <v>6.0600000000000001E-2</v>
      </c>
      <c r="L527">
        <v>0.41</v>
      </c>
      <c r="M527">
        <v>0.19400000000000001</v>
      </c>
      <c r="N527">
        <v>0</v>
      </c>
      <c r="O527">
        <v>7</v>
      </c>
      <c r="P527">
        <v>7</v>
      </c>
    </row>
    <row r="528" spans="1:16" x14ac:dyDescent="0.2">
      <c r="A528">
        <v>527</v>
      </c>
      <c r="B528" s="3">
        <v>40567</v>
      </c>
      <c r="C528">
        <v>1</v>
      </c>
      <c r="D528">
        <v>2011</v>
      </c>
      <c r="E528" t="s">
        <v>10</v>
      </c>
      <c r="F528">
        <v>1</v>
      </c>
      <c r="G528" t="b">
        <v>0</v>
      </c>
      <c r="H528" t="s">
        <v>13</v>
      </c>
      <c r="I528">
        <v>1</v>
      </c>
      <c r="J528">
        <v>0.04</v>
      </c>
      <c r="K528">
        <v>4.5499999999999999E-2</v>
      </c>
      <c r="L528">
        <v>0.45</v>
      </c>
      <c r="M528">
        <v>0.19400000000000001</v>
      </c>
      <c r="N528">
        <v>0</v>
      </c>
      <c r="O528">
        <v>1</v>
      </c>
      <c r="P528">
        <v>1</v>
      </c>
    </row>
    <row r="529" spans="1:16" x14ac:dyDescent="0.2">
      <c r="A529">
        <v>528</v>
      </c>
      <c r="B529" s="3">
        <v>40567</v>
      </c>
      <c r="C529">
        <v>1</v>
      </c>
      <c r="D529">
        <v>2011</v>
      </c>
      <c r="E529" t="s">
        <v>10</v>
      </c>
      <c r="F529">
        <v>3</v>
      </c>
      <c r="G529" t="b">
        <v>0</v>
      </c>
      <c r="H529" t="s">
        <v>13</v>
      </c>
      <c r="I529">
        <v>1</v>
      </c>
      <c r="J529">
        <v>0.04</v>
      </c>
      <c r="K529">
        <v>3.0300000000000001E-2</v>
      </c>
      <c r="L529">
        <v>0.45</v>
      </c>
      <c r="M529">
        <v>0.25369999999999998</v>
      </c>
      <c r="N529">
        <v>0</v>
      </c>
      <c r="O529">
        <v>1</v>
      </c>
      <c r="P529">
        <v>1</v>
      </c>
    </row>
    <row r="530" spans="1:16" x14ac:dyDescent="0.2">
      <c r="A530">
        <v>529</v>
      </c>
      <c r="B530" s="3">
        <v>40567</v>
      </c>
      <c r="C530">
        <v>1</v>
      </c>
      <c r="D530">
        <v>2011</v>
      </c>
      <c r="E530" t="s">
        <v>10</v>
      </c>
      <c r="F530">
        <v>4</v>
      </c>
      <c r="G530" t="b">
        <v>0</v>
      </c>
      <c r="H530" t="s">
        <v>13</v>
      </c>
      <c r="I530">
        <v>1</v>
      </c>
      <c r="J530">
        <v>0.02</v>
      </c>
      <c r="K530">
        <v>6.0600000000000001E-2</v>
      </c>
      <c r="L530">
        <v>0.48</v>
      </c>
      <c r="M530">
        <v>0.1343</v>
      </c>
      <c r="N530">
        <v>0</v>
      </c>
      <c r="O530">
        <v>1</v>
      </c>
      <c r="P530">
        <v>1</v>
      </c>
    </row>
    <row r="531" spans="1:16" x14ac:dyDescent="0.2">
      <c r="A531">
        <v>530</v>
      </c>
      <c r="B531" s="3">
        <v>40567</v>
      </c>
      <c r="C531">
        <v>1</v>
      </c>
      <c r="D531">
        <v>2011</v>
      </c>
      <c r="E531" t="s">
        <v>10</v>
      </c>
      <c r="F531">
        <v>5</v>
      </c>
      <c r="G531" t="b">
        <v>0</v>
      </c>
      <c r="H531" t="s">
        <v>13</v>
      </c>
      <c r="I531">
        <v>1</v>
      </c>
      <c r="J531">
        <v>0.02</v>
      </c>
      <c r="K531">
        <v>6.0600000000000001E-2</v>
      </c>
      <c r="L531">
        <v>0.48</v>
      </c>
      <c r="M531">
        <v>0.1343</v>
      </c>
      <c r="N531">
        <v>0</v>
      </c>
      <c r="O531">
        <v>5</v>
      </c>
      <c r="P531">
        <v>5</v>
      </c>
    </row>
    <row r="532" spans="1:16" x14ac:dyDescent="0.2">
      <c r="A532">
        <v>531</v>
      </c>
      <c r="B532" s="3">
        <v>40567</v>
      </c>
      <c r="C532">
        <v>1</v>
      </c>
      <c r="D532">
        <v>2011</v>
      </c>
      <c r="E532" t="s">
        <v>10</v>
      </c>
      <c r="F532">
        <v>6</v>
      </c>
      <c r="G532" t="b">
        <v>0</v>
      </c>
      <c r="H532" t="s">
        <v>13</v>
      </c>
      <c r="I532">
        <v>1</v>
      </c>
      <c r="J532">
        <v>0.02</v>
      </c>
      <c r="K532">
        <v>7.5800000000000006E-2</v>
      </c>
      <c r="L532">
        <v>0.48</v>
      </c>
      <c r="M532">
        <v>8.9599999999999999E-2</v>
      </c>
      <c r="N532">
        <v>0</v>
      </c>
      <c r="O532">
        <v>15</v>
      </c>
      <c r="P532">
        <v>15</v>
      </c>
    </row>
    <row r="533" spans="1:16" x14ac:dyDescent="0.2">
      <c r="A533">
        <v>532</v>
      </c>
      <c r="B533" s="3">
        <v>40567</v>
      </c>
      <c r="C533">
        <v>1</v>
      </c>
      <c r="D533">
        <v>2011</v>
      </c>
      <c r="E533" t="s">
        <v>10</v>
      </c>
      <c r="F533">
        <v>7</v>
      </c>
      <c r="G533" t="b">
        <v>0</v>
      </c>
      <c r="H533" t="s">
        <v>13</v>
      </c>
      <c r="I533">
        <v>1</v>
      </c>
      <c r="J533">
        <v>0.02</v>
      </c>
      <c r="K533">
        <v>0.1212</v>
      </c>
      <c r="L533">
        <v>0.48</v>
      </c>
      <c r="M533">
        <v>0</v>
      </c>
      <c r="N533">
        <v>5</v>
      </c>
      <c r="O533">
        <v>79</v>
      </c>
      <c r="P533">
        <v>84</v>
      </c>
    </row>
    <row r="534" spans="1:16" x14ac:dyDescent="0.2">
      <c r="A534">
        <v>533</v>
      </c>
      <c r="B534" s="3">
        <v>40567</v>
      </c>
      <c r="C534">
        <v>1</v>
      </c>
      <c r="D534">
        <v>2011</v>
      </c>
      <c r="E534" t="s">
        <v>10</v>
      </c>
      <c r="F534">
        <v>8</v>
      </c>
      <c r="G534" t="b">
        <v>0</v>
      </c>
      <c r="H534" t="s">
        <v>13</v>
      </c>
      <c r="I534">
        <v>1</v>
      </c>
      <c r="J534">
        <v>0.04</v>
      </c>
      <c r="K534">
        <v>0.13639999999999999</v>
      </c>
      <c r="L534">
        <v>0.49</v>
      </c>
      <c r="M534">
        <v>0</v>
      </c>
      <c r="N534">
        <v>6</v>
      </c>
      <c r="O534">
        <v>171</v>
      </c>
      <c r="P534">
        <v>177</v>
      </c>
    </row>
    <row r="535" spans="1:16" x14ac:dyDescent="0.2">
      <c r="A535">
        <v>534</v>
      </c>
      <c r="B535" s="3">
        <v>40567</v>
      </c>
      <c r="C535">
        <v>1</v>
      </c>
      <c r="D535">
        <v>2011</v>
      </c>
      <c r="E535" t="s">
        <v>10</v>
      </c>
      <c r="F535">
        <v>9</v>
      </c>
      <c r="G535" t="b">
        <v>0</v>
      </c>
      <c r="H535" t="s">
        <v>13</v>
      </c>
      <c r="I535">
        <v>1</v>
      </c>
      <c r="J535">
        <v>0.06</v>
      </c>
      <c r="K535">
        <v>0.1515</v>
      </c>
      <c r="L535">
        <v>0.41</v>
      </c>
      <c r="M535">
        <v>0</v>
      </c>
      <c r="N535">
        <v>4</v>
      </c>
      <c r="O535">
        <v>98</v>
      </c>
      <c r="P535">
        <v>102</v>
      </c>
    </row>
    <row r="536" spans="1:16" x14ac:dyDescent="0.2">
      <c r="A536">
        <v>535</v>
      </c>
      <c r="B536" s="3">
        <v>40567</v>
      </c>
      <c r="C536">
        <v>1</v>
      </c>
      <c r="D536">
        <v>2011</v>
      </c>
      <c r="E536" t="s">
        <v>10</v>
      </c>
      <c r="F536">
        <v>10</v>
      </c>
      <c r="G536" t="b">
        <v>0</v>
      </c>
      <c r="H536" t="s">
        <v>13</v>
      </c>
      <c r="I536">
        <v>1</v>
      </c>
      <c r="J536">
        <v>0.1</v>
      </c>
      <c r="K536">
        <v>0.13639999999999999</v>
      </c>
      <c r="L536">
        <v>0.42</v>
      </c>
      <c r="M536">
        <v>0</v>
      </c>
      <c r="N536">
        <v>6</v>
      </c>
      <c r="O536">
        <v>34</v>
      </c>
      <c r="P536">
        <v>40</v>
      </c>
    </row>
    <row r="537" spans="1:16" x14ac:dyDescent="0.2">
      <c r="A537">
        <v>536</v>
      </c>
      <c r="B537" s="3">
        <v>40567</v>
      </c>
      <c r="C537">
        <v>1</v>
      </c>
      <c r="D537">
        <v>2011</v>
      </c>
      <c r="E537" t="s">
        <v>10</v>
      </c>
      <c r="F537">
        <v>11</v>
      </c>
      <c r="G537" t="b">
        <v>0</v>
      </c>
      <c r="H537" t="s">
        <v>13</v>
      </c>
      <c r="I537">
        <v>1</v>
      </c>
      <c r="J537">
        <v>0.1</v>
      </c>
      <c r="K537">
        <v>0.1212</v>
      </c>
      <c r="L537">
        <v>0.46</v>
      </c>
      <c r="M537">
        <v>0.1343</v>
      </c>
      <c r="N537">
        <v>3</v>
      </c>
      <c r="O537">
        <v>43</v>
      </c>
      <c r="P537">
        <v>46</v>
      </c>
    </row>
    <row r="538" spans="1:16" x14ac:dyDescent="0.2">
      <c r="A538">
        <v>537</v>
      </c>
      <c r="B538" s="3">
        <v>40567</v>
      </c>
      <c r="C538">
        <v>1</v>
      </c>
      <c r="D538">
        <v>2011</v>
      </c>
      <c r="E538" t="s">
        <v>10</v>
      </c>
      <c r="F538">
        <v>12</v>
      </c>
      <c r="G538" t="b">
        <v>0</v>
      </c>
      <c r="H538" t="s">
        <v>13</v>
      </c>
      <c r="I538">
        <v>2</v>
      </c>
      <c r="J538">
        <v>0.12</v>
      </c>
      <c r="K538">
        <v>0.13639999999999999</v>
      </c>
      <c r="L538">
        <v>0.42</v>
      </c>
      <c r="M538">
        <v>0.19400000000000001</v>
      </c>
      <c r="N538">
        <v>11</v>
      </c>
      <c r="O538">
        <v>52</v>
      </c>
      <c r="P538">
        <v>63</v>
      </c>
    </row>
    <row r="539" spans="1:16" x14ac:dyDescent="0.2">
      <c r="A539">
        <v>538</v>
      </c>
      <c r="B539" s="3">
        <v>40567</v>
      </c>
      <c r="C539">
        <v>1</v>
      </c>
      <c r="D539">
        <v>2011</v>
      </c>
      <c r="E539" t="s">
        <v>10</v>
      </c>
      <c r="F539">
        <v>13</v>
      </c>
      <c r="G539" t="b">
        <v>0</v>
      </c>
      <c r="H539" t="s">
        <v>13</v>
      </c>
      <c r="I539">
        <v>2</v>
      </c>
      <c r="J539">
        <v>0.14000000000000001</v>
      </c>
      <c r="K539">
        <v>0.13639999999999999</v>
      </c>
      <c r="L539">
        <v>0.43</v>
      </c>
      <c r="M539">
        <v>0.22389999999999999</v>
      </c>
      <c r="N539">
        <v>6</v>
      </c>
      <c r="O539">
        <v>54</v>
      </c>
      <c r="P539">
        <v>60</v>
      </c>
    </row>
    <row r="540" spans="1:16" x14ac:dyDescent="0.2">
      <c r="A540">
        <v>539</v>
      </c>
      <c r="B540" s="3">
        <v>40567</v>
      </c>
      <c r="C540">
        <v>1</v>
      </c>
      <c r="D540">
        <v>2011</v>
      </c>
      <c r="E540" t="s">
        <v>10</v>
      </c>
      <c r="F540">
        <v>14</v>
      </c>
      <c r="G540" t="b">
        <v>0</v>
      </c>
      <c r="H540" t="s">
        <v>13</v>
      </c>
      <c r="I540">
        <v>2</v>
      </c>
      <c r="J540">
        <v>0.14000000000000001</v>
      </c>
      <c r="K540">
        <v>0.13639999999999999</v>
      </c>
      <c r="L540">
        <v>0.46</v>
      </c>
      <c r="M540">
        <v>0.22389999999999999</v>
      </c>
      <c r="N540">
        <v>2</v>
      </c>
      <c r="O540">
        <v>43</v>
      </c>
      <c r="P540">
        <v>45</v>
      </c>
    </row>
    <row r="541" spans="1:16" x14ac:dyDescent="0.2">
      <c r="A541">
        <v>540</v>
      </c>
      <c r="B541" s="3">
        <v>40567</v>
      </c>
      <c r="C541">
        <v>1</v>
      </c>
      <c r="D541">
        <v>2011</v>
      </c>
      <c r="E541" t="s">
        <v>10</v>
      </c>
      <c r="F541">
        <v>15</v>
      </c>
      <c r="G541" t="b">
        <v>0</v>
      </c>
      <c r="H541" t="s">
        <v>13</v>
      </c>
      <c r="I541">
        <v>1</v>
      </c>
      <c r="J541">
        <v>0.16</v>
      </c>
      <c r="K541">
        <v>0.16669999999999999</v>
      </c>
      <c r="L541">
        <v>0.4</v>
      </c>
      <c r="M541">
        <v>0.16420000000000001</v>
      </c>
      <c r="N541">
        <v>7</v>
      </c>
      <c r="O541">
        <v>50</v>
      </c>
      <c r="P541">
        <v>57</v>
      </c>
    </row>
    <row r="542" spans="1:16" x14ac:dyDescent="0.2">
      <c r="A542">
        <v>541</v>
      </c>
      <c r="B542" s="3">
        <v>40567</v>
      </c>
      <c r="C542">
        <v>1</v>
      </c>
      <c r="D542">
        <v>2011</v>
      </c>
      <c r="E542" t="s">
        <v>10</v>
      </c>
      <c r="F542">
        <v>16</v>
      </c>
      <c r="G542" t="b">
        <v>0</v>
      </c>
      <c r="H542" t="s">
        <v>13</v>
      </c>
      <c r="I542">
        <v>1</v>
      </c>
      <c r="J542">
        <v>0.16</v>
      </c>
      <c r="K542">
        <v>0.1515</v>
      </c>
      <c r="L542">
        <v>0.47</v>
      </c>
      <c r="M542">
        <v>0.25369999999999998</v>
      </c>
      <c r="N542">
        <v>4</v>
      </c>
      <c r="O542">
        <v>66</v>
      </c>
      <c r="P542">
        <v>70</v>
      </c>
    </row>
    <row r="543" spans="1:16" x14ac:dyDescent="0.2">
      <c r="A543">
        <v>542</v>
      </c>
      <c r="B543" s="3">
        <v>40567</v>
      </c>
      <c r="C543">
        <v>1</v>
      </c>
      <c r="D543">
        <v>2011</v>
      </c>
      <c r="E543" t="s">
        <v>10</v>
      </c>
      <c r="F543">
        <v>17</v>
      </c>
      <c r="G543" t="b">
        <v>0</v>
      </c>
      <c r="H543" t="s">
        <v>13</v>
      </c>
      <c r="I543">
        <v>1</v>
      </c>
      <c r="J543">
        <v>0.14000000000000001</v>
      </c>
      <c r="K543">
        <v>0.1212</v>
      </c>
      <c r="L543">
        <v>0.5</v>
      </c>
      <c r="M543">
        <v>0.25369999999999998</v>
      </c>
      <c r="N543">
        <v>6</v>
      </c>
      <c r="O543">
        <v>178</v>
      </c>
      <c r="P543">
        <v>184</v>
      </c>
    </row>
    <row r="544" spans="1:16" x14ac:dyDescent="0.2">
      <c r="A544">
        <v>543</v>
      </c>
      <c r="B544" s="3">
        <v>40567</v>
      </c>
      <c r="C544">
        <v>1</v>
      </c>
      <c r="D544">
        <v>2011</v>
      </c>
      <c r="E544" t="s">
        <v>10</v>
      </c>
      <c r="F544">
        <v>18</v>
      </c>
      <c r="G544" t="b">
        <v>0</v>
      </c>
      <c r="H544" t="s">
        <v>13</v>
      </c>
      <c r="I544">
        <v>1</v>
      </c>
      <c r="J544">
        <v>0.14000000000000001</v>
      </c>
      <c r="K544">
        <v>0.13639999999999999</v>
      </c>
      <c r="L544">
        <v>0.59</v>
      </c>
      <c r="M544">
        <v>0.19400000000000001</v>
      </c>
      <c r="N544">
        <v>8</v>
      </c>
      <c r="O544">
        <v>145</v>
      </c>
      <c r="P544">
        <v>153</v>
      </c>
    </row>
    <row r="545" spans="1:16" x14ac:dyDescent="0.2">
      <c r="A545">
        <v>544</v>
      </c>
      <c r="B545" s="3">
        <v>40567</v>
      </c>
      <c r="C545">
        <v>1</v>
      </c>
      <c r="D545">
        <v>2011</v>
      </c>
      <c r="E545" t="s">
        <v>10</v>
      </c>
      <c r="F545">
        <v>19</v>
      </c>
      <c r="G545" t="b">
        <v>0</v>
      </c>
      <c r="H545" t="s">
        <v>13</v>
      </c>
      <c r="I545">
        <v>1</v>
      </c>
      <c r="J545">
        <v>0.14000000000000001</v>
      </c>
      <c r="K545">
        <v>0.1515</v>
      </c>
      <c r="L545">
        <v>0.54</v>
      </c>
      <c r="M545">
        <v>0.16420000000000001</v>
      </c>
      <c r="N545">
        <v>5</v>
      </c>
      <c r="O545">
        <v>101</v>
      </c>
      <c r="P545">
        <v>106</v>
      </c>
    </row>
    <row r="546" spans="1:16" x14ac:dyDescent="0.2">
      <c r="A546">
        <v>545</v>
      </c>
      <c r="B546" s="3">
        <v>40567</v>
      </c>
      <c r="C546">
        <v>1</v>
      </c>
      <c r="D546">
        <v>2011</v>
      </c>
      <c r="E546" t="s">
        <v>10</v>
      </c>
      <c r="F546">
        <v>20</v>
      </c>
      <c r="G546" t="b">
        <v>0</v>
      </c>
      <c r="H546" t="s">
        <v>13</v>
      </c>
      <c r="I546">
        <v>1</v>
      </c>
      <c r="J546">
        <v>0.14000000000000001</v>
      </c>
      <c r="K546">
        <v>0.13639999999999999</v>
      </c>
      <c r="L546">
        <v>0.59</v>
      </c>
      <c r="M546">
        <v>0.19400000000000001</v>
      </c>
      <c r="N546">
        <v>1</v>
      </c>
      <c r="O546">
        <v>80</v>
      </c>
      <c r="P546">
        <v>81</v>
      </c>
    </row>
    <row r="547" spans="1:16" x14ac:dyDescent="0.2">
      <c r="A547">
        <v>546</v>
      </c>
      <c r="B547" s="3">
        <v>40567</v>
      </c>
      <c r="C547">
        <v>1</v>
      </c>
      <c r="D547">
        <v>2011</v>
      </c>
      <c r="E547" t="s">
        <v>10</v>
      </c>
      <c r="F547">
        <v>21</v>
      </c>
      <c r="G547" t="b">
        <v>0</v>
      </c>
      <c r="H547" t="s">
        <v>13</v>
      </c>
      <c r="I547">
        <v>1</v>
      </c>
      <c r="J547">
        <v>0.14000000000000001</v>
      </c>
      <c r="K547">
        <v>0.1515</v>
      </c>
      <c r="L547">
        <v>0.63</v>
      </c>
      <c r="M547">
        <v>0.16420000000000001</v>
      </c>
      <c r="N547">
        <v>6</v>
      </c>
      <c r="O547">
        <v>53</v>
      </c>
      <c r="P547">
        <v>59</v>
      </c>
    </row>
    <row r="548" spans="1:16" x14ac:dyDescent="0.2">
      <c r="A548">
        <v>547</v>
      </c>
      <c r="B548" s="3">
        <v>40567</v>
      </c>
      <c r="C548">
        <v>1</v>
      </c>
      <c r="D548">
        <v>2011</v>
      </c>
      <c r="E548" t="s">
        <v>10</v>
      </c>
      <c r="F548">
        <v>22</v>
      </c>
      <c r="G548" t="b">
        <v>0</v>
      </c>
      <c r="H548" t="s">
        <v>13</v>
      </c>
      <c r="I548">
        <v>2</v>
      </c>
      <c r="J548">
        <v>0.14000000000000001</v>
      </c>
      <c r="K548">
        <v>0.13639999999999999</v>
      </c>
      <c r="L548">
        <v>0.63</v>
      </c>
      <c r="M548">
        <v>0.22389999999999999</v>
      </c>
      <c r="N548">
        <v>3</v>
      </c>
      <c r="O548">
        <v>32</v>
      </c>
      <c r="P548">
        <v>35</v>
      </c>
    </row>
    <row r="549" spans="1:16" x14ac:dyDescent="0.2">
      <c r="A549">
        <v>548</v>
      </c>
      <c r="B549" s="3">
        <v>40567</v>
      </c>
      <c r="C549">
        <v>1</v>
      </c>
      <c r="D549">
        <v>2011</v>
      </c>
      <c r="E549" t="s">
        <v>10</v>
      </c>
      <c r="F549">
        <v>23</v>
      </c>
      <c r="G549" t="b">
        <v>0</v>
      </c>
      <c r="H549" t="s">
        <v>13</v>
      </c>
      <c r="I549">
        <v>2</v>
      </c>
      <c r="J549">
        <v>0.16</v>
      </c>
      <c r="K549">
        <v>0.1515</v>
      </c>
      <c r="L549">
        <v>0.64</v>
      </c>
      <c r="M549">
        <v>0.25369999999999998</v>
      </c>
      <c r="N549">
        <v>3</v>
      </c>
      <c r="O549">
        <v>21</v>
      </c>
      <c r="P549">
        <v>24</v>
      </c>
    </row>
    <row r="550" spans="1:16" x14ac:dyDescent="0.2">
      <c r="A550">
        <v>549</v>
      </c>
      <c r="B550" s="3">
        <v>40568</v>
      </c>
      <c r="C550">
        <v>1</v>
      </c>
      <c r="D550">
        <v>2011</v>
      </c>
      <c r="E550" t="s">
        <v>10</v>
      </c>
      <c r="F550">
        <v>0</v>
      </c>
      <c r="G550" t="b">
        <v>0</v>
      </c>
      <c r="H550" t="s">
        <v>14</v>
      </c>
      <c r="I550">
        <v>2</v>
      </c>
      <c r="J550">
        <v>0.16</v>
      </c>
      <c r="K550">
        <v>0.13639999999999999</v>
      </c>
      <c r="L550">
        <v>0.69</v>
      </c>
      <c r="M550">
        <v>0.28360000000000002</v>
      </c>
      <c r="N550">
        <v>3</v>
      </c>
      <c r="O550">
        <v>6</v>
      </c>
      <c r="P550">
        <v>9</v>
      </c>
    </row>
    <row r="551" spans="1:16" x14ac:dyDescent="0.2">
      <c r="A551">
        <v>550</v>
      </c>
      <c r="B551" s="3">
        <v>40568</v>
      </c>
      <c r="C551">
        <v>1</v>
      </c>
      <c r="D551">
        <v>2011</v>
      </c>
      <c r="E551" t="s">
        <v>10</v>
      </c>
      <c r="F551">
        <v>1</v>
      </c>
      <c r="G551" t="b">
        <v>0</v>
      </c>
      <c r="H551" t="s">
        <v>14</v>
      </c>
      <c r="I551">
        <v>2</v>
      </c>
      <c r="J551">
        <v>0.16</v>
      </c>
      <c r="K551">
        <v>0.16669999999999999</v>
      </c>
      <c r="L551">
        <v>0.69</v>
      </c>
      <c r="M551">
        <v>0.16420000000000001</v>
      </c>
      <c r="N551">
        <v>0</v>
      </c>
      <c r="O551">
        <v>5</v>
      </c>
      <c r="P551">
        <v>5</v>
      </c>
    </row>
    <row r="552" spans="1:16" x14ac:dyDescent="0.2">
      <c r="A552">
        <v>551</v>
      </c>
      <c r="B552" s="3">
        <v>40568</v>
      </c>
      <c r="C552">
        <v>1</v>
      </c>
      <c r="D552">
        <v>2011</v>
      </c>
      <c r="E552" t="s">
        <v>10</v>
      </c>
      <c r="F552">
        <v>2</v>
      </c>
      <c r="G552" t="b">
        <v>0</v>
      </c>
      <c r="H552" t="s">
        <v>14</v>
      </c>
      <c r="I552">
        <v>1</v>
      </c>
      <c r="J552">
        <v>0.16</v>
      </c>
      <c r="K552">
        <v>0.1515</v>
      </c>
      <c r="L552">
        <v>0.69</v>
      </c>
      <c r="M552">
        <v>0.22389999999999999</v>
      </c>
      <c r="N552">
        <v>0</v>
      </c>
      <c r="O552">
        <v>2</v>
      </c>
      <c r="P552">
        <v>2</v>
      </c>
    </row>
    <row r="553" spans="1:16" x14ac:dyDescent="0.2">
      <c r="A553">
        <v>552</v>
      </c>
      <c r="B553" s="3">
        <v>40568</v>
      </c>
      <c r="C553">
        <v>1</v>
      </c>
      <c r="D553">
        <v>2011</v>
      </c>
      <c r="E553" t="s">
        <v>10</v>
      </c>
      <c r="F553">
        <v>4</v>
      </c>
      <c r="G553" t="b">
        <v>0</v>
      </c>
      <c r="H553" t="s">
        <v>14</v>
      </c>
      <c r="I553">
        <v>1</v>
      </c>
      <c r="J553">
        <v>0.14000000000000001</v>
      </c>
      <c r="K553">
        <v>0.16669999999999999</v>
      </c>
      <c r="L553">
        <v>0.74</v>
      </c>
      <c r="M553">
        <v>0.1045</v>
      </c>
      <c r="N553">
        <v>0</v>
      </c>
      <c r="O553">
        <v>1</v>
      </c>
      <c r="P553">
        <v>1</v>
      </c>
    </row>
    <row r="554" spans="1:16" x14ac:dyDescent="0.2">
      <c r="A554">
        <v>553</v>
      </c>
      <c r="B554" s="3">
        <v>40568</v>
      </c>
      <c r="C554">
        <v>1</v>
      </c>
      <c r="D554">
        <v>2011</v>
      </c>
      <c r="E554" t="s">
        <v>10</v>
      </c>
      <c r="F554">
        <v>5</v>
      </c>
      <c r="G554" t="b">
        <v>0</v>
      </c>
      <c r="H554" t="s">
        <v>14</v>
      </c>
      <c r="I554">
        <v>1</v>
      </c>
      <c r="J554">
        <v>0.14000000000000001</v>
      </c>
      <c r="K554">
        <v>0.13639999999999999</v>
      </c>
      <c r="L554">
        <v>0.74</v>
      </c>
      <c r="M554">
        <v>0.22389999999999999</v>
      </c>
      <c r="N554">
        <v>0</v>
      </c>
      <c r="O554">
        <v>9</v>
      </c>
      <c r="P554">
        <v>9</v>
      </c>
    </row>
    <row r="555" spans="1:16" x14ac:dyDescent="0.2">
      <c r="A555">
        <v>554</v>
      </c>
      <c r="B555" s="3">
        <v>40568</v>
      </c>
      <c r="C555">
        <v>1</v>
      </c>
      <c r="D555">
        <v>2011</v>
      </c>
      <c r="E555" t="s">
        <v>10</v>
      </c>
      <c r="F555">
        <v>6</v>
      </c>
      <c r="G555" t="b">
        <v>0</v>
      </c>
      <c r="H555" t="s">
        <v>14</v>
      </c>
      <c r="I555">
        <v>1</v>
      </c>
      <c r="J555">
        <v>0.16</v>
      </c>
      <c r="K555">
        <v>0.18179999999999999</v>
      </c>
      <c r="L555">
        <v>0.74</v>
      </c>
      <c r="M555">
        <v>0.1045</v>
      </c>
      <c r="N555">
        <v>1</v>
      </c>
      <c r="O555">
        <v>35</v>
      </c>
      <c r="P555">
        <v>36</v>
      </c>
    </row>
    <row r="556" spans="1:16" x14ac:dyDescent="0.2">
      <c r="A556">
        <v>555</v>
      </c>
      <c r="B556" s="3">
        <v>40568</v>
      </c>
      <c r="C556">
        <v>1</v>
      </c>
      <c r="D556">
        <v>2011</v>
      </c>
      <c r="E556" t="s">
        <v>10</v>
      </c>
      <c r="F556">
        <v>7</v>
      </c>
      <c r="G556" t="b">
        <v>0</v>
      </c>
      <c r="H556" t="s">
        <v>14</v>
      </c>
      <c r="I556">
        <v>1</v>
      </c>
      <c r="J556">
        <v>0.16</v>
      </c>
      <c r="K556">
        <v>0.1515</v>
      </c>
      <c r="L556">
        <v>0.74</v>
      </c>
      <c r="M556">
        <v>0.22389999999999999</v>
      </c>
      <c r="N556">
        <v>5</v>
      </c>
      <c r="O556">
        <v>103</v>
      </c>
      <c r="P556">
        <v>108</v>
      </c>
    </row>
    <row r="557" spans="1:16" x14ac:dyDescent="0.2">
      <c r="A557">
        <v>556</v>
      </c>
      <c r="B557" s="3">
        <v>40568</v>
      </c>
      <c r="C557">
        <v>1</v>
      </c>
      <c r="D557">
        <v>2011</v>
      </c>
      <c r="E557" t="s">
        <v>10</v>
      </c>
      <c r="F557">
        <v>8</v>
      </c>
      <c r="G557" t="b">
        <v>0</v>
      </c>
      <c r="H557" t="s">
        <v>14</v>
      </c>
      <c r="I557">
        <v>2</v>
      </c>
      <c r="J557">
        <v>0.16</v>
      </c>
      <c r="K557">
        <v>0.18179999999999999</v>
      </c>
      <c r="L557">
        <v>0.74</v>
      </c>
      <c r="M557">
        <v>0.1343</v>
      </c>
      <c r="N557">
        <v>5</v>
      </c>
      <c r="O557">
        <v>233</v>
      </c>
      <c r="P557">
        <v>238</v>
      </c>
    </row>
    <row r="558" spans="1:16" x14ac:dyDescent="0.2">
      <c r="A558">
        <v>557</v>
      </c>
      <c r="B558" s="3">
        <v>40568</v>
      </c>
      <c r="C558">
        <v>1</v>
      </c>
      <c r="D558">
        <v>2011</v>
      </c>
      <c r="E558" t="s">
        <v>10</v>
      </c>
      <c r="F558">
        <v>9</v>
      </c>
      <c r="G558" t="b">
        <v>0</v>
      </c>
      <c r="H558" t="s">
        <v>14</v>
      </c>
      <c r="I558">
        <v>2</v>
      </c>
      <c r="J558">
        <v>0.2</v>
      </c>
      <c r="K558">
        <v>0.2273</v>
      </c>
      <c r="L558">
        <v>0.64</v>
      </c>
      <c r="M558">
        <v>8.9599999999999999E-2</v>
      </c>
      <c r="N558">
        <v>10</v>
      </c>
      <c r="O558">
        <v>134</v>
      </c>
      <c r="P558">
        <v>144</v>
      </c>
    </row>
    <row r="559" spans="1:16" x14ac:dyDescent="0.2">
      <c r="A559">
        <v>558</v>
      </c>
      <c r="B559" s="3">
        <v>40568</v>
      </c>
      <c r="C559">
        <v>1</v>
      </c>
      <c r="D559">
        <v>2011</v>
      </c>
      <c r="E559" t="s">
        <v>10</v>
      </c>
      <c r="F559">
        <v>10</v>
      </c>
      <c r="G559" t="b">
        <v>0</v>
      </c>
      <c r="H559" t="s">
        <v>14</v>
      </c>
      <c r="I559">
        <v>2</v>
      </c>
      <c r="J559">
        <v>0.22</v>
      </c>
      <c r="K559">
        <v>0.2424</v>
      </c>
      <c r="L559">
        <v>0.6</v>
      </c>
      <c r="M559">
        <v>0.1045</v>
      </c>
      <c r="N559">
        <v>6</v>
      </c>
      <c r="O559">
        <v>49</v>
      </c>
      <c r="P559">
        <v>55</v>
      </c>
    </row>
    <row r="560" spans="1:16" x14ac:dyDescent="0.2">
      <c r="A560">
        <v>559</v>
      </c>
      <c r="B560" s="3">
        <v>40568</v>
      </c>
      <c r="C560">
        <v>1</v>
      </c>
      <c r="D560">
        <v>2011</v>
      </c>
      <c r="E560" t="s">
        <v>10</v>
      </c>
      <c r="F560">
        <v>11</v>
      </c>
      <c r="G560" t="b">
        <v>0</v>
      </c>
      <c r="H560" t="s">
        <v>14</v>
      </c>
      <c r="I560">
        <v>2</v>
      </c>
      <c r="J560">
        <v>0.24</v>
      </c>
      <c r="K560">
        <v>0.2424</v>
      </c>
      <c r="L560">
        <v>0.6</v>
      </c>
      <c r="M560">
        <v>0.1343</v>
      </c>
      <c r="N560">
        <v>6</v>
      </c>
      <c r="O560">
        <v>55</v>
      </c>
      <c r="P560">
        <v>61</v>
      </c>
    </row>
    <row r="561" spans="1:16" x14ac:dyDescent="0.2">
      <c r="A561">
        <v>560</v>
      </c>
      <c r="B561" s="3">
        <v>40568</v>
      </c>
      <c r="C561">
        <v>1</v>
      </c>
      <c r="D561">
        <v>2011</v>
      </c>
      <c r="E561" t="s">
        <v>10</v>
      </c>
      <c r="F561">
        <v>12</v>
      </c>
      <c r="G561" t="b">
        <v>0</v>
      </c>
      <c r="H561" t="s">
        <v>14</v>
      </c>
      <c r="I561">
        <v>2</v>
      </c>
      <c r="J561">
        <v>0.26</v>
      </c>
      <c r="K561">
        <v>0.28789999999999999</v>
      </c>
      <c r="L561">
        <v>0.56000000000000005</v>
      </c>
      <c r="M561">
        <v>8.9599999999999999E-2</v>
      </c>
      <c r="N561">
        <v>21</v>
      </c>
      <c r="O561">
        <v>85</v>
      </c>
      <c r="P561">
        <v>106</v>
      </c>
    </row>
    <row r="562" spans="1:16" x14ac:dyDescent="0.2">
      <c r="A562">
        <v>561</v>
      </c>
      <c r="B562" s="3">
        <v>40568</v>
      </c>
      <c r="C562">
        <v>1</v>
      </c>
      <c r="D562">
        <v>2011</v>
      </c>
      <c r="E562" t="s">
        <v>10</v>
      </c>
      <c r="F562">
        <v>13</v>
      </c>
      <c r="G562" t="b">
        <v>0</v>
      </c>
      <c r="H562" t="s">
        <v>14</v>
      </c>
      <c r="I562">
        <v>2</v>
      </c>
      <c r="J562">
        <v>0.26</v>
      </c>
      <c r="K562">
        <v>0.2727</v>
      </c>
      <c r="L562">
        <v>0.56000000000000005</v>
      </c>
      <c r="M562">
        <v>0.1343</v>
      </c>
      <c r="N562">
        <v>21</v>
      </c>
      <c r="O562">
        <v>72</v>
      </c>
      <c r="P562">
        <v>93</v>
      </c>
    </row>
    <row r="563" spans="1:16" x14ac:dyDescent="0.2">
      <c r="A563">
        <v>562</v>
      </c>
      <c r="B563" s="3">
        <v>40568</v>
      </c>
      <c r="C563">
        <v>1</v>
      </c>
      <c r="D563">
        <v>2011</v>
      </c>
      <c r="E563" t="s">
        <v>10</v>
      </c>
      <c r="F563">
        <v>14</v>
      </c>
      <c r="G563" t="b">
        <v>0</v>
      </c>
      <c r="H563" t="s">
        <v>14</v>
      </c>
      <c r="I563">
        <v>2</v>
      </c>
      <c r="J563">
        <v>0.3</v>
      </c>
      <c r="K563">
        <v>0.33329999999999999</v>
      </c>
      <c r="L563">
        <v>0.45</v>
      </c>
      <c r="M563">
        <v>0</v>
      </c>
      <c r="N563">
        <v>11</v>
      </c>
      <c r="O563">
        <v>57</v>
      </c>
      <c r="P563">
        <v>68</v>
      </c>
    </row>
    <row r="564" spans="1:16" x14ac:dyDescent="0.2">
      <c r="A564">
        <v>563</v>
      </c>
      <c r="B564" s="3">
        <v>40568</v>
      </c>
      <c r="C564">
        <v>1</v>
      </c>
      <c r="D564">
        <v>2011</v>
      </c>
      <c r="E564" t="s">
        <v>10</v>
      </c>
      <c r="F564">
        <v>15</v>
      </c>
      <c r="G564" t="b">
        <v>0</v>
      </c>
      <c r="H564" t="s">
        <v>14</v>
      </c>
      <c r="I564">
        <v>2</v>
      </c>
      <c r="J564">
        <v>0.32</v>
      </c>
      <c r="K564">
        <v>0.34849999999999998</v>
      </c>
      <c r="L564">
        <v>0.42</v>
      </c>
      <c r="M564">
        <v>0</v>
      </c>
      <c r="N564">
        <v>21</v>
      </c>
      <c r="O564">
        <v>63</v>
      </c>
      <c r="P564">
        <v>84</v>
      </c>
    </row>
    <row r="565" spans="1:16" x14ac:dyDescent="0.2">
      <c r="A565">
        <v>564</v>
      </c>
      <c r="B565" s="3">
        <v>40568</v>
      </c>
      <c r="C565">
        <v>1</v>
      </c>
      <c r="D565">
        <v>2011</v>
      </c>
      <c r="E565" t="s">
        <v>10</v>
      </c>
      <c r="F565">
        <v>16</v>
      </c>
      <c r="G565" t="b">
        <v>0</v>
      </c>
      <c r="H565" t="s">
        <v>14</v>
      </c>
      <c r="I565">
        <v>2</v>
      </c>
      <c r="J565">
        <v>0.32</v>
      </c>
      <c r="K565">
        <v>0.34849999999999998</v>
      </c>
      <c r="L565">
        <v>0.42</v>
      </c>
      <c r="M565">
        <v>0</v>
      </c>
      <c r="N565">
        <v>14</v>
      </c>
      <c r="O565">
        <v>102</v>
      </c>
      <c r="P565">
        <v>116</v>
      </c>
    </row>
    <row r="566" spans="1:16" x14ac:dyDescent="0.2">
      <c r="A566">
        <v>565</v>
      </c>
      <c r="B566" s="3">
        <v>40568</v>
      </c>
      <c r="C566">
        <v>1</v>
      </c>
      <c r="D566">
        <v>2011</v>
      </c>
      <c r="E566" t="s">
        <v>10</v>
      </c>
      <c r="F566">
        <v>17</v>
      </c>
      <c r="G566" t="b">
        <v>0</v>
      </c>
      <c r="H566" t="s">
        <v>14</v>
      </c>
      <c r="I566">
        <v>1</v>
      </c>
      <c r="J566">
        <v>0.3</v>
      </c>
      <c r="K566">
        <v>0.33329999999999999</v>
      </c>
      <c r="L566">
        <v>0.45</v>
      </c>
      <c r="M566">
        <v>0</v>
      </c>
      <c r="N566">
        <v>14</v>
      </c>
      <c r="O566">
        <v>208</v>
      </c>
      <c r="P566">
        <v>222</v>
      </c>
    </row>
    <row r="567" spans="1:16" x14ac:dyDescent="0.2">
      <c r="A567">
        <v>566</v>
      </c>
      <c r="B567" s="3">
        <v>40568</v>
      </c>
      <c r="C567">
        <v>1</v>
      </c>
      <c r="D567">
        <v>2011</v>
      </c>
      <c r="E567" t="s">
        <v>10</v>
      </c>
      <c r="F567">
        <v>18</v>
      </c>
      <c r="G567" t="b">
        <v>0</v>
      </c>
      <c r="H567" t="s">
        <v>14</v>
      </c>
      <c r="I567">
        <v>2</v>
      </c>
      <c r="J567">
        <v>0.3</v>
      </c>
      <c r="K567">
        <v>0.31819999999999998</v>
      </c>
      <c r="L567">
        <v>0.49</v>
      </c>
      <c r="M567">
        <v>8.9599999999999999E-2</v>
      </c>
      <c r="N567">
        <v>7</v>
      </c>
      <c r="O567">
        <v>218</v>
      </c>
      <c r="P567">
        <v>225</v>
      </c>
    </row>
    <row r="568" spans="1:16" x14ac:dyDescent="0.2">
      <c r="A568">
        <v>567</v>
      </c>
      <c r="B568" s="3">
        <v>40568</v>
      </c>
      <c r="C568">
        <v>1</v>
      </c>
      <c r="D568">
        <v>2011</v>
      </c>
      <c r="E568" t="s">
        <v>10</v>
      </c>
      <c r="F568">
        <v>19</v>
      </c>
      <c r="G568" t="b">
        <v>0</v>
      </c>
      <c r="H568" t="s">
        <v>14</v>
      </c>
      <c r="I568">
        <v>2</v>
      </c>
      <c r="J568">
        <v>0.26</v>
      </c>
      <c r="K568">
        <v>0.2576</v>
      </c>
      <c r="L568">
        <v>0.65</v>
      </c>
      <c r="M568">
        <v>0.16420000000000001</v>
      </c>
      <c r="N568">
        <v>13</v>
      </c>
      <c r="O568">
        <v>133</v>
      </c>
      <c r="P568">
        <v>146</v>
      </c>
    </row>
    <row r="569" spans="1:16" x14ac:dyDescent="0.2">
      <c r="A569">
        <v>568</v>
      </c>
      <c r="B569" s="3">
        <v>40568</v>
      </c>
      <c r="C569">
        <v>1</v>
      </c>
      <c r="D569">
        <v>2011</v>
      </c>
      <c r="E569" t="s">
        <v>10</v>
      </c>
      <c r="F569">
        <v>20</v>
      </c>
      <c r="G569" t="b">
        <v>0</v>
      </c>
      <c r="H569" t="s">
        <v>14</v>
      </c>
      <c r="I569">
        <v>1</v>
      </c>
      <c r="J569">
        <v>0.24</v>
      </c>
      <c r="K569">
        <v>0.2273</v>
      </c>
      <c r="L569">
        <v>0.65</v>
      </c>
      <c r="M569">
        <v>0.19400000000000001</v>
      </c>
      <c r="N569">
        <v>16</v>
      </c>
      <c r="O569">
        <v>103</v>
      </c>
      <c r="P569">
        <v>119</v>
      </c>
    </row>
    <row r="570" spans="1:16" x14ac:dyDescent="0.2">
      <c r="A570">
        <v>569</v>
      </c>
      <c r="B570" s="3">
        <v>40568</v>
      </c>
      <c r="C570">
        <v>1</v>
      </c>
      <c r="D570">
        <v>2011</v>
      </c>
      <c r="E570" t="s">
        <v>10</v>
      </c>
      <c r="F570">
        <v>21</v>
      </c>
      <c r="G570" t="b">
        <v>0</v>
      </c>
      <c r="H570" t="s">
        <v>14</v>
      </c>
      <c r="I570">
        <v>1</v>
      </c>
      <c r="J570">
        <v>0.24</v>
      </c>
      <c r="K570">
        <v>0.2273</v>
      </c>
      <c r="L570">
        <v>0.65</v>
      </c>
      <c r="M570">
        <v>0.19400000000000001</v>
      </c>
      <c r="N570">
        <v>5</v>
      </c>
      <c r="O570">
        <v>40</v>
      </c>
      <c r="P570">
        <v>45</v>
      </c>
    </row>
    <row r="571" spans="1:16" x14ac:dyDescent="0.2">
      <c r="A571">
        <v>570</v>
      </c>
      <c r="B571" s="3">
        <v>40568</v>
      </c>
      <c r="C571">
        <v>1</v>
      </c>
      <c r="D571">
        <v>2011</v>
      </c>
      <c r="E571" t="s">
        <v>10</v>
      </c>
      <c r="F571">
        <v>22</v>
      </c>
      <c r="G571" t="b">
        <v>0</v>
      </c>
      <c r="H571" t="s">
        <v>14</v>
      </c>
      <c r="I571">
        <v>1</v>
      </c>
      <c r="J571">
        <v>0.22</v>
      </c>
      <c r="K571">
        <v>0.2273</v>
      </c>
      <c r="L571">
        <v>0.64</v>
      </c>
      <c r="M571">
        <v>0.16420000000000001</v>
      </c>
      <c r="N571">
        <v>4</v>
      </c>
      <c r="O571">
        <v>49</v>
      </c>
      <c r="P571">
        <v>53</v>
      </c>
    </row>
    <row r="572" spans="1:16" x14ac:dyDescent="0.2">
      <c r="A572">
        <v>571</v>
      </c>
      <c r="B572" s="3">
        <v>40568</v>
      </c>
      <c r="C572">
        <v>1</v>
      </c>
      <c r="D572">
        <v>2011</v>
      </c>
      <c r="E572" t="s">
        <v>10</v>
      </c>
      <c r="F572">
        <v>23</v>
      </c>
      <c r="G572" t="b">
        <v>0</v>
      </c>
      <c r="H572" t="s">
        <v>14</v>
      </c>
      <c r="I572">
        <v>2</v>
      </c>
      <c r="J572">
        <v>0.22</v>
      </c>
      <c r="K572">
        <v>0.2273</v>
      </c>
      <c r="L572">
        <v>0.64</v>
      </c>
      <c r="M572">
        <v>0.16420000000000001</v>
      </c>
      <c r="N572">
        <v>3</v>
      </c>
      <c r="O572">
        <v>37</v>
      </c>
      <c r="P572">
        <v>40</v>
      </c>
    </row>
    <row r="573" spans="1:16" x14ac:dyDescent="0.2">
      <c r="A573">
        <v>572</v>
      </c>
      <c r="B573" s="3">
        <v>40569</v>
      </c>
      <c r="C573">
        <v>1</v>
      </c>
      <c r="D573">
        <v>2011</v>
      </c>
      <c r="E573" t="s">
        <v>10</v>
      </c>
      <c r="F573">
        <v>0</v>
      </c>
      <c r="G573" t="b">
        <v>0</v>
      </c>
      <c r="H573" t="s">
        <v>15</v>
      </c>
      <c r="I573">
        <v>2</v>
      </c>
      <c r="J573">
        <v>0.22</v>
      </c>
      <c r="K573">
        <v>0.2273</v>
      </c>
      <c r="L573">
        <v>0.69</v>
      </c>
      <c r="M573">
        <v>0.1343</v>
      </c>
      <c r="N573">
        <v>3</v>
      </c>
      <c r="O573">
        <v>14</v>
      </c>
      <c r="P573">
        <v>17</v>
      </c>
    </row>
    <row r="574" spans="1:16" x14ac:dyDescent="0.2">
      <c r="A574">
        <v>573</v>
      </c>
      <c r="B574" s="3">
        <v>40569</v>
      </c>
      <c r="C574">
        <v>1</v>
      </c>
      <c r="D574">
        <v>2011</v>
      </c>
      <c r="E574" t="s">
        <v>10</v>
      </c>
      <c r="F574">
        <v>1</v>
      </c>
      <c r="G574" t="b">
        <v>0</v>
      </c>
      <c r="H574" t="s">
        <v>15</v>
      </c>
      <c r="I574">
        <v>2</v>
      </c>
      <c r="J574">
        <v>0.24</v>
      </c>
      <c r="K574">
        <v>0.2424</v>
      </c>
      <c r="L574">
        <v>0.65</v>
      </c>
      <c r="M574">
        <v>0.1343</v>
      </c>
      <c r="N574">
        <v>0</v>
      </c>
      <c r="O574">
        <v>5</v>
      </c>
      <c r="P574">
        <v>5</v>
      </c>
    </row>
    <row r="575" spans="1:16" x14ac:dyDescent="0.2">
      <c r="A575">
        <v>574</v>
      </c>
      <c r="B575" s="3">
        <v>40569</v>
      </c>
      <c r="C575">
        <v>1</v>
      </c>
      <c r="D575">
        <v>2011</v>
      </c>
      <c r="E575" t="s">
        <v>10</v>
      </c>
      <c r="F575">
        <v>2</v>
      </c>
      <c r="G575" t="b">
        <v>0</v>
      </c>
      <c r="H575" t="s">
        <v>15</v>
      </c>
      <c r="I575">
        <v>3</v>
      </c>
      <c r="J575">
        <v>0.22</v>
      </c>
      <c r="K575">
        <v>0.2273</v>
      </c>
      <c r="L575">
        <v>0.69</v>
      </c>
      <c r="M575">
        <v>0.19400000000000001</v>
      </c>
      <c r="N575">
        <v>3</v>
      </c>
      <c r="O575">
        <v>7</v>
      </c>
      <c r="P575">
        <v>10</v>
      </c>
    </row>
    <row r="576" spans="1:16" x14ac:dyDescent="0.2">
      <c r="A576">
        <v>575</v>
      </c>
      <c r="B576" s="3">
        <v>40569</v>
      </c>
      <c r="C576">
        <v>1</v>
      </c>
      <c r="D576">
        <v>2011</v>
      </c>
      <c r="E576" t="s">
        <v>10</v>
      </c>
      <c r="F576">
        <v>5</v>
      </c>
      <c r="G576" t="b">
        <v>0</v>
      </c>
      <c r="H576" t="s">
        <v>15</v>
      </c>
      <c r="I576">
        <v>3</v>
      </c>
      <c r="J576">
        <v>0.2</v>
      </c>
      <c r="K576">
        <v>0.18179999999999999</v>
      </c>
      <c r="L576">
        <v>0.86</v>
      </c>
      <c r="M576">
        <v>0.28360000000000002</v>
      </c>
      <c r="N576">
        <v>0</v>
      </c>
      <c r="O576">
        <v>1</v>
      </c>
      <c r="P576">
        <v>1</v>
      </c>
    </row>
    <row r="577" spans="1:16" x14ac:dyDescent="0.2">
      <c r="A577">
        <v>576</v>
      </c>
      <c r="B577" s="3">
        <v>40569</v>
      </c>
      <c r="C577">
        <v>1</v>
      </c>
      <c r="D577">
        <v>2011</v>
      </c>
      <c r="E577" t="s">
        <v>10</v>
      </c>
      <c r="F577">
        <v>6</v>
      </c>
      <c r="G577" t="b">
        <v>0</v>
      </c>
      <c r="H577" t="s">
        <v>15</v>
      </c>
      <c r="I577">
        <v>3</v>
      </c>
      <c r="J577">
        <v>0.2</v>
      </c>
      <c r="K577">
        <v>0.18179999999999999</v>
      </c>
      <c r="L577">
        <v>0.86</v>
      </c>
      <c r="M577">
        <v>0.28360000000000002</v>
      </c>
      <c r="N577">
        <v>0</v>
      </c>
      <c r="O577">
        <v>8</v>
      </c>
      <c r="P577">
        <v>8</v>
      </c>
    </row>
    <row r="578" spans="1:16" x14ac:dyDescent="0.2">
      <c r="A578">
        <v>577</v>
      </c>
      <c r="B578" s="3">
        <v>40569</v>
      </c>
      <c r="C578">
        <v>1</v>
      </c>
      <c r="D578">
        <v>2011</v>
      </c>
      <c r="E578" t="s">
        <v>10</v>
      </c>
      <c r="F578">
        <v>7</v>
      </c>
      <c r="G578" t="b">
        <v>0</v>
      </c>
      <c r="H578" t="s">
        <v>15</v>
      </c>
      <c r="I578">
        <v>3</v>
      </c>
      <c r="J578">
        <v>0.22</v>
      </c>
      <c r="K578">
        <v>0.21210000000000001</v>
      </c>
      <c r="L578">
        <v>0.87</v>
      </c>
      <c r="M578">
        <v>0.29849999999999999</v>
      </c>
      <c r="N578">
        <v>1</v>
      </c>
      <c r="O578">
        <v>29</v>
      </c>
      <c r="P578">
        <v>30</v>
      </c>
    </row>
    <row r="579" spans="1:16" x14ac:dyDescent="0.2">
      <c r="A579">
        <v>578</v>
      </c>
      <c r="B579" s="3">
        <v>40569</v>
      </c>
      <c r="C579">
        <v>1</v>
      </c>
      <c r="D579">
        <v>2011</v>
      </c>
      <c r="E579" t="s">
        <v>10</v>
      </c>
      <c r="F579">
        <v>8</v>
      </c>
      <c r="G579" t="b">
        <v>0</v>
      </c>
      <c r="H579" t="s">
        <v>15</v>
      </c>
      <c r="I579">
        <v>3</v>
      </c>
      <c r="J579">
        <v>0.22</v>
      </c>
      <c r="K579">
        <v>0.21210000000000001</v>
      </c>
      <c r="L579">
        <v>0.87</v>
      </c>
      <c r="M579">
        <v>0.29849999999999999</v>
      </c>
      <c r="N579">
        <v>3</v>
      </c>
      <c r="O579">
        <v>69</v>
      </c>
      <c r="P579">
        <v>72</v>
      </c>
    </row>
    <row r="580" spans="1:16" x14ac:dyDescent="0.2">
      <c r="A580">
        <v>579</v>
      </c>
      <c r="B580" s="3">
        <v>40569</v>
      </c>
      <c r="C580">
        <v>1</v>
      </c>
      <c r="D580">
        <v>2011</v>
      </c>
      <c r="E580" t="s">
        <v>10</v>
      </c>
      <c r="F580">
        <v>9</v>
      </c>
      <c r="G580" t="b">
        <v>0</v>
      </c>
      <c r="H580" t="s">
        <v>15</v>
      </c>
      <c r="I580">
        <v>3</v>
      </c>
      <c r="J580">
        <v>0.22</v>
      </c>
      <c r="K580">
        <v>0.21210000000000001</v>
      </c>
      <c r="L580">
        <v>0.87</v>
      </c>
      <c r="M580">
        <v>0.29849999999999999</v>
      </c>
      <c r="N580">
        <v>3</v>
      </c>
      <c r="O580">
        <v>55</v>
      </c>
      <c r="P580">
        <v>58</v>
      </c>
    </row>
    <row r="581" spans="1:16" x14ac:dyDescent="0.2">
      <c r="A581">
        <v>580</v>
      </c>
      <c r="B581" s="3">
        <v>40569</v>
      </c>
      <c r="C581">
        <v>1</v>
      </c>
      <c r="D581">
        <v>2011</v>
      </c>
      <c r="E581" t="s">
        <v>10</v>
      </c>
      <c r="F581">
        <v>10</v>
      </c>
      <c r="G581" t="b">
        <v>0</v>
      </c>
      <c r="H581" t="s">
        <v>15</v>
      </c>
      <c r="I581">
        <v>3</v>
      </c>
      <c r="J581">
        <v>0.22</v>
      </c>
      <c r="K581">
        <v>0.21210000000000001</v>
      </c>
      <c r="L581">
        <v>0.93</v>
      </c>
      <c r="M581">
        <v>0.28360000000000002</v>
      </c>
      <c r="N581">
        <v>2</v>
      </c>
      <c r="O581">
        <v>26</v>
      </c>
      <c r="P581">
        <v>28</v>
      </c>
    </row>
    <row r="582" spans="1:16" x14ac:dyDescent="0.2">
      <c r="A582">
        <v>581</v>
      </c>
      <c r="B582" s="3">
        <v>40569</v>
      </c>
      <c r="C582">
        <v>1</v>
      </c>
      <c r="D582">
        <v>2011</v>
      </c>
      <c r="E582" t="s">
        <v>10</v>
      </c>
      <c r="F582">
        <v>11</v>
      </c>
      <c r="G582" t="b">
        <v>0</v>
      </c>
      <c r="H582" t="s">
        <v>15</v>
      </c>
      <c r="I582">
        <v>3</v>
      </c>
      <c r="J582">
        <v>0.22</v>
      </c>
      <c r="K582">
        <v>0.19700000000000001</v>
      </c>
      <c r="L582">
        <v>0.93</v>
      </c>
      <c r="M582">
        <v>0.32840000000000003</v>
      </c>
      <c r="N582">
        <v>6</v>
      </c>
      <c r="O582">
        <v>35</v>
      </c>
      <c r="P582">
        <v>41</v>
      </c>
    </row>
    <row r="583" spans="1:16" x14ac:dyDescent="0.2">
      <c r="A583">
        <v>582</v>
      </c>
      <c r="B583" s="3">
        <v>40569</v>
      </c>
      <c r="C583">
        <v>1</v>
      </c>
      <c r="D583">
        <v>2011</v>
      </c>
      <c r="E583" t="s">
        <v>10</v>
      </c>
      <c r="F583">
        <v>12</v>
      </c>
      <c r="G583" t="b">
        <v>0</v>
      </c>
      <c r="H583" t="s">
        <v>15</v>
      </c>
      <c r="I583">
        <v>3</v>
      </c>
      <c r="J583">
        <v>0.22</v>
      </c>
      <c r="K583">
        <v>0.19700000000000001</v>
      </c>
      <c r="L583">
        <v>0.93</v>
      </c>
      <c r="M583">
        <v>0.32840000000000003</v>
      </c>
      <c r="N583">
        <v>7</v>
      </c>
      <c r="O583">
        <v>41</v>
      </c>
      <c r="P583">
        <v>48</v>
      </c>
    </row>
    <row r="584" spans="1:16" x14ac:dyDescent="0.2">
      <c r="A584">
        <v>583</v>
      </c>
      <c r="B584" s="3">
        <v>40569</v>
      </c>
      <c r="C584">
        <v>1</v>
      </c>
      <c r="D584">
        <v>2011</v>
      </c>
      <c r="E584" t="s">
        <v>10</v>
      </c>
      <c r="F584">
        <v>13</v>
      </c>
      <c r="G584" t="b">
        <v>0</v>
      </c>
      <c r="H584" t="s">
        <v>15</v>
      </c>
      <c r="I584">
        <v>3</v>
      </c>
      <c r="J584">
        <v>0.22</v>
      </c>
      <c r="K584">
        <v>0.19700000000000001</v>
      </c>
      <c r="L584">
        <v>0.93</v>
      </c>
      <c r="M584">
        <v>0.32840000000000003</v>
      </c>
      <c r="N584">
        <v>4</v>
      </c>
      <c r="O584">
        <v>43</v>
      </c>
      <c r="P584">
        <v>47</v>
      </c>
    </row>
    <row r="585" spans="1:16" x14ac:dyDescent="0.2">
      <c r="A585">
        <v>584</v>
      </c>
      <c r="B585" s="3">
        <v>40569</v>
      </c>
      <c r="C585">
        <v>1</v>
      </c>
      <c r="D585">
        <v>2011</v>
      </c>
      <c r="E585" t="s">
        <v>10</v>
      </c>
      <c r="F585">
        <v>14</v>
      </c>
      <c r="G585" t="b">
        <v>0</v>
      </c>
      <c r="H585" t="s">
        <v>15</v>
      </c>
      <c r="I585">
        <v>3</v>
      </c>
      <c r="J585">
        <v>0.22</v>
      </c>
      <c r="K585">
        <v>0.19700000000000001</v>
      </c>
      <c r="L585">
        <v>0.93</v>
      </c>
      <c r="M585">
        <v>0.35820000000000002</v>
      </c>
      <c r="N585">
        <v>0</v>
      </c>
      <c r="O585">
        <v>36</v>
      </c>
      <c r="P585">
        <v>36</v>
      </c>
    </row>
    <row r="586" spans="1:16" x14ac:dyDescent="0.2">
      <c r="A586">
        <v>585</v>
      </c>
      <c r="B586" s="3">
        <v>40569</v>
      </c>
      <c r="C586">
        <v>1</v>
      </c>
      <c r="D586">
        <v>2011</v>
      </c>
      <c r="E586" t="s">
        <v>10</v>
      </c>
      <c r="F586">
        <v>15</v>
      </c>
      <c r="G586" t="b">
        <v>0</v>
      </c>
      <c r="H586" t="s">
        <v>15</v>
      </c>
      <c r="I586">
        <v>3</v>
      </c>
      <c r="J586">
        <v>0.22</v>
      </c>
      <c r="K586">
        <v>0.18179999999999999</v>
      </c>
      <c r="L586">
        <v>0.93</v>
      </c>
      <c r="M586">
        <v>0.4627</v>
      </c>
      <c r="N586">
        <v>1</v>
      </c>
      <c r="O586">
        <v>42</v>
      </c>
      <c r="P586">
        <v>43</v>
      </c>
    </row>
    <row r="587" spans="1:16" x14ac:dyDescent="0.2">
      <c r="A587">
        <v>586</v>
      </c>
      <c r="B587" s="3">
        <v>40569</v>
      </c>
      <c r="C587">
        <v>1</v>
      </c>
      <c r="D587">
        <v>2011</v>
      </c>
      <c r="E587" t="s">
        <v>10</v>
      </c>
      <c r="F587">
        <v>16</v>
      </c>
      <c r="G587" t="b">
        <v>0</v>
      </c>
      <c r="H587" t="s">
        <v>15</v>
      </c>
      <c r="I587">
        <v>4</v>
      </c>
      <c r="J587">
        <v>0.22</v>
      </c>
      <c r="K587">
        <v>0.19700000000000001</v>
      </c>
      <c r="L587">
        <v>0.93</v>
      </c>
      <c r="M587">
        <v>0.32840000000000003</v>
      </c>
      <c r="N587">
        <v>1</v>
      </c>
      <c r="O587">
        <v>35</v>
      </c>
      <c r="P587">
        <v>36</v>
      </c>
    </row>
    <row r="588" spans="1:16" x14ac:dyDescent="0.2">
      <c r="A588">
        <v>587</v>
      </c>
      <c r="B588" s="3">
        <v>40569</v>
      </c>
      <c r="C588">
        <v>1</v>
      </c>
      <c r="D588">
        <v>2011</v>
      </c>
      <c r="E588" t="s">
        <v>10</v>
      </c>
      <c r="F588">
        <v>17</v>
      </c>
      <c r="G588" t="b">
        <v>0</v>
      </c>
      <c r="H588" t="s">
        <v>15</v>
      </c>
      <c r="I588">
        <v>3</v>
      </c>
      <c r="J588">
        <v>0.2</v>
      </c>
      <c r="K588">
        <v>0.18179999999999999</v>
      </c>
      <c r="L588">
        <v>0.93</v>
      </c>
      <c r="M588">
        <v>0.35820000000000002</v>
      </c>
      <c r="N588">
        <v>0</v>
      </c>
      <c r="O588">
        <v>26</v>
      </c>
      <c r="P588">
        <v>26</v>
      </c>
    </row>
    <row r="589" spans="1:16" x14ac:dyDescent="0.2">
      <c r="A589">
        <v>588</v>
      </c>
      <c r="B589" s="3">
        <v>40570</v>
      </c>
      <c r="C589">
        <v>1</v>
      </c>
      <c r="D589">
        <v>2011</v>
      </c>
      <c r="E589" t="s">
        <v>10</v>
      </c>
      <c r="F589">
        <v>16</v>
      </c>
      <c r="G589" t="b">
        <v>0</v>
      </c>
      <c r="H589" t="s">
        <v>16</v>
      </c>
      <c r="I589">
        <v>1</v>
      </c>
      <c r="J589">
        <v>0.22</v>
      </c>
      <c r="K589">
        <v>0.2273</v>
      </c>
      <c r="L589">
        <v>0.55000000000000004</v>
      </c>
      <c r="M589">
        <v>0.19400000000000001</v>
      </c>
      <c r="N589">
        <v>1</v>
      </c>
      <c r="O589">
        <v>23</v>
      </c>
      <c r="P589">
        <v>24</v>
      </c>
    </row>
    <row r="590" spans="1:16" x14ac:dyDescent="0.2">
      <c r="A590">
        <v>589</v>
      </c>
      <c r="B590" s="3">
        <v>40570</v>
      </c>
      <c r="C590">
        <v>1</v>
      </c>
      <c r="D590">
        <v>2011</v>
      </c>
      <c r="E590" t="s">
        <v>10</v>
      </c>
      <c r="F590">
        <v>17</v>
      </c>
      <c r="G590" t="b">
        <v>0</v>
      </c>
      <c r="H590" t="s">
        <v>16</v>
      </c>
      <c r="I590">
        <v>1</v>
      </c>
      <c r="J590">
        <v>0.22</v>
      </c>
      <c r="K590">
        <v>0.2424</v>
      </c>
      <c r="L590">
        <v>0.55000000000000004</v>
      </c>
      <c r="M590">
        <v>0.1045</v>
      </c>
      <c r="N590">
        <v>2</v>
      </c>
      <c r="O590">
        <v>82</v>
      </c>
      <c r="P590">
        <v>84</v>
      </c>
    </row>
    <row r="591" spans="1:16" x14ac:dyDescent="0.2">
      <c r="A591">
        <v>590</v>
      </c>
      <c r="B591" s="3">
        <v>40570</v>
      </c>
      <c r="C591">
        <v>1</v>
      </c>
      <c r="D591">
        <v>2011</v>
      </c>
      <c r="E591" t="s">
        <v>10</v>
      </c>
      <c r="F591">
        <v>18</v>
      </c>
      <c r="G591" t="b">
        <v>0</v>
      </c>
      <c r="H591" t="s">
        <v>16</v>
      </c>
      <c r="I591">
        <v>1</v>
      </c>
      <c r="J591">
        <v>0.2</v>
      </c>
      <c r="K591">
        <v>0.2273</v>
      </c>
      <c r="L591">
        <v>0.69</v>
      </c>
      <c r="M591">
        <v>8.9599999999999999E-2</v>
      </c>
      <c r="N591">
        <v>3</v>
      </c>
      <c r="O591">
        <v>101</v>
      </c>
      <c r="P591">
        <v>104</v>
      </c>
    </row>
    <row r="592" spans="1:16" x14ac:dyDescent="0.2">
      <c r="A592">
        <v>591</v>
      </c>
      <c r="B592" s="3">
        <v>40570</v>
      </c>
      <c r="C592">
        <v>1</v>
      </c>
      <c r="D592">
        <v>2011</v>
      </c>
      <c r="E592" t="s">
        <v>10</v>
      </c>
      <c r="F592">
        <v>19</v>
      </c>
      <c r="G592" t="b">
        <v>0</v>
      </c>
      <c r="H592" t="s">
        <v>16</v>
      </c>
      <c r="I592">
        <v>1</v>
      </c>
      <c r="J592">
        <v>0.2</v>
      </c>
      <c r="K592">
        <v>0.2273</v>
      </c>
      <c r="L592">
        <v>0.69</v>
      </c>
      <c r="M592">
        <v>8.9599999999999999E-2</v>
      </c>
      <c r="N592">
        <v>3</v>
      </c>
      <c r="O592">
        <v>76</v>
      </c>
      <c r="P592">
        <v>79</v>
      </c>
    </row>
    <row r="593" spans="1:16" x14ac:dyDescent="0.2">
      <c r="A593">
        <v>592</v>
      </c>
      <c r="B593" s="3">
        <v>40570</v>
      </c>
      <c r="C593">
        <v>1</v>
      </c>
      <c r="D593">
        <v>2011</v>
      </c>
      <c r="E593" t="s">
        <v>10</v>
      </c>
      <c r="F593">
        <v>20</v>
      </c>
      <c r="G593" t="b">
        <v>0</v>
      </c>
      <c r="H593" t="s">
        <v>16</v>
      </c>
      <c r="I593">
        <v>1</v>
      </c>
      <c r="J593">
        <v>0.18</v>
      </c>
      <c r="K593">
        <v>0.21210000000000001</v>
      </c>
      <c r="L593">
        <v>0.74</v>
      </c>
      <c r="M593">
        <v>8.9599999999999999E-2</v>
      </c>
      <c r="N593">
        <v>4</v>
      </c>
      <c r="O593">
        <v>55</v>
      </c>
      <c r="P593">
        <v>59</v>
      </c>
    </row>
    <row r="594" spans="1:16" x14ac:dyDescent="0.2">
      <c r="A594">
        <v>593</v>
      </c>
      <c r="B594" s="3">
        <v>40570</v>
      </c>
      <c r="C594">
        <v>1</v>
      </c>
      <c r="D594">
        <v>2011</v>
      </c>
      <c r="E594" t="s">
        <v>10</v>
      </c>
      <c r="F594">
        <v>21</v>
      </c>
      <c r="G594" t="b">
        <v>0</v>
      </c>
      <c r="H594" t="s">
        <v>16</v>
      </c>
      <c r="I594">
        <v>1</v>
      </c>
      <c r="J594">
        <v>0.18</v>
      </c>
      <c r="K594">
        <v>0.21210000000000001</v>
      </c>
      <c r="L594">
        <v>0.74</v>
      </c>
      <c r="M594">
        <v>8.9599999999999999E-2</v>
      </c>
      <c r="N594">
        <v>2</v>
      </c>
      <c r="O594">
        <v>36</v>
      </c>
      <c r="P594">
        <v>38</v>
      </c>
    </row>
    <row r="595" spans="1:16" x14ac:dyDescent="0.2">
      <c r="A595">
        <v>594</v>
      </c>
      <c r="B595" s="3">
        <v>40570</v>
      </c>
      <c r="C595">
        <v>1</v>
      </c>
      <c r="D595">
        <v>2011</v>
      </c>
      <c r="E595" t="s">
        <v>10</v>
      </c>
      <c r="F595">
        <v>22</v>
      </c>
      <c r="G595" t="b">
        <v>0</v>
      </c>
      <c r="H595" t="s">
        <v>16</v>
      </c>
      <c r="I595">
        <v>1</v>
      </c>
      <c r="J595">
        <v>0.18</v>
      </c>
      <c r="K595">
        <v>0.21210000000000001</v>
      </c>
      <c r="L595">
        <v>0.74</v>
      </c>
      <c r="M595">
        <v>8.9599999999999999E-2</v>
      </c>
      <c r="N595">
        <v>0</v>
      </c>
      <c r="O595">
        <v>27</v>
      </c>
      <c r="P595">
        <v>27</v>
      </c>
    </row>
    <row r="596" spans="1:16" x14ac:dyDescent="0.2">
      <c r="A596">
        <v>595</v>
      </c>
      <c r="B596" s="3">
        <v>40570</v>
      </c>
      <c r="C596">
        <v>1</v>
      </c>
      <c r="D596">
        <v>2011</v>
      </c>
      <c r="E596" t="s">
        <v>10</v>
      </c>
      <c r="F596">
        <v>23</v>
      </c>
      <c r="G596" t="b">
        <v>0</v>
      </c>
      <c r="H596" t="s">
        <v>16</v>
      </c>
      <c r="I596">
        <v>1</v>
      </c>
      <c r="J596">
        <v>0.18</v>
      </c>
      <c r="K596">
        <v>0.19700000000000001</v>
      </c>
      <c r="L596">
        <v>0.8</v>
      </c>
      <c r="M596">
        <v>0.16420000000000001</v>
      </c>
      <c r="N596">
        <v>0</v>
      </c>
      <c r="O596">
        <v>16</v>
      </c>
      <c r="P596">
        <v>16</v>
      </c>
    </row>
    <row r="597" spans="1:16" x14ac:dyDescent="0.2">
      <c r="A597">
        <v>596</v>
      </c>
      <c r="B597" s="3">
        <v>40571</v>
      </c>
      <c r="C597">
        <v>1</v>
      </c>
      <c r="D597">
        <v>2011</v>
      </c>
      <c r="E597" t="s">
        <v>10</v>
      </c>
      <c r="F597">
        <v>0</v>
      </c>
      <c r="G597" t="b">
        <v>0</v>
      </c>
      <c r="H597" t="s">
        <v>17</v>
      </c>
      <c r="I597">
        <v>2</v>
      </c>
      <c r="J597">
        <v>0.2</v>
      </c>
      <c r="K597">
        <v>0.21210000000000001</v>
      </c>
      <c r="L597">
        <v>0.75</v>
      </c>
      <c r="M597">
        <v>0.1343</v>
      </c>
      <c r="N597">
        <v>0</v>
      </c>
      <c r="O597">
        <v>9</v>
      </c>
      <c r="P597">
        <v>9</v>
      </c>
    </row>
    <row r="598" spans="1:16" x14ac:dyDescent="0.2">
      <c r="A598">
        <v>597</v>
      </c>
      <c r="B598" s="3">
        <v>40571</v>
      </c>
      <c r="C598">
        <v>1</v>
      </c>
      <c r="D598">
        <v>2011</v>
      </c>
      <c r="E598" t="s">
        <v>10</v>
      </c>
      <c r="F598">
        <v>1</v>
      </c>
      <c r="G598" t="b">
        <v>0</v>
      </c>
      <c r="H598" t="s">
        <v>17</v>
      </c>
      <c r="I598">
        <v>2</v>
      </c>
      <c r="J598">
        <v>0.2</v>
      </c>
      <c r="K598">
        <v>0.21210000000000001</v>
      </c>
      <c r="L598">
        <v>0.75</v>
      </c>
      <c r="M598">
        <v>0.1343</v>
      </c>
      <c r="N598">
        <v>1</v>
      </c>
      <c r="O598">
        <v>2</v>
      </c>
      <c r="P598">
        <v>3</v>
      </c>
    </row>
    <row r="599" spans="1:16" x14ac:dyDescent="0.2">
      <c r="A599">
        <v>598</v>
      </c>
      <c r="B599" s="3">
        <v>40571</v>
      </c>
      <c r="C599">
        <v>1</v>
      </c>
      <c r="D599">
        <v>2011</v>
      </c>
      <c r="E599" t="s">
        <v>10</v>
      </c>
      <c r="F599">
        <v>2</v>
      </c>
      <c r="G599" t="b">
        <v>0</v>
      </c>
      <c r="H599" t="s">
        <v>17</v>
      </c>
      <c r="I599">
        <v>2</v>
      </c>
      <c r="J599">
        <v>0.2</v>
      </c>
      <c r="K599">
        <v>0.21210000000000001</v>
      </c>
      <c r="L599">
        <v>0.75</v>
      </c>
      <c r="M599">
        <v>0.16420000000000001</v>
      </c>
      <c r="N599">
        <v>0</v>
      </c>
      <c r="O599">
        <v>2</v>
      </c>
      <c r="P599">
        <v>2</v>
      </c>
    </row>
    <row r="600" spans="1:16" x14ac:dyDescent="0.2">
      <c r="A600">
        <v>599</v>
      </c>
      <c r="B600" s="3">
        <v>40571</v>
      </c>
      <c r="C600">
        <v>1</v>
      </c>
      <c r="D600">
        <v>2011</v>
      </c>
      <c r="E600" t="s">
        <v>10</v>
      </c>
      <c r="F600">
        <v>3</v>
      </c>
      <c r="G600" t="b">
        <v>0</v>
      </c>
      <c r="H600" t="s">
        <v>17</v>
      </c>
      <c r="I600">
        <v>2</v>
      </c>
      <c r="J600">
        <v>0.2</v>
      </c>
      <c r="K600">
        <v>0.2273</v>
      </c>
      <c r="L600">
        <v>0.75</v>
      </c>
      <c r="M600">
        <v>0.1045</v>
      </c>
      <c r="N600">
        <v>1</v>
      </c>
      <c r="O600">
        <v>0</v>
      </c>
      <c r="P600">
        <v>1</v>
      </c>
    </row>
    <row r="601" spans="1:16" x14ac:dyDescent="0.2">
      <c r="A601">
        <v>600</v>
      </c>
      <c r="B601" s="3">
        <v>40571</v>
      </c>
      <c r="C601">
        <v>1</v>
      </c>
      <c r="D601">
        <v>2011</v>
      </c>
      <c r="E601" t="s">
        <v>10</v>
      </c>
      <c r="F601">
        <v>5</v>
      </c>
      <c r="G601" t="b">
        <v>0</v>
      </c>
      <c r="H601" t="s">
        <v>17</v>
      </c>
      <c r="I601">
        <v>2</v>
      </c>
      <c r="J601">
        <v>0.18</v>
      </c>
      <c r="K601">
        <v>0.21210000000000001</v>
      </c>
      <c r="L601">
        <v>0.8</v>
      </c>
      <c r="M601">
        <v>0.1045</v>
      </c>
      <c r="N601">
        <v>0</v>
      </c>
      <c r="O601">
        <v>4</v>
      </c>
      <c r="P601">
        <v>4</v>
      </c>
    </row>
    <row r="602" spans="1:16" x14ac:dyDescent="0.2">
      <c r="A602">
        <v>601</v>
      </c>
      <c r="B602" s="3">
        <v>40571</v>
      </c>
      <c r="C602">
        <v>1</v>
      </c>
      <c r="D602">
        <v>2011</v>
      </c>
      <c r="E602" t="s">
        <v>10</v>
      </c>
      <c r="F602">
        <v>6</v>
      </c>
      <c r="G602" t="b">
        <v>0</v>
      </c>
      <c r="H602" t="s">
        <v>17</v>
      </c>
      <c r="I602">
        <v>2</v>
      </c>
      <c r="J602">
        <v>0.18</v>
      </c>
      <c r="K602">
        <v>0.19700000000000001</v>
      </c>
      <c r="L602">
        <v>0.8</v>
      </c>
      <c r="M602">
        <v>0.1343</v>
      </c>
      <c r="N602">
        <v>0</v>
      </c>
      <c r="O602">
        <v>16</v>
      </c>
      <c r="P602">
        <v>16</v>
      </c>
    </row>
    <row r="603" spans="1:16" x14ac:dyDescent="0.2">
      <c r="A603">
        <v>602</v>
      </c>
      <c r="B603" s="3">
        <v>40571</v>
      </c>
      <c r="C603">
        <v>1</v>
      </c>
      <c r="D603">
        <v>2011</v>
      </c>
      <c r="E603" t="s">
        <v>10</v>
      </c>
      <c r="F603">
        <v>7</v>
      </c>
      <c r="G603" t="b">
        <v>0</v>
      </c>
      <c r="H603" t="s">
        <v>17</v>
      </c>
      <c r="I603">
        <v>2</v>
      </c>
      <c r="J603">
        <v>0.16</v>
      </c>
      <c r="K603">
        <v>0.19700000000000001</v>
      </c>
      <c r="L603">
        <v>0.86</v>
      </c>
      <c r="M603">
        <v>8.9599999999999999E-2</v>
      </c>
      <c r="N603">
        <v>2</v>
      </c>
      <c r="O603">
        <v>58</v>
      </c>
      <c r="P603">
        <v>60</v>
      </c>
    </row>
    <row r="604" spans="1:16" x14ac:dyDescent="0.2">
      <c r="A604">
        <v>603</v>
      </c>
      <c r="B604" s="3">
        <v>40571</v>
      </c>
      <c r="C604">
        <v>1</v>
      </c>
      <c r="D604">
        <v>2011</v>
      </c>
      <c r="E604" t="s">
        <v>10</v>
      </c>
      <c r="F604">
        <v>8</v>
      </c>
      <c r="G604" t="b">
        <v>0</v>
      </c>
      <c r="H604" t="s">
        <v>17</v>
      </c>
      <c r="I604">
        <v>2</v>
      </c>
      <c r="J604">
        <v>0.16</v>
      </c>
      <c r="K604">
        <v>0.19700000000000001</v>
      </c>
      <c r="L604">
        <v>0.86</v>
      </c>
      <c r="M604">
        <v>8.9599999999999999E-2</v>
      </c>
      <c r="N604">
        <v>2</v>
      </c>
      <c r="O604">
        <v>155</v>
      </c>
      <c r="P604">
        <v>157</v>
      </c>
    </row>
    <row r="605" spans="1:16" x14ac:dyDescent="0.2">
      <c r="A605">
        <v>604</v>
      </c>
      <c r="B605" s="3">
        <v>40571</v>
      </c>
      <c r="C605">
        <v>1</v>
      </c>
      <c r="D605">
        <v>2011</v>
      </c>
      <c r="E605" t="s">
        <v>10</v>
      </c>
      <c r="F605">
        <v>9</v>
      </c>
      <c r="G605" t="b">
        <v>0</v>
      </c>
      <c r="H605" t="s">
        <v>17</v>
      </c>
      <c r="I605">
        <v>3</v>
      </c>
      <c r="J605">
        <v>0.18</v>
      </c>
      <c r="K605">
        <v>0.21210000000000001</v>
      </c>
      <c r="L605">
        <v>0.86</v>
      </c>
      <c r="M605">
        <v>8.9599999999999999E-2</v>
      </c>
      <c r="N605">
        <v>6</v>
      </c>
      <c r="O605">
        <v>95</v>
      </c>
      <c r="P605">
        <v>101</v>
      </c>
    </row>
    <row r="606" spans="1:16" x14ac:dyDescent="0.2">
      <c r="A606">
        <v>605</v>
      </c>
      <c r="B606" s="3">
        <v>40571</v>
      </c>
      <c r="C606">
        <v>1</v>
      </c>
      <c r="D606">
        <v>2011</v>
      </c>
      <c r="E606" t="s">
        <v>10</v>
      </c>
      <c r="F606">
        <v>10</v>
      </c>
      <c r="G606" t="b">
        <v>0</v>
      </c>
      <c r="H606" t="s">
        <v>17</v>
      </c>
      <c r="I606">
        <v>3</v>
      </c>
      <c r="J606">
        <v>0.18</v>
      </c>
      <c r="K606">
        <v>0.21210000000000001</v>
      </c>
      <c r="L606">
        <v>0.86</v>
      </c>
      <c r="M606">
        <v>0.1045</v>
      </c>
      <c r="N606">
        <v>0</v>
      </c>
      <c r="O606">
        <v>49</v>
      </c>
      <c r="P606">
        <v>49</v>
      </c>
    </row>
    <row r="607" spans="1:16" x14ac:dyDescent="0.2">
      <c r="A607">
        <v>606</v>
      </c>
      <c r="B607" s="3">
        <v>40571</v>
      </c>
      <c r="C607">
        <v>1</v>
      </c>
      <c r="D607">
        <v>2011</v>
      </c>
      <c r="E607" t="s">
        <v>10</v>
      </c>
      <c r="F607">
        <v>11</v>
      </c>
      <c r="G607" t="b">
        <v>0</v>
      </c>
      <c r="H607" t="s">
        <v>17</v>
      </c>
      <c r="I607">
        <v>3</v>
      </c>
      <c r="J607">
        <v>0.18</v>
      </c>
      <c r="K607">
        <v>0.21210000000000001</v>
      </c>
      <c r="L607">
        <v>0.93</v>
      </c>
      <c r="M607">
        <v>0.1045</v>
      </c>
      <c r="N607">
        <v>0</v>
      </c>
      <c r="O607">
        <v>30</v>
      </c>
      <c r="P607">
        <v>30</v>
      </c>
    </row>
    <row r="608" spans="1:16" x14ac:dyDescent="0.2">
      <c r="A608">
        <v>607</v>
      </c>
      <c r="B608" s="3">
        <v>40571</v>
      </c>
      <c r="C608">
        <v>1</v>
      </c>
      <c r="D608">
        <v>2011</v>
      </c>
      <c r="E608" t="s">
        <v>10</v>
      </c>
      <c r="F608">
        <v>12</v>
      </c>
      <c r="G608" t="b">
        <v>0</v>
      </c>
      <c r="H608" t="s">
        <v>17</v>
      </c>
      <c r="I608">
        <v>3</v>
      </c>
      <c r="J608">
        <v>0.18</v>
      </c>
      <c r="K608">
        <v>0.21210000000000001</v>
      </c>
      <c r="L608">
        <v>0.93</v>
      </c>
      <c r="M608">
        <v>0.1045</v>
      </c>
      <c r="N608">
        <v>1</v>
      </c>
      <c r="O608">
        <v>28</v>
      </c>
      <c r="P608">
        <v>29</v>
      </c>
    </row>
    <row r="609" spans="1:16" x14ac:dyDescent="0.2">
      <c r="A609">
        <v>608</v>
      </c>
      <c r="B609" s="3">
        <v>40571</v>
      </c>
      <c r="C609">
        <v>1</v>
      </c>
      <c r="D609">
        <v>2011</v>
      </c>
      <c r="E609" t="s">
        <v>10</v>
      </c>
      <c r="F609">
        <v>13</v>
      </c>
      <c r="G609" t="b">
        <v>0</v>
      </c>
      <c r="H609" t="s">
        <v>17</v>
      </c>
      <c r="I609">
        <v>3</v>
      </c>
      <c r="J609">
        <v>0.18</v>
      </c>
      <c r="K609">
        <v>0.21210000000000001</v>
      </c>
      <c r="L609">
        <v>0.93</v>
      </c>
      <c r="M609">
        <v>0.1045</v>
      </c>
      <c r="N609">
        <v>0</v>
      </c>
      <c r="O609">
        <v>31</v>
      </c>
      <c r="P609">
        <v>31</v>
      </c>
    </row>
    <row r="610" spans="1:16" x14ac:dyDescent="0.2">
      <c r="A610">
        <v>609</v>
      </c>
      <c r="B610" s="3">
        <v>40571</v>
      </c>
      <c r="C610">
        <v>1</v>
      </c>
      <c r="D610">
        <v>2011</v>
      </c>
      <c r="E610" t="s">
        <v>10</v>
      </c>
      <c r="F610">
        <v>14</v>
      </c>
      <c r="G610" t="b">
        <v>0</v>
      </c>
      <c r="H610" t="s">
        <v>17</v>
      </c>
      <c r="I610">
        <v>3</v>
      </c>
      <c r="J610">
        <v>0.22</v>
      </c>
      <c r="K610">
        <v>0.2727</v>
      </c>
      <c r="L610">
        <v>0.8</v>
      </c>
      <c r="M610">
        <v>0</v>
      </c>
      <c r="N610">
        <v>2</v>
      </c>
      <c r="O610">
        <v>36</v>
      </c>
      <c r="P610">
        <v>38</v>
      </c>
    </row>
    <row r="611" spans="1:16" x14ac:dyDescent="0.2">
      <c r="A611">
        <v>610</v>
      </c>
      <c r="B611" s="3">
        <v>40571</v>
      </c>
      <c r="C611">
        <v>1</v>
      </c>
      <c r="D611">
        <v>2011</v>
      </c>
      <c r="E611" t="s">
        <v>10</v>
      </c>
      <c r="F611">
        <v>15</v>
      </c>
      <c r="G611" t="b">
        <v>0</v>
      </c>
      <c r="H611" t="s">
        <v>17</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59E79-FE1D-48BD-9277-60A6D634E802}">
  <dimension ref="A1:G611"/>
  <sheetViews>
    <sheetView workbookViewId="0">
      <selection activeCell="I16" sqref="I16"/>
    </sheetView>
  </sheetViews>
  <sheetFormatPr defaultRowHeight="12.75" x14ac:dyDescent="0.2"/>
  <cols>
    <col min="1" max="1" width="9.28515625" bestFit="1" customWidth="1"/>
    <col min="2" max="2" width="10.7109375" bestFit="1" customWidth="1"/>
    <col min="3" max="3" width="11.28515625" bestFit="1" customWidth="1"/>
    <col min="4" max="4" width="14.42578125" bestFit="1" customWidth="1"/>
    <col min="5" max="5" width="9.42578125" bestFit="1" customWidth="1"/>
    <col min="6" max="6" width="13" bestFit="1" customWidth="1"/>
    <col min="7" max="7" width="14.140625" bestFit="1" customWidth="1"/>
    <col min="8" max="9" width="11.28515625" bestFit="1" customWidth="1"/>
    <col min="10" max="17" width="12.28515625" bestFit="1" customWidth="1"/>
  </cols>
  <sheetData>
    <row r="1" spans="1:7" x14ac:dyDescent="0.2">
      <c r="A1" t="s">
        <v>8</v>
      </c>
      <c r="B1" t="s">
        <v>18</v>
      </c>
      <c r="C1" t="s">
        <v>19</v>
      </c>
      <c r="D1" t="s">
        <v>20</v>
      </c>
      <c r="E1" t="s">
        <v>21</v>
      </c>
      <c r="F1" t="s">
        <v>22</v>
      </c>
      <c r="G1" t="s">
        <v>23</v>
      </c>
    </row>
    <row r="2" spans="1:7" x14ac:dyDescent="0.2">
      <c r="A2">
        <v>1</v>
      </c>
      <c r="B2">
        <v>0.28789999999999999</v>
      </c>
      <c r="C2">
        <v>0.81</v>
      </c>
      <c r="D2">
        <v>0</v>
      </c>
      <c r="E2">
        <v>3</v>
      </c>
      <c r="F2">
        <v>13</v>
      </c>
      <c r="G2">
        <v>16</v>
      </c>
    </row>
    <row r="3" spans="1:7" x14ac:dyDescent="0.2">
      <c r="A3">
        <v>2</v>
      </c>
      <c r="B3">
        <v>0.2727</v>
      </c>
      <c r="C3">
        <v>0.8</v>
      </c>
      <c r="D3">
        <v>0</v>
      </c>
      <c r="E3">
        <v>8</v>
      </c>
      <c r="F3">
        <v>32</v>
      </c>
      <c r="G3">
        <v>40</v>
      </c>
    </row>
    <row r="4" spans="1:7" x14ac:dyDescent="0.2">
      <c r="A4">
        <v>3</v>
      </c>
      <c r="B4">
        <v>0.2727</v>
      </c>
      <c r="C4">
        <v>0.8</v>
      </c>
      <c r="D4">
        <v>0</v>
      </c>
      <c r="E4">
        <v>5</v>
      </c>
      <c r="F4">
        <v>27</v>
      </c>
      <c r="G4">
        <v>32</v>
      </c>
    </row>
    <row r="5" spans="1:7" x14ac:dyDescent="0.2">
      <c r="A5">
        <v>4</v>
      </c>
      <c r="B5">
        <v>0.28789999999999999</v>
      </c>
      <c r="C5">
        <v>0.75</v>
      </c>
      <c r="D5">
        <v>0</v>
      </c>
      <c r="E5">
        <v>3</v>
      </c>
      <c r="F5">
        <v>10</v>
      </c>
      <c r="G5">
        <v>13</v>
      </c>
    </row>
    <row r="6" spans="1:7" x14ac:dyDescent="0.2">
      <c r="A6">
        <v>5</v>
      </c>
      <c r="B6">
        <v>0.28789999999999999</v>
      </c>
      <c r="C6">
        <v>0.75</v>
      </c>
      <c r="D6">
        <v>0</v>
      </c>
      <c r="E6">
        <v>0</v>
      </c>
      <c r="F6">
        <v>1</v>
      </c>
      <c r="G6">
        <v>1</v>
      </c>
    </row>
    <row r="7" spans="1:7" x14ac:dyDescent="0.2">
      <c r="A7">
        <v>6</v>
      </c>
      <c r="B7">
        <v>0.2576</v>
      </c>
      <c r="C7">
        <v>0.75</v>
      </c>
      <c r="D7">
        <v>8.9599999999999999E-2</v>
      </c>
      <c r="E7">
        <v>0</v>
      </c>
      <c r="F7">
        <v>1</v>
      </c>
      <c r="G7">
        <v>1</v>
      </c>
    </row>
    <row r="8" spans="1:7" x14ac:dyDescent="0.2">
      <c r="A8">
        <v>7</v>
      </c>
      <c r="B8">
        <v>0.2727</v>
      </c>
      <c r="C8">
        <v>0.8</v>
      </c>
      <c r="D8">
        <v>0</v>
      </c>
      <c r="E8">
        <v>2</v>
      </c>
      <c r="F8">
        <v>0</v>
      </c>
      <c r="G8">
        <v>2</v>
      </c>
    </row>
    <row r="9" spans="1:7" x14ac:dyDescent="0.2">
      <c r="A9">
        <v>8</v>
      </c>
      <c r="B9">
        <v>0.2576</v>
      </c>
      <c r="C9">
        <v>0.86</v>
      </c>
      <c r="D9">
        <v>0</v>
      </c>
      <c r="E9">
        <v>1</v>
      </c>
      <c r="F9">
        <v>2</v>
      </c>
      <c r="G9">
        <v>3</v>
      </c>
    </row>
    <row r="10" spans="1:7" x14ac:dyDescent="0.2">
      <c r="A10">
        <v>9</v>
      </c>
      <c r="B10">
        <v>0</v>
      </c>
      <c r="C10">
        <v>0.75</v>
      </c>
      <c r="D10">
        <v>0</v>
      </c>
      <c r="E10">
        <v>1</v>
      </c>
      <c r="F10">
        <v>7</v>
      </c>
      <c r="G10">
        <v>8</v>
      </c>
    </row>
    <row r="11" spans="1:7" x14ac:dyDescent="0.2">
      <c r="A11">
        <v>10</v>
      </c>
      <c r="B11">
        <v>0.34849999999999998</v>
      </c>
      <c r="C11">
        <v>0.76</v>
      </c>
      <c r="D11">
        <v>0</v>
      </c>
      <c r="E11">
        <v>8</v>
      </c>
      <c r="F11">
        <v>6</v>
      </c>
      <c r="G11">
        <v>14</v>
      </c>
    </row>
    <row r="12" spans="1:7" x14ac:dyDescent="0.2">
      <c r="A12">
        <v>11</v>
      </c>
      <c r="B12">
        <v>0.39389999999999997</v>
      </c>
      <c r="C12">
        <v>0.76</v>
      </c>
      <c r="D12">
        <v>0.25369999999999998</v>
      </c>
      <c r="E12">
        <v>12</v>
      </c>
      <c r="F12">
        <v>24</v>
      </c>
      <c r="G12">
        <v>36</v>
      </c>
    </row>
    <row r="13" spans="1:7" x14ac:dyDescent="0.2">
      <c r="A13">
        <v>12</v>
      </c>
      <c r="B13">
        <v>0.33329999999999999</v>
      </c>
      <c r="C13">
        <v>0.81</v>
      </c>
      <c r="D13">
        <v>0.28360000000000002</v>
      </c>
      <c r="E13">
        <v>26</v>
      </c>
      <c r="F13">
        <v>30</v>
      </c>
      <c r="G13">
        <v>56</v>
      </c>
    </row>
    <row r="14" spans="1:7" x14ac:dyDescent="0.2">
      <c r="A14">
        <v>13</v>
      </c>
      <c r="B14">
        <v>0.42420000000000002</v>
      </c>
      <c r="C14">
        <v>0.77</v>
      </c>
      <c r="D14">
        <v>0.28360000000000002</v>
      </c>
      <c r="E14">
        <v>29</v>
      </c>
      <c r="F14">
        <v>55</v>
      </c>
      <c r="G14">
        <v>84</v>
      </c>
    </row>
    <row r="15" spans="1:7" x14ac:dyDescent="0.2">
      <c r="A15">
        <v>14</v>
      </c>
      <c r="B15">
        <v>0.45450000000000002</v>
      </c>
      <c r="C15">
        <v>0.72</v>
      </c>
      <c r="D15">
        <v>0.29849999999999999</v>
      </c>
      <c r="E15">
        <v>47</v>
      </c>
      <c r="F15">
        <v>47</v>
      </c>
      <c r="G15">
        <v>94</v>
      </c>
    </row>
    <row r="16" spans="1:7" x14ac:dyDescent="0.2">
      <c r="A16">
        <v>15</v>
      </c>
      <c r="B16">
        <v>0.45450000000000002</v>
      </c>
      <c r="C16">
        <v>0.72</v>
      </c>
      <c r="D16">
        <v>0.28360000000000002</v>
      </c>
      <c r="E16">
        <v>35</v>
      </c>
      <c r="F16">
        <v>71</v>
      </c>
      <c r="G16">
        <v>106</v>
      </c>
    </row>
    <row r="17" spans="1:7" x14ac:dyDescent="0.2">
      <c r="A17">
        <v>16</v>
      </c>
      <c r="B17">
        <v>0.43940000000000001</v>
      </c>
      <c r="C17">
        <v>0.77</v>
      </c>
      <c r="D17">
        <v>0.29849999999999999</v>
      </c>
      <c r="E17">
        <v>40</v>
      </c>
      <c r="F17">
        <v>70</v>
      </c>
      <c r="G17">
        <v>110</v>
      </c>
    </row>
    <row r="18" spans="1:7" x14ac:dyDescent="0.2">
      <c r="A18">
        <v>17</v>
      </c>
      <c r="B18">
        <v>0.42420000000000002</v>
      </c>
      <c r="C18">
        <v>0.82</v>
      </c>
      <c r="D18">
        <v>0.29849999999999999</v>
      </c>
      <c r="E18">
        <v>41</v>
      </c>
      <c r="F18">
        <v>52</v>
      </c>
      <c r="G18">
        <v>93</v>
      </c>
    </row>
    <row r="19" spans="1:7" x14ac:dyDescent="0.2">
      <c r="A19">
        <v>18</v>
      </c>
      <c r="B19">
        <v>0</v>
      </c>
      <c r="C19">
        <v>0.82</v>
      </c>
      <c r="D19">
        <v>0.28360000000000002</v>
      </c>
      <c r="E19">
        <v>15</v>
      </c>
      <c r="F19">
        <v>52</v>
      </c>
      <c r="G19">
        <v>67</v>
      </c>
    </row>
    <row r="20" spans="1:7" x14ac:dyDescent="0.2">
      <c r="A20">
        <v>19</v>
      </c>
      <c r="B20">
        <v>0.42420000000000002</v>
      </c>
      <c r="C20">
        <v>0.88</v>
      </c>
      <c r="D20">
        <v>0.25369999999999998</v>
      </c>
      <c r="E20">
        <v>9</v>
      </c>
      <c r="F20">
        <v>26</v>
      </c>
      <c r="G20">
        <v>35</v>
      </c>
    </row>
    <row r="21" spans="1:7" x14ac:dyDescent="0.2">
      <c r="A21">
        <v>20</v>
      </c>
      <c r="B21">
        <v>0.42420000000000002</v>
      </c>
      <c r="C21">
        <v>0.88</v>
      </c>
      <c r="D21">
        <v>0.25369999999999998</v>
      </c>
      <c r="E21">
        <v>6</v>
      </c>
      <c r="F21">
        <v>31</v>
      </c>
      <c r="G21">
        <v>37</v>
      </c>
    </row>
    <row r="22" spans="1:7" x14ac:dyDescent="0.2">
      <c r="A22">
        <v>21</v>
      </c>
      <c r="B22">
        <v>0.40910000000000002</v>
      </c>
      <c r="C22">
        <v>0.87</v>
      </c>
      <c r="D22">
        <v>0.25369999999999998</v>
      </c>
      <c r="E22">
        <v>11</v>
      </c>
      <c r="F22">
        <v>25</v>
      </c>
      <c r="G22">
        <v>36</v>
      </c>
    </row>
    <row r="23" spans="1:7" x14ac:dyDescent="0.2">
      <c r="A23">
        <v>22</v>
      </c>
      <c r="B23">
        <v>0.40910000000000002</v>
      </c>
      <c r="C23">
        <v>0.87</v>
      </c>
      <c r="D23">
        <v>0.19400000000000001</v>
      </c>
      <c r="E23">
        <v>3</v>
      </c>
      <c r="F23">
        <v>31</v>
      </c>
      <c r="G23">
        <v>34</v>
      </c>
    </row>
    <row r="24" spans="1:7" x14ac:dyDescent="0.2">
      <c r="A24">
        <v>23</v>
      </c>
      <c r="B24">
        <v>0.40910000000000002</v>
      </c>
      <c r="C24">
        <v>0.94</v>
      </c>
      <c r="D24">
        <v>0.22389999999999999</v>
      </c>
      <c r="E24">
        <v>11</v>
      </c>
      <c r="F24">
        <v>17</v>
      </c>
      <c r="G24">
        <v>28</v>
      </c>
    </row>
    <row r="25" spans="1:7" x14ac:dyDescent="0.2">
      <c r="A25">
        <v>24</v>
      </c>
      <c r="B25">
        <v>0</v>
      </c>
      <c r="C25">
        <v>0.88</v>
      </c>
      <c r="D25">
        <v>0.29849999999999999</v>
      </c>
      <c r="E25">
        <v>15</v>
      </c>
      <c r="F25">
        <v>24</v>
      </c>
      <c r="G25">
        <v>39</v>
      </c>
    </row>
    <row r="26" spans="1:7" x14ac:dyDescent="0.2">
      <c r="A26">
        <v>25</v>
      </c>
      <c r="B26">
        <v>0.45450000000000002</v>
      </c>
      <c r="C26">
        <v>0.88</v>
      </c>
      <c r="D26">
        <v>0.29849999999999999</v>
      </c>
      <c r="E26">
        <v>4</v>
      </c>
      <c r="F26">
        <v>13</v>
      </c>
      <c r="G26">
        <v>17</v>
      </c>
    </row>
    <row r="27" spans="1:7" x14ac:dyDescent="0.2">
      <c r="A27">
        <v>26</v>
      </c>
      <c r="B27">
        <v>0.43940000000000001</v>
      </c>
      <c r="C27">
        <v>0.94</v>
      </c>
      <c r="D27">
        <v>0.25369999999999998</v>
      </c>
      <c r="E27">
        <v>1</v>
      </c>
      <c r="F27">
        <v>16</v>
      </c>
      <c r="G27">
        <v>17</v>
      </c>
    </row>
    <row r="28" spans="1:7" x14ac:dyDescent="0.2">
      <c r="A28">
        <v>27</v>
      </c>
      <c r="B28">
        <v>0.42420000000000002</v>
      </c>
      <c r="C28">
        <v>1</v>
      </c>
      <c r="D28">
        <v>0.28360000000000002</v>
      </c>
      <c r="E28">
        <v>1</v>
      </c>
      <c r="F28">
        <v>8</v>
      </c>
      <c r="G28">
        <v>9</v>
      </c>
    </row>
    <row r="29" spans="1:7" x14ac:dyDescent="0.2">
      <c r="A29">
        <v>28</v>
      </c>
      <c r="B29">
        <v>0.45450000000000002</v>
      </c>
      <c r="C29">
        <v>0.94</v>
      </c>
      <c r="D29">
        <v>0.19400000000000001</v>
      </c>
      <c r="E29">
        <v>2</v>
      </c>
      <c r="F29">
        <v>4</v>
      </c>
      <c r="G29">
        <v>6</v>
      </c>
    </row>
    <row r="30" spans="1:7" x14ac:dyDescent="0.2">
      <c r="A30">
        <v>29</v>
      </c>
      <c r="B30">
        <v>0</v>
      </c>
      <c r="C30">
        <v>0.94</v>
      </c>
      <c r="D30">
        <v>0.19400000000000001</v>
      </c>
      <c r="E30">
        <v>2</v>
      </c>
      <c r="F30">
        <v>1</v>
      </c>
      <c r="G30">
        <v>3</v>
      </c>
    </row>
    <row r="31" spans="1:7" x14ac:dyDescent="0.2">
      <c r="A31">
        <v>30</v>
      </c>
      <c r="B31">
        <v>0.42420000000000002</v>
      </c>
      <c r="C31">
        <v>0.77</v>
      </c>
      <c r="D31">
        <v>0.29849999999999999</v>
      </c>
      <c r="E31">
        <v>0</v>
      </c>
      <c r="F31">
        <v>2</v>
      </c>
      <c r="G31">
        <v>2</v>
      </c>
    </row>
    <row r="32" spans="1:7" x14ac:dyDescent="0.2">
      <c r="A32">
        <v>31</v>
      </c>
      <c r="B32">
        <v>0.40910000000000002</v>
      </c>
      <c r="C32">
        <v>0.76</v>
      </c>
      <c r="D32">
        <v>0.19400000000000001</v>
      </c>
      <c r="E32">
        <v>0</v>
      </c>
      <c r="F32">
        <v>1</v>
      </c>
      <c r="G32">
        <v>1</v>
      </c>
    </row>
    <row r="33" spans="1:7" x14ac:dyDescent="0.2">
      <c r="A33">
        <v>32</v>
      </c>
      <c r="B33">
        <v>0.40910000000000002</v>
      </c>
      <c r="C33">
        <v>0.71</v>
      </c>
      <c r="D33">
        <v>0.22389999999999999</v>
      </c>
      <c r="E33">
        <v>0</v>
      </c>
      <c r="F33">
        <v>8</v>
      </c>
      <c r="G33">
        <v>8</v>
      </c>
    </row>
    <row r="34" spans="1:7" x14ac:dyDescent="0.2">
      <c r="A34">
        <v>33</v>
      </c>
      <c r="B34">
        <v>0</v>
      </c>
      <c r="C34">
        <v>0.76</v>
      </c>
      <c r="D34">
        <v>0.22389999999999999</v>
      </c>
      <c r="E34">
        <v>1</v>
      </c>
      <c r="F34">
        <v>19</v>
      </c>
      <c r="G34">
        <v>20</v>
      </c>
    </row>
    <row r="35" spans="1:7" x14ac:dyDescent="0.2">
      <c r="A35">
        <v>34</v>
      </c>
      <c r="B35">
        <v>0.34849999999999998</v>
      </c>
      <c r="C35">
        <v>0.81</v>
      </c>
      <c r="D35">
        <v>0.22389999999999999</v>
      </c>
      <c r="E35">
        <v>7</v>
      </c>
      <c r="F35">
        <v>46</v>
      </c>
      <c r="G35">
        <v>53</v>
      </c>
    </row>
    <row r="36" spans="1:7" x14ac:dyDescent="0.2">
      <c r="A36">
        <v>35</v>
      </c>
      <c r="B36">
        <v>0.33329999999999999</v>
      </c>
      <c r="C36">
        <v>0.71</v>
      </c>
      <c r="D36">
        <v>0.25369999999999998</v>
      </c>
      <c r="E36">
        <v>16</v>
      </c>
      <c r="F36">
        <v>54</v>
      </c>
      <c r="G36">
        <v>70</v>
      </c>
    </row>
    <row r="37" spans="1:7" x14ac:dyDescent="0.2">
      <c r="A37">
        <v>36</v>
      </c>
      <c r="B37">
        <v>0.33329999999999999</v>
      </c>
      <c r="C37">
        <v>0.66</v>
      </c>
      <c r="D37">
        <v>0.29849999999999999</v>
      </c>
      <c r="E37">
        <v>20</v>
      </c>
      <c r="F37">
        <v>73</v>
      </c>
      <c r="G37">
        <v>93</v>
      </c>
    </row>
    <row r="38" spans="1:7" x14ac:dyDescent="0.2">
      <c r="A38">
        <v>37</v>
      </c>
      <c r="B38">
        <v>0.34849999999999998</v>
      </c>
      <c r="C38">
        <v>0.66</v>
      </c>
      <c r="D38">
        <v>0.1343</v>
      </c>
      <c r="E38">
        <v>11</v>
      </c>
      <c r="F38">
        <v>64</v>
      </c>
      <c r="G38">
        <v>75</v>
      </c>
    </row>
    <row r="39" spans="1:7" x14ac:dyDescent="0.2">
      <c r="A39">
        <v>38</v>
      </c>
      <c r="B39">
        <v>0</v>
      </c>
      <c r="C39">
        <v>0.76</v>
      </c>
      <c r="D39">
        <v>0.19400000000000001</v>
      </c>
      <c r="E39">
        <v>4</v>
      </c>
      <c r="F39">
        <v>55</v>
      </c>
      <c r="G39">
        <v>59</v>
      </c>
    </row>
    <row r="40" spans="1:7" x14ac:dyDescent="0.2">
      <c r="A40">
        <v>39</v>
      </c>
      <c r="B40">
        <v>0.33329999999999999</v>
      </c>
      <c r="C40">
        <v>0.81</v>
      </c>
      <c r="D40">
        <v>0.16420000000000001</v>
      </c>
      <c r="E40">
        <v>19</v>
      </c>
      <c r="F40">
        <v>55</v>
      </c>
      <c r="G40">
        <v>74</v>
      </c>
    </row>
    <row r="41" spans="1:7" x14ac:dyDescent="0.2">
      <c r="A41">
        <v>40</v>
      </c>
      <c r="B41">
        <v>0.33329999999999999</v>
      </c>
      <c r="C41">
        <v>0.71</v>
      </c>
      <c r="D41">
        <v>0.16420000000000001</v>
      </c>
      <c r="E41">
        <v>9</v>
      </c>
      <c r="F41">
        <v>67</v>
      </c>
      <c r="G41">
        <v>76</v>
      </c>
    </row>
    <row r="42" spans="1:7" x14ac:dyDescent="0.2">
      <c r="A42">
        <v>41</v>
      </c>
      <c r="B42">
        <v>0.33329999999999999</v>
      </c>
      <c r="C42">
        <v>0.56999999999999995</v>
      </c>
      <c r="D42">
        <v>0.19400000000000001</v>
      </c>
      <c r="E42">
        <v>7</v>
      </c>
      <c r="F42">
        <v>58</v>
      </c>
      <c r="G42">
        <v>65</v>
      </c>
    </row>
    <row r="43" spans="1:7" x14ac:dyDescent="0.2">
      <c r="A43">
        <v>42</v>
      </c>
      <c r="B43">
        <v>0.33329999999999999</v>
      </c>
      <c r="C43">
        <v>0.46</v>
      </c>
      <c r="D43">
        <v>0.32840000000000003</v>
      </c>
      <c r="E43">
        <v>10</v>
      </c>
      <c r="F43">
        <v>43</v>
      </c>
      <c r="G43">
        <v>53</v>
      </c>
    </row>
    <row r="44" spans="1:7" x14ac:dyDescent="0.2">
      <c r="A44">
        <v>43</v>
      </c>
      <c r="B44">
        <v>0.28789999999999999</v>
      </c>
      <c r="C44">
        <v>0.42</v>
      </c>
      <c r="D44">
        <v>0.44779999999999998</v>
      </c>
      <c r="E44">
        <v>1</v>
      </c>
      <c r="F44">
        <v>29</v>
      </c>
      <c r="G44">
        <v>30</v>
      </c>
    </row>
    <row r="45" spans="1:7" x14ac:dyDescent="0.2">
      <c r="A45">
        <v>44</v>
      </c>
      <c r="B45">
        <v>0</v>
      </c>
      <c r="C45">
        <v>0.39</v>
      </c>
      <c r="D45">
        <v>0.35820000000000002</v>
      </c>
      <c r="E45">
        <v>5</v>
      </c>
      <c r="F45">
        <v>17</v>
      </c>
      <c r="G45">
        <v>22</v>
      </c>
    </row>
    <row r="46" spans="1:7" x14ac:dyDescent="0.2">
      <c r="A46">
        <v>45</v>
      </c>
      <c r="B46">
        <v>0.2273</v>
      </c>
      <c r="C46">
        <v>0.44</v>
      </c>
      <c r="D46">
        <v>0.32840000000000003</v>
      </c>
      <c r="E46">
        <v>11</v>
      </c>
      <c r="F46">
        <v>20</v>
      </c>
      <c r="G46">
        <v>31</v>
      </c>
    </row>
    <row r="47" spans="1:7" x14ac:dyDescent="0.2">
      <c r="A47">
        <v>46</v>
      </c>
      <c r="B47">
        <v>0.21210000000000001</v>
      </c>
      <c r="C47">
        <v>0.44</v>
      </c>
      <c r="D47">
        <v>0.29849999999999999</v>
      </c>
      <c r="E47">
        <v>0</v>
      </c>
      <c r="F47">
        <v>9</v>
      </c>
      <c r="G47">
        <v>9</v>
      </c>
    </row>
    <row r="48" spans="1:7" x14ac:dyDescent="0.2">
      <c r="A48">
        <v>47</v>
      </c>
      <c r="B48">
        <v>0.2273</v>
      </c>
      <c r="C48">
        <v>0.47</v>
      </c>
      <c r="D48">
        <v>0.16420000000000001</v>
      </c>
      <c r="E48">
        <v>0</v>
      </c>
      <c r="F48">
        <v>8</v>
      </c>
      <c r="G48">
        <v>8</v>
      </c>
    </row>
    <row r="49" spans="1:7" x14ac:dyDescent="0.2">
      <c r="A49">
        <v>48</v>
      </c>
      <c r="B49">
        <v>0.19700000000000001</v>
      </c>
      <c r="C49">
        <v>0.44</v>
      </c>
      <c r="D49">
        <v>0.35820000000000002</v>
      </c>
      <c r="E49">
        <v>0</v>
      </c>
      <c r="F49">
        <v>5</v>
      </c>
      <c r="G49">
        <v>5</v>
      </c>
    </row>
    <row r="50" spans="1:7" x14ac:dyDescent="0.2">
      <c r="A50">
        <v>49</v>
      </c>
      <c r="B50">
        <v>0</v>
      </c>
      <c r="C50">
        <v>0.44</v>
      </c>
      <c r="D50">
        <v>0.41789999999999999</v>
      </c>
      <c r="E50">
        <v>0</v>
      </c>
      <c r="F50">
        <v>2</v>
      </c>
      <c r="G50">
        <v>2</v>
      </c>
    </row>
    <row r="51" spans="1:7" x14ac:dyDescent="0.2">
      <c r="A51">
        <v>50</v>
      </c>
      <c r="B51">
        <v>0.13639999999999999</v>
      </c>
      <c r="C51">
        <v>0.47</v>
      </c>
      <c r="D51">
        <v>0.3881</v>
      </c>
      <c r="E51">
        <v>0</v>
      </c>
      <c r="F51">
        <v>1</v>
      </c>
      <c r="G51">
        <v>1</v>
      </c>
    </row>
    <row r="52" spans="1:7" x14ac:dyDescent="0.2">
      <c r="A52">
        <v>51</v>
      </c>
      <c r="B52">
        <v>0.13639999999999999</v>
      </c>
      <c r="C52">
        <v>0.47</v>
      </c>
      <c r="D52">
        <v>0.28360000000000002</v>
      </c>
      <c r="E52">
        <v>0</v>
      </c>
      <c r="F52">
        <v>3</v>
      </c>
      <c r="G52">
        <v>3</v>
      </c>
    </row>
    <row r="53" spans="1:7" x14ac:dyDescent="0.2">
      <c r="A53">
        <v>52</v>
      </c>
      <c r="B53">
        <v>0.1061</v>
      </c>
      <c r="C53">
        <v>0.5</v>
      </c>
      <c r="D53">
        <v>0.3881</v>
      </c>
      <c r="E53">
        <v>0</v>
      </c>
      <c r="F53">
        <v>30</v>
      </c>
      <c r="G53">
        <v>30</v>
      </c>
    </row>
    <row r="54" spans="1:7" x14ac:dyDescent="0.2">
      <c r="A54">
        <v>53</v>
      </c>
      <c r="B54">
        <v>0.13639999999999999</v>
      </c>
      <c r="C54">
        <v>0.5</v>
      </c>
      <c r="D54">
        <v>0.19400000000000001</v>
      </c>
      <c r="E54">
        <v>1</v>
      </c>
      <c r="F54">
        <v>63</v>
      </c>
      <c r="G54">
        <v>64</v>
      </c>
    </row>
    <row r="55" spans="1:7" x14ac:dyDescent="0.2">
      <c r="A55">
        <v>54</v>
      </c>
      <c r="B55">
        <v>0.1212</v>
      </c>
      <c r="C55">
        <v>0.5</v>
      </c>
      <c r="D55">
        <v>0.28360000000000002</v>
      </c>
      <c r="E55">
        <v>1</v>
      </c>
      <c r="F55">
        <v>153</v>
      </c>
      <c r="G55">
        <v>154</v>
      </c>
    </row>
    <row r="56" spans="1:7" x14ac:dyDescent="0.2">
      <c r="A56">
        <v>55</v>
      </c>
      <c r="B56">
        <v>0.13639999999999999</v>
      </c>
      <c r="C56">
        <v>0.43</v>
      </c>
      <c r="D56">
        <v>0.3881</v>
      </c>
      <c r="E56">
        <v>7</v>
      </c>
      <c r="F56">
        <v>81</v>
      </c>
      <c r="G56">
        <v>88</v>
      </c>
    </row>
    <row r="57" spans="1:7" x14ac:dyDescent="0.2">
      <c r="A57">
        <v>56</v>
      </c>
      <c r="B57">
        <v>0.16669999999999999</v>
      </c>
      <c r="C57">
        <v>0.43</v>
      </c>
      <c r="D57">
        <v>0.25369999999999998</v>
      </c>
      <c r="E57">
        <v>11</v>
      </c>
      <c r="F57">
        <v>33</v>
      </c>
      <c r="G57">
        <v>44</v>
      </c>
    </row>
    <row r="58" spans="1:7" x14ac:dyDescent="0.2">
      <c r="A58">
        <v>57</v>
      </c>
      <c r="B58">
        <v>0.18179999999999999</v>
      </c>
      <c r="C58">
        <v>0.4</v>
      </c>
      <c r="D58">
        <v>0.32840000000000003</v>
      </c>
      <c r="E58">
        <v>10</v>
      </c>
      <c r="F58">
        <v>41</v>
      </c>
      <c r="G58">
        <v>51</v>
      </c>
    </row>
    <row r="59" spans="1:7" x14ac:dyDescent="0.2">
      <c r="A59">
        <v>58</v>
      </c>
      <c r="B59">
        <v>0.21210000000000001</v>
      </c>
      <c r="C59">
        <v>0.35</v>
      </c>
      <c r="D59">
        <v>0.29849999999999999</v>
      </c>
      <c r="E59">
        <v>13</v>
      </c>
      <c r="F59">
        <v>48</v>
      </c>
      <c r="G59">
        <v>61</v>
      </c>
    </row>
    <row r="60" spans="1:7" x14ac:dyDescent="0.2">
      <c r="A60">
        <v>59</v>
      </c>
      <c r="B60">
        <v>0</v>
      </c>
      <c r="C60">
        <v>0.35</v>
      </c>
      <c r="D60">
        <v>0.28360000000000002</v>
      </c>
      <c r="E60">
        <v>8</v>
      </c>
      <c r="F60">
        <v>53</v>
      </c>
      <c r="G60">
        <v>61</v>
      </c>
    </row>
    <row r="61" spans="1:7" x14ac:dyDescent="0.2">
      <c r="A61">
        <v>60</v>
      </c>
      <c r="B61">
        <v>0.2424</v>
      </c>
      <c r="C61">
        <v>0.3</v>
      </c>
      <c r="D61">
        <v>0.28360000000000002</v>
      </c>
      <c r="E61">
        <v>11</v>
      </c>
      <c r="F61">
        <v>66</v>
      </c>
      <c r="G61">
        <v>77</v>
      </c>
    </row>
    <row r="62" spans="1:7" x14ac:dyDescent="0.2">
      <c r="A62">
        <v>61</v>
      </c>
      <c r="B62">
        <v>0.2424</v>
      </c>
      <c r="C62">
        <v>0.3</v>
      </c>
      <c r="D62">
        <v>0.25369999999999998</v>
      </c>
      <c r="E62">
        <v>14</v>
      </c>
      <c r="F62">
        <v>58</v>
      </c>
      <c r="G62">
        <v>72</v>
      </c>
    </row>
    <row r="63" spans="1:7" x14ac:dyDescent="0.2">
      <c r="A63">
        <v>62</v>
      </c>
      <c r="B63">
        <v>0.2424</v>
      </c>
      <c r="C63">
        <v>0.3</v>
      </c>
      <c r="D63">
        <v>0.25369999999999998</v>
      </c>
      <c r="E63">
        <v>9</v>
      </c>
      <c r="F63">
        <v>67</v>
      </c>
      <c r="G63">
        <v>76</v>
      </c>
    </row>
    <row r="64" spans="1:7" x14ac:dyDescent="0.2">
      <c r="A64">
        <v>63</v>
      </c>
      <c r="B64">
        <v>0.2273</v>
      </c>
      <c r="C64">
        <v>0.3</v>
      </c>
      <c r="D64">
        <v>0.22389999999999999</v>
      </c>
      <c r="E64">
        <v>11</v>
      </c>
      <c r="F64">
        <v>146</v>
      </c>
      <c r="G64">
        <v>157</v>
      </c>
    </row>
    <row r="65" spans="1:7" x14ac:dyDescent="0.2">
      <c r="A65">
        <v>64</v>
      </c>
      <c r="B65">
        <v>0.2576</v>
      </c>
      <c r="C65">
        <v>0.32</v>
      </c>
      <c r="D65">
        <v>0.1045</v>
      </c>
      <c r="E65">
        <v>9</v>
      </c>
      <c r="F65">
        <v>148</v>
      </c>
      <c r="G65">
        <v>157</v>
      </c>
    </row>
    <row r="66" spans="1:7" x14ac:dyDescent="0.2">
      <c r="A66">
        <v>65</v>
      </c>
      <c r="B66">
        <v>0.2576</v>
      </c>
      <c r="C66">
        <v>0.47</v>
      </c>
      <c r="D66">
        <v>0</v>
      </c>
      <c r="E66">
        <v>8</v>
      </c>
      <c r="F66">
        <v>102</v>
      </c>
      <c r="G66">
        <v>110</v>
      </c>
    </row>
    <row r="67" spans="1:7" x14ac:dyDescent="0.2">
      <c r="A67">
        <v>66</v>
      </c>
      <c r="B67">
        <v>0</v>
      </c>
      <c r="C67">
        <v>0.47</v>
      </c>
      <c r="D67">
        <v>0.1045</v>
      </c>
      <c r="E67">
        <v>3</v>
      </c>
      <c r="F67">
        <v>49</v>
      </c>
      <c r="G67">
        <v>52</v>
      </c>
    </row>
    <row r="68" spans="1:7" x14ac:dyDescent="0.2">
      <c r="A68">
        <v>67</v>
      </c>
      <c r="B68">
        <v>0.19700000000000001</v>
      </c>
      <c r="C68">
        <v>0.64</v>
      </c>
      <c r="D68">
        <v>0.1343</v>
      </c>
      <c r="E68">
        <v>3</v>
      </c>
      <c r="F68">
        <v>49</v>
      </c>
      <c r="G68">
        <v>52</v>
      </c>
    </row>
    <row r="69" spans="1:7" x14ac:dyDescent="0.2">
      <c r="A69">
        <v>68</v>
      </c>
      <c r="B69">
        <v>0.1515</v>
      </c>
      <c r="C69">
        <v>0.69</v>
      </c>
      <c r="D69">
        <v>0.1343</v>
      </c>
      <c r="E69">
        <v>0</v>
      </c>
      <c r="F69">
        <v>20</v>
      </c>
      <c r="G69">
        <v>20</v>
      </c>
    </row>
    <row r="70" spans="1:7" x14ac:dyDescent="0.2">
      <c r="A70">
        <v>69</v>
      </c>
      <c r="B70">
        <v>0.21210000000000001</v>
      </c>
      <c r="C70">
        <v>0.55000000000000004</v>
      </c>
      <c r="D70">
        <v>0.1045</v>
      </c>
      <c r="E70">
        <v>1</v>
      </c>
      <c r="F70">
        <v>11</v>
      </c>
      <c r="G70">
        <v>12</v>
      </c>
    </row>
    <row r="71" spans="1:7" x14ac:dyDescent="0.2">
      <c r="A71">
        <v>70</v>
      </c>
      <c r="B71">
        <v>0</v>
      </c>
      <c r="C71">
        <v>0.55000000000000004</v>
      </c>
      <c r="D71">
        <v>0.1045</v>
      </c>
      <c r="E71">
        <v>0</v>
      </c>
      <c r="F71">
        <v>5</v>
      </c>
      <c r="G71">
        <v>5</v>
      </c>
    </row>
    <row r="72" spans="1:7" x14ac:dyDescent="0.2">
      <c r="A72">
        <v>71</v>
      </c>
      <c r="B72">
        <v>0.18179999999999999</v>
      </c>
      <c r="C72">
        <v>0.59</v>
      </c>
      <c r="D72">
        <v>0.1045</v>
      </c>
      <c r="E72">
        <v>0</v>
      </c>
      <c r="F72">
        <v>2</v>
      </c>
      <c r="G72">
        <v>2</v>
      </c>
    </row>
    <row r="73" spans="1:7" x14ac:dyDescent="0.2">
      <c r="A73">
        <v>72</v>
      </c>
      <c r="B73">
        <v>0.1515</v>
      </c>
      <c r="C73">
        <v>0.63</v>
      </c>
      <c r="D73">
        <v>0.1343</v>
      </c>
      <c r="E73">
        <v>0</v>
      </c>
      <c r="F73">
        <v>1</v>
      </c>
      <c r="G73">
        <v>1</v>
      </c>
    </row>
    <row r="74" spans="1:7" x14ac:dyDescent="0.2">
      <c r="A74">
        <v>73</v>
      </c>
      <c r="B74">
        <v>0.18179999999999999</v>
      </c>
      <c r="C74">
        <v>0.63</v>
      </c>
      <c r="D74">
        <v>8.9599999999999999E-2</v>
      </c>
      <c r="E74">
        <v>0</v>
      </c>
      <c r="F74">
        <v>2</v>
      </c>
      <c r="G74">
        <v>2</v>
      </c>
    </row>
    <row r="75" spans="1:7" x14ac:dyDescent="0.2">
      <c r="A75">
        <v>74</v>
      </c>
      <c r="B75">
        <v>0.1515</v>
      </c>
      <c r="C75">
        <v>0.68</v>
      </c>
      <c r="D75">
        <v>0.1045</v>
      </c>
      <c r="E75">
        <v>0</v>
      </c>
      <c r="F75">
        <v>4</v>
      </c>
      <c r="G75">
        <v>4</v>
      </c>
    </row>
    <row r="76" spans="1:7" x14ac:dyDescent="0.2">
      <c r="A76">
        <v>75</v>
      </c>
      <c r="B76">
        <v>0.1515</v>
      </c>
      <c r="C76">
        <v>0.74</v>
      </c>
      <c r="D76">
        <v>0.1045</v>
      </c>
      <c r="E76">
        <v>0</v>
      </c>
      <c r="F76">
        <v>36</v>
      </c>
      <c r="G76">
        <v>36</v>
      </c>
    </row>
    <row r="77" spans="1:7" x14ac:dyDescent="0.2">
      <c r="A77">
        <v>76</v>
      </c>
      <c r="B77">
        <v>0.1515</v>
      </c>
      <c r="C77">
        <v>0.74</v>
      </c>
      <c r="D77">
        <v>0.1343</v>
      </c>
      <c r="E77">
        <v>2</v>
      </c>
      <c r="F77">
        <v>92</v>
      </c>
      <c r="G77">
        <v>94</v>
      </c>
    </row>
    <row r="78" spans="1:7" x14ac:dyDescent="0.2">
      <c r="A78">
        <v>77</v>
      </c>
      <c r="B78">
        <v>0.1515</v>
      </c>
      <c r="C78">
        <v>0.69</v>
      </c>
      <c r="D78">
        <v>0.16420000000000001</v>
      </c>
      <c r="E78">
        <v>2</v>
      </c>
      <c r="F78">
        <v>177</v>
      </c>
      <c r="G78">
        <v>179</v>
      </c>
    </row>
    <row r="79" spans="1:7" x14ac:dyDescent="0.2">
      <c r="A79">
        <v>78</v>
      </c>
      <c r="B79">
        <v>0.1515</v>
      </c>
      <c r="C79">
        <v>0.64</v>
      </c>
      <c r="D79">
        <v>0.22389999999999999</v>
      </c>
      <c r="E79">
        <v>2</v>
      </c>
      <c r="F79">
        <v>98</v>
      </c>
      <c r="G79">
        <v>100</v>
      </c>
    </row>
    <row r="80" spans="1:7" x14ac:dyDescent="0.2">
      <c r="A80">
        <v>79</v>
      </c>
      <c r="B80">
        <v>0.13639999999999999</v>
      </c>
      <c r="C80">
        <v>0.69</v>
      </c>
      <c r="D80">
        <v>0.32840000000000003</v>
      </c>
      <c r="E80">
        <v>5</v>
      </c>
      <c r="F80">
        <v>37</v>
      </c>
      <c r="G80">
        <v>42</v>
      </c>
    </row>
    <row r="81" spans="1:7" x14ac:dyDescent="0.2">
      <c r="A81">
        <v>80</v>
      </c>
      <c r="B81">
        <v>0.21210000000000001</v>
      </c>
      <c r="C81">
        <v>0.51</v>
      </c>
      <c r="D81">
        <v>0.29849999999999999</v>
      </c>
      <c r="E81">
        <v>7</v>
      </c>
      <c r="F81">
        <v>50</v>
      </c>
      <c r="G81">
        <v>57</v>
      </c>
    </row>
    <row r="82" spans="1:7" x14ac:dyDescent="0.2">
      <c r="A82">
        <v>81</v>
      </c>
      <c r="B82">
        <v>0.2273</v>
      </c>
      <c r="C82">
        <v>0.51</v>
      </c>
      <c r="D82">
        <v>0.16420000000000001</v>
      </c>
      <c r="E82">
        <v>12</v>
      </c>
      <c r="F82">
        <v>66</v>
      </c>
      <c r="G82">
        <v>78</v>
      </c>
    </row>
    <row r="83" spans="1:7" x14ac:dyDescent="0.2">
      <c r="A83">
        <v>82</v>
      </c>
      <c r="B83">
        <v>0.2273</v>
      </c>
      <c r="C83">
        <v>0.56000000000000005</v>
      </c>
      <c r="D83">
        <v>0.19400000000000001</v>
      </c>
      <c r="E83">
        <v>18</v>
      </c>
      <c r="F83">
        <v>79</v>
      </c>
      <c r="G83">
        <v>97</v>
      </c>
    </row>
    <row r="84" spans="1:7" x14ac:dyDescent="0.2">
      <c r="A84">
        <v>83</v>
      </c>
      <c r="B84">
        <v>0.2576</v>
      </c>
      <c r="C84">
        <v>0.52</v>
      </c>
      <c r="D84">
        <v>0.22389999999999999</v>
      </c>
      <c r="E84">
        <v>9</v>
      </c>
      <c r="F84">
        <v>54</v>
      </c>
      <c r="G84">
        <v>63</v>
      </c>
    </row>
    <row r="85" spans="1:7" x14ac:dyDescent="0.2">
      <c r="A85">
        <v>84</v>
      </c>
      <c r="B85">
        <v>0.2727</v>
      </c>
      <c r="C85">
        <v>0.52</v>
      </c>
      <c r="D85">
        <v>0.25369999999999998</v>
      </c>
      <c r="E85">
        <v>17</v>
      </c>
      <c r="F85">
        <v>48</v>
      </c>
      <c r="G85">
        <v>65</v>
      </c>
    </row>
    <row r="86" spans="1:7" x14ac:dyDescent="0.2">
      <c r="A86">
        <v>85</v>
      </c>
      <c r="B86">
        <v>0.28789999999999999</v>
      </c>
      <c r="C86">
        <v>0.49</v>
      </c>
      <c r="D86">
        <v>0.25369999999999998</v>
      </c>
      <c r="E86">
        <v>15</v>
      </c>
      <c r="F86">
        <v>68</v>
      </c>
      <c r="G86">
        <v>83</v>
      </c>
    </row>
    <row r="87" spans="1:7" x14ac:dyDescent="0.2">
      <c r="A87">
        <v>86</v>
      </c>
      <c r="B87">
        <v>0.2727</v>
      </c>
      <c r="C87">
        <v>0.48</v>
      </c>
      <c r="D87">
        <v>0.22389999999999999</v>
      </c>
      <c r="E87">
        <v>10</v>
      </c>
      <c r="F87">
        <v>202</v>
      </c>
      <c r="G87">
        <v>212</v>
      </c>
    </row>
    <row r="88" spans="1:7" x14ac:dyDescent="0.2">
      <c r="A88">
        <v>87</v>
      </c>
      <c r="B88">
        <v>0.2576</v>
      </c>
      <c r="C88">
        <v>0.48</v>
      </c>
      <c r="D88">
        <v>0.19400000000000001</v>
      </c>
      <c r="E88">
        <v>3</v>
      </c>
      <c r="F88">
        <v>179</v>
      </c>
      <c r="G88">
        <v>182</v>
      </c>
    </row>
    <row r="89" spans="1:7" x14ac:dyDescent="0.2">
      <c r="A89">
        <v>88</v>
      </c>
      <c r="B89">
        <v>0.2576</v>
      </c>
      <c r="C89">
        <v>0.48</v>
      </c>
      <c r="D89">
        <v>0.1045</v>
      </c>
      <c r="E89">
        <v>2</v>
      </c>
      <c r="F89">
        <v>110</v>
      </c>
      <c r="G89">
        <v>112</v>
      </c>
    </row>
    <row r="90" spans="1:7" x14ac:dyDescent="0.2">
      <c r="A90">
        <v>89</v>
      </c>
      <c r="B90">
        <v>0.2576</v>
      </c>
      <c r="C90">
        <v>0.48</v>
      </c>
      <c r="D90">
        <v>0.1045</v>
      </c>
      <c r="E90">
        <v>1</v>
      </c>
      <c r="F90">
        <v>53</v>
      </c>
      <c r="G90">
        <v>54</v>
      </c>
    </row>
    <row r="91" spans="1:7" x14ac:dyDescent="0.2">
      <c r="A91">
        <v>90</v>
      </c>
      <c r="B91">
        <v>0.2727</v>
      </c>
      <c r="C91">
        <v>0.64</v>
      </c>
      <c r="D91">
        <v>0</v>
      </c>
      <c r="E91">
        <v>0</v>
      </c>
      <c r="F91">
        <v>48</v>
      </c>
      <c r="G91">
        <v>48</v>
      </c>
    </row>
    <row r="92" spans="1:7" x14ac:dyDescent="0.2">
      <c r="A92">
        <v>91</v>
      </c>
      <c r="B92">
        <v>0.2576</v>
      </c>
      <c r="C92">
        <v>0.64</v>
      </c>
      <c r="D92">
        <v>8.9599999999999999E-2</v>
      </c>
      <c r="E92">
        <v>1</v>
      </c>
      <c r="F92">
        <v>34</v>
      </c>
      <c r="G92">
        <v>35</v>
      </c>
    </row>
    <row r="93" spans="1:7" x14ac:dyDescent="0.2">
      <c r="A93">
        <v>92</v>
      </c>
      <c r="B93">
        <v>0.2273</v>
      </c>
      <c r="C93">
        <v>0.69</v>
      </c>
      <c r="D93">
        <v>8.9599999999999999E-2</v>
      </c>
      <c r="E93">
        <v>2</v>
      </c>
      <c r="F93">
        <v>9</v>
      </c>
      <c r="G93">
        <v>11</v>
      </c>
    </row>
    <row r="94" spans="1:7" x14ac:dyDescent="0.2">
      <c r="A94">
        <v>93</v>
      </c>
      <c r="B94">
        <v>0.2576</v>
      </c>
      <c r="C94">
        <v>0.64</v>
      </c>
      <c r="D94">
        <v>0</v>
      </c>
      <c r="E94">
        <v>0</v>
      </c>
      <c r="F94">
        <v>6</v>
      </c>
      <c r="G94">
        <v>6</v>
      </c>
    </row>
    <row r="95" spans="1:7" x14ac:dyDescent="0.2">
      <c r="A95">
        <v>94</v>
      </c>
      <c r="B95">
        <v>0.19700000000000001</v>
      </c>
      <c r="C95">
        <v>0.74</v>
      </c>
      <c r="D95">
        <v>8.9599999999999999E-2</v>
      </c>
      <c r="E95">
        <v>0</v>
      </c>
      <c r="F95">
        <v>6</v>
      </c>
      <c r="G95">
        <v>6</v>
      </c>
    </row>
    <row r="96" spans="1:7" x14ac:dyDescent="0.2">
      <c r="A96">
        <v>95</v>
      </c>
      <c r="B96">
        <v>0.19700000000000001</v>
      </c>
      <c r="C96">
        <v>0.74</v>
      </c>
      <c r="D96">
        <v>8.9599999999999999E-2</v>
      </c>
      <c r="E96">
        <v>0</v>
      </c>
      <c r="F96">
        <v>2</v>
      </c>
      <c r="G96">
        <v>2</v>
      </c>
    </row>
    <row r="97" spans="1:7" x14ac:dyDescent="0.2">
      <c r="A97">
        <v>96</v>
      </c>
      <c r="B97">
        <v>0.2273</v>
      </c>
      <c r="C97">
        <v>0.48</v>
      </c>
      <c r="D97">
        <v>0.22389999999999999</v>
      </c>
      <c r="E97">
        <v>0</v>
      </c>
      <c r="F97">
        <v>2</v>
      </c>
      <c r="G97">
        <v>2</v>
      </c>
    </row>
    <row r="98" spans="1:7" x14ac:dyDescent="0.2">
      <c r="A98">
        <v>97</v>
      </c>
      <c r="B98">
        <v>0.2273</v>
      </c>
      <c r="C98">
        <v>0.47</v>
      </c>
      <c r="D98">
        <v>0.16420000000000001</v>
      </c>
      <c r="E98">
        <v>0</v>
      </c>
      <c r="F98">
        <v>3</v>
      </c>
      <c r="G98">
        <v>3</v>
      </c>
    </row>
    <row r="99" spans="1:7" x14ac:dyDescent="0.2">
      <c r="A99">
        <v>98</v>
      </c>
      <c r="B99">
        <v>0.19700000000000001</v>
      </c>
      <c r="C99">
        <v>0.47</v>
      </c>
      <c r="D99">
        <v>0.22389999999999999</v>
      </c>
      <c r="E99">
        <v>0</v>
      </c>
      <c r="F99">
        <v>33</v>
      </c>
      <c r="G99">
        <v>33</v>
      </c>
    </row>
    <row r="100" spans="1:7" x14ac:dyDescent="0.2">
      <c r="A100">
        <v>99</v>
      </c>
      <c r="B100">
        <v>0.18179999999999999</v>
      </c>
      <c r="C100">
        <v>0.43</v>
      </c>
      <c r="D100">
        <v>0.19400000000000001</v>
      </c>
      <c r="E100">
        <v>1</v>
      </c>
      <c r="F100">
        <v>87</v>
      </c>
      <c r="G100">
        <v>88</v>
      </c>
    </row>
    <row r="101" spans="1:7" x14ac:dyDescent="0.2">
      <c r="A101">
        <v>100</v>
      </c>
      <c r="B101">
        <v>0.18179999999999999</v>
      </c>
      <c r="C101">
        <v>0.4</v>
      </c>
      <c r="D101">
        <v>0.29849999999999999</v>
      </c>
      <c r="E101">
        <v>3</v>
      </c>
      <c r="F101">
        <v>192</v>
      </c>
      <c r="G101">
        <v>195</v>
      </c>
    </row>
    <row r="102" spans="1:7" x14ac:dyDescent="0.2">
      <c r="A102">
        <v>101</v>
      </c>
      <c r="B102">
        <v>0.19700000000000001</v>
      </c>
      <c r="C102">
        <v>0.37</v>
      </c>
      <c r="D102">
        <v>0.32840000000000003</v>
      </c>
      <c r="E102">
        <v>6</v>
      </c>
      <c r="F102">
        <v>109</v>
      </c>
      <c r="G102">
        <v>115</v>
      </c>
    </row>
    <row r="103" spans="1:7" x14ac:dyDescent="0.2">
      <c r="A103">
        <v>102</v>
      </c>
      <c r="B103">
        <v>0.19700000000000001</v>
      </c>
      <c r="C103">
        <v>0.37</v>
      </c>
      <c r="D103">
        <v>0.32840000000000003</v>
      </c>
      <c r="E103">
        <v>4</v>
      </c>
      <c r="F103">
        <v>53</v>
      </c>
      <c r="G103">
        <v>57</v>
      </c>
    </row>
    <row r="104" spans="1:7" x14ac:dyDescent="0.2">
      <c r="A104">
        <v>103</v>
      </c>
      <c r="B104">
        <v>0.2273</v>
      </c>
      <c r="C104">
        <v>0.33</v>
      </c>
      <c r="D104">
        <v>0.32840000000000003</v>
      </c>
      <c r="E104">
        <v>12</v>
      </c>
      <c r="F104">
        <v>34</v>
      </c>
      <c r="G104">
        <v>46</v>
      </c>
    </row>
    <row r="105" spans="1:7" x14ac:dyDescent="0.2">
      <c r="A105">
        <v>104</v>
      </c>
      <c r="B105">
        <v>0.2273</v>
      </c>
      <c r="C105">
        <v>0.33</v>
      </c>
      <c r="D105">
        <v>0.32840000000000003</v>
      </c>
      <c r="E105">
        <v>5</v>
      </c>
      <c r="F105">
        <v>74</v>
      </c>
      <c r="G105">
        <v>79</v>
      </c>
    </row>
    <row r="106" spans="1:7" x14ac:dyDescent="0.2">
      <c r="A106">
        <v>105</v>
      </c>
      <c r="B106">
        <v>0.2576</v>
      </c>
      <c r="C106">
        <v>0.3</v>
      </c>
      <c r="D106">
        <v>0.29849999999999999</v>
      </c>
      <c r="E106">
        <v>6</v>
      </c>
      <c r="F106">
        <v>65</v>
      </c>
      <c r="G106">
        <v>71</v>
      </c>
    </row>
    <row r="107" spans="1:7" x14ac:dyDescent="0.2">
      <c r="A107">
        <v>106</v>
      </c>
      <c r="B107">
        <v>0.28789999999999999</v>
      </c>
      <c r="C107">
        <v>0.28000000000000003</v>
      </c>
      <c r="D107">
        <v>0.19400000000000001</v>
      </c>
      <c r="E107">
        <v>10</v>
      </c>
      <c r="F107">
        <v>52</v>
      </c>
      <c r="G107">
        <v>62</v>
      </c>
    </row>
    <row r="108" spans="1:7" x14ac:dyDescent="0.2">
      <c r="A108">
        <v>107</v>
      </c>
      <c r="B108">
        <v>0.28789999999999999</v>
      </c>
      <c r="C108">
        <v>0.28000000000000003</v>
      </c>
      <c r="D108">
        <v>0.19400000000000001</v>
      </c>
      <c r="E108">
        <v>7</v>
      </c>
      <c r="F108">
        <v>55</v>
      </c>
      <c r="G108">
        <v>62</v>
      </c>
    </row>
    <row r="109" spans="1:7" x14ac:dyDescent="0.2">
      <c r="A109">
        <v>108</v>
      </c>
      <c r="B109">
        <v>0.31819999999999998</v>
      </c>
      <c r="C109">
        <v>0.28000000000000003</v>
      </c>
      <c r="D109">
        <v>8.9599999999999999E-2</v>
      </c>
      <c r="E109">
        <v>4</v>
      </c>
      <c r="F109">
        <v>85</v>
      </c>
      <c r="G109">
        <v>89</v>
      </c>
    </row>
    <row r="110" spans="1:7" x14ac:dyDescent="0.2">
      <c r="A110">
        <v>109</v>
      </c>
      <c r="B110">
        <v>0.2273</v>
      </c>
      <c r="C110">
        <v>0.38</v>
      </c>
      <c r="D110">
        <v>0.19400000000000001</v>
      </c>
      <c r="E110">
        <v>4</v>
      </c>
      <c r="F110">
        <v>186</v>
      </c>
      <c r="G110">
        <v>190</v>
      </c>
    </row>
    <row r="111" spans="1:7" x14ac:dyDescent="0.2">
      <c r="A111">
        <v>110</v>
      </c>
      <c r="B111">
        <v>0.2424</v>
      </c>
      <c r="C111">
        <v>0.38</v>
      </c>
      <c r="D111">
        <v>0.1343</v>
      </c>
      <c r="E111">
        <v>3</v>
      </c>
      <c r="F111">
        <v>166</v>
      </c>
      <c r="G111">
        <v>169</v>
      </c>
    </row>
    <row r="112" spans="1:7" x14ac:dyDescent="0.2">
      <c r="A112">
        <v>111</v>
      </c>
      <c r="B112">
        <v>0.2576</v>
      </c>
      <c r="C112">
        <v>0.38</v>
      </c>
      <c r="D112">
        <v>0.1045</v>
      </c>
      <c r="E112">
        <v>5</v>
      </c>
      <c r="F112">
        <v>127</v>
      </c>
      <c r="G112">
        <v>132</v>
      </c>
    </row>
    <row r="113" spans="1:7" x14ac:dyDescent="0.2">
      <c r="A113">
        <v>112</v>
      </c>
      <c r="B113">
        <v>0.2273</v>
      </c>
      <c r="C113">
        <v>0.47</v>
      </c>
      <c r="D113">
        <v>0.16420000000000001</v>
      </c>
      <c r="E113">
        <v>7</v>
      </c>
      <c r="F113">
        <v>82</v>
      </c>
      <c r="G113">
        <v>89</v>
      </c>
    </row>
    <row r="114" spans="1:7" x14ac:dyDescent="0.2">
      <c r="A114">
        <v>113</v>
      </c>
      <c r="B114">
        <v>0.19700000000000001</v>
      </c>
      <c r="C114">
        <v>0.51</v>
      </c>
      <c r="D114">
        <v>0.19400000000000001</v>
      </c>
      <c r="E114">
        <v>3</v>
      </c>
      <c r="F114">
        <v>40</v>
      </c>
      <c r="G114">
        <v>43</v>
      </c>
    </row>
    <row r="115" spans="1:7" x14ac:dyDescent="0.2">
      <c r="A115">
        <v>114</v>
      </c>
      <c r="B115">
        <v>0.19700000000000001</v>
      </c>
      <c r="C115">
        <v>0.55000000000000004</v>
      </c>
      <c r="D115">
        <v>0.1343</v>
      </c>
      <c r="E115">
        <v>1</v>
      </c>
      <c r="F115">
        <v>41</v>
      </c>
      <c r="G115">
        <v>42</v>
      </c>
    </row>
    <row r="116" spans="1:7" x14ac:dyDescent="0.2">
      <c r="A116">
        <v>115</v>
      </c>
      <c r="B116">
        <v>0.2576</v>
      </c>
      <c r="C116">
        <v>0.47</v>
      </c>
      <c r="D116">
        <v>0</v>
      </c>
      <c r="E116">
        <v>1</v>
      </c>
      <c r="F116">
        <v>18</v>
      </c>
      <c r="G116">
        <v>19</v>
      </c>
    </row>
    <row r="117" spans="1:7" x14ac:dyDescent="0.2">
      <c r="A117">
        <v>116</v>
      </c>
      <c r="B117">
        <v>0.2424</v>
      </c>
      <c r="C117">
        <v>0.55000000000000004</v>
      </c>
      <c r="D117">
        <v>0</v>
      </c>
      <c r="E117">
        <v>0</v>
      </c>
      <c r="F117">
        <v>11</v>
      </c>
      <c r="G117">
        <v>11</v>
      </c>
    </row>
    <row r="118" spans="1:7" x14ac:dyDescent="0.2">
      <c r="A118">
        <v>117</v>
      </c>
      <c r="B118">
        <v>0.2273</v>
      </c>
      <c r="C118">
        <v>0.64</v>
      </c>
      <c r="D118">
        <v>0</v>
      </c>
      <c r="E118">
        <v>0</v>
      </c>
      <c r="F118">
        <v>4</v>
      </c>
      <c r="G118">
        <v>4</v>
      </c>
    </row>
    <row r="119" spans="1:7" x14ac:dyDescent="0.2">
      <c r="A119">
        <v>118</v>
      </c>
      <c r="B119">
        <v>0.2273</v>
      </c>
      <c r="C119">
        <v>0.64</v>
      </c>
      <c r="D119">
        <v>0</v>
      </c>
      <c r="E119">
        <v>0</v>
      </c>
      <c r="F119">
        <v>2</v>
      </c>
      <c r="G119">
        <v>2</v>
      </c>
    </row>
    <row r="120" spans="1:7" x14ac:dyDescent="0.2">
      <c r="A120">
        <v>119</v>
      </c>
      <c r="B120">
        <v>0.19700000000000001</v>
      </c>
      <c r="C120">
        <v>0.64</v>
      </c>
      <c r="D120">
        <v>8.9599999999999999E-2</v>
      </c>
      <c r="E120">
        <v>0</v>
      </c>
      <c r="F120">
        <v>1</v>
      </c>
      <c r="G120">
        <v>1</v>
      </c>
    </row>
    <row r="121" spans="1:7" x14ac:dyDescent="0.2">
      <c r="A121">
        <v>120</v>
      </c>
      <c r="B121">
        <v>0.18179999999999999</v>
      </c>
      <c r="C121">
        <v>0.69</v>
      </c>
      <c r="D121">
        <v>8.9599999999999999E-2</v>
      </c>
      <c r="E121">
        <v>0</v>
      </c>
      <c r="F121">
        <v>4</v>
      </c>
      <c r="G121">
        <v>4</v>
      </c>
    </row>
    <row r="122" spans="1:7" x14ac:dyDescent="0.2">
      <c r="A122">
        <v>121</v>
      </c>
      <c r="B122">
        <v>0.16669999999999999</v>
      </c>
      <c r="C122">
        <v>0.63</v>
      </c>
      <c r="D122">
        <v>0.1045</v>
      </c>
      <c r="E122">
        <v>0</v>
      </c>
      <c r="F122">
        <v>36</v>
      </c>
      <c r="G122">
        <v>36</v>
      </c>
    </row>
    <row r="123" spans="1:7" x14ac:dyDescent="0.2">
      <c r="A123">
        <v>122</v>
      </c>
      <c r="B123">
        <v>0.2273</v>
      </c>
      <c r="C123">
        <v>0.59</v>
      </c>
      <c r="D123">
        <v>0</v>
      </c>
      <c r="E123">
        <v>0</v>
      </c>
      <c r="F123">
        <v>95</v>
      </c>
      <c r="G123">
        <v>95</v>
      </c>
    </row>
    <row r="124" spans="1:7" x14ac:dyDescent="0.2">
      <c r="A124">
        <v>123</v>
      </c>
      <c r="B124">
        <v>0.2273</v>
      </c>
      <c r="C124">
        <v>0.59</v>
      </c>
      <c r="D124">
        <v>0</v>
      </c>
      <c r="E124">
        <v>3</v>
      </c>
      <c r="F124">
        <v>216</v>
      </c>
      <c r="G124">
        <v>219</v>
      </c>
    </row>
    <row r="125" spans="1:7" x14ac:dyDescent="0.2">
      <c r="A125">
        <v>124</v>
      </c>
      <c r="B125">
        <v>0.2424</v>
      </c>
      <c r="C125">
        <v>0.51</v>
      </c>
      <c r="D125">
        <v>0</v>
      </c>
      <c r="E125">
        <v>6</v>
      </c>
      <c r="F125">
        <v>116</v>
      </c>
      <c r="G125">
        <v>122</v>
      </c>
    </row>
    <row r="126" spans="1:7" x14ac:dyDescent="0.2">
      <c r="A126">
        <v>125</v>
      </c>
      <c r="B126">
        <v>0.2576</v>
      </c>
      <c r="C126">
        <v>0.47</v>
      </c>
      <c r="D126">
        <v>0</v>
      </c>
      <c r="E126">
        <v>3</v>
      </c>
      <c r="F126">
        <v>42</v>
      </c>
      <c r="G126">
        <v>45</v>
      </c>
    </row>
    <row r="127" spans="1:7" x14ac:dyDescent="0.2">
      <c r="A127">
        <v>126</v>
      </c>
      <c r="B127">
        <v>0.2576</v>
      </c>
      <c r="C127">
        <v>0.44</v>
      </c>
      <c r="D127">
        <v>8.9599999999999999E-2</v>
      </c>
      <c r="E127">
        <v>2</v>
      </c>
      <c r="F127">
        <v>57</v>
      </c>
      <c r="G127">
        <v>59</v>
      </c>
    </row>
    <row r="128" spans="1:7" x14ac:dyDescent="0.2">
      <c r="A128">
        <v>127</v>
      </c>
      <c r="B128">
        <v>0.28789999999999999</v>
      </c>
      <c r="C128">
        <v>0.35</v>
      </c>
      <c r="D128">
        <v>0</v>
      </c>
      <c r="E128">
        <v>6</v>
      </c>
      <c r="F128">
        <v>78</v>
      </c>
      <c r="G128">
        <v>84</v>
      </c>
    </row>
    <row r="129" spans="1:7" x14ac:dyDescent="0.2">
      <c r="A129">
        <v>128</v>
      </c>
      <c r="B129">
        <v>0.2727</v>
      </c>
      <c r="C129">
        <v>0.35</v>
      </c>
      <c r="D129">
        <v>0.1045</v>
      </c>
      <c r="E129">
        <v>12</v>
      </c>
      <c r="F129">
        <v>55</v>
      </c>
      <c r="G129">
        <v>67</v>
      </c>
    </row>
    <row r="130" spans="1:7" x14ac:dyDescent="0.2">
      <c r="A130">
        <v>129</v>
      </c>
      <c r="B130">
        <v>0.2727</v>
      </c>
      <c r="C130">
        <v>0.36</v>
      </c>
      <c r="D130">
        <v>0.16420000000000001</v>
      </c>
      <c r="E130">
        <v>11</v>
      </c>
      <c r="F130">
        <v>59</v>
      </c>
      <c r="G130">
        <v>70</v>
      </c>
    </row>
    <row r="131" spans="1:7" x14ac:dyDescent="0.2">
      <c r="A131">
        <v>130</v>
      </c>
      <c r="B131">
        <v>0.2727</v>
      </c>
      <c r="C131">
        <v>0.36</v>
      </c>
      <c r="D131">
        <v>0</v>
      </c>
      <c r="E131">
        <v>8</v>
      </c>
      <c r="F131">
        <v>54</v>
      </c>
      <c r="G131">
        <v>62</v>
      </c>
    </row>
    <row r="132" spans="1:7" x14ac:dyDescent="0.2">
      <c r="A132">
        <v>131</v>
      </c>
      <c r="B132">
        <v>0.2576</v>
      </c>
      <c r="C132">
        <v>0.38</v>
      </c>
      <c r="D132">
        <v>0.16420000000000001</v>
      </c>
      <c r="E132">
        <v>12</v>
      </c>
      <c r="F132">
        <v>74</v>
      </c>
      <c r="G132">
        <v>86</v>
      </c>
    </row>
    <row r="133" spans="1:7" x14ac:dyDescent="0.2">
      <c r="A133">
        <v>132</v>
      </c>
      <c r="B133">
        <v>0.2273</v>
      </c>
      <c r="C133">
        <v>0.51</v>
      </c>
      <c r="D133">
        <v>0.16420000000000001</v>
      </c>
      <c r="E133">
        <v>9</v>
      </c>
      <c r="F133">
        <v>163</v>
      </c>
      <c r="G133">
        <v>172</v>
      </c>
    </row>
    <row r="134" spans="1:7" x14ac:dyDescent="0.2">
      <c r="A134">
        <v>133</v>
      </c>
      <c r="B134">
        <v>0.2273</v>
      </c>
      <c r="C134">
        <v>0.51</v>
      </c>
      <c r="D134">
        <v>0.1343</v>
      </c>
      <c r="E134">
        <v>5</v>
      </c>
      <c r="F134">
        <v>158</v>
      </c>
      <c r="G134">
        <v>163</v>
      </c>
    </row>
    <row r="135" spans="1:7" x14ac:dyDescent="0.2">
      <c r="A135">
        <v>134</v>
      </c>
      <c r="B135">
        <v>0.2576</v>
      </c>
      <c r="C135">
        <v>0.55000000000000004</v>
      </c>
      <c r="D135">
        <v>8.9599999999999999E-2</v>
      </c>
      <c r="E135">
        <v>3</v>
      </c>
      <c r="F135">
        <v>109</v>
      </c>
      <c r="G135">
        <v>112</v>
      </c>
    </row>
    <row r="136" spans="1:7" x14ac:dyDescent="0.2">
      <c r="A136">
        <v>135</v>
      </c>
      <c r="B136">
        <v>0.21210000000000001</v>
      </c>
      <c r="C136">
        <v>0.51</v>
      </c>
      <c r="D136">
        <v>0.16420000000000001</v>
      </c>
      <c r="E136">
        <v>3</v>
      </c>
      <c r="F136">
        <v>66</v>
      </c>
      <c r="G136">
        <v>69</v>
      </c>
    </row>
    <row r="137" spans="1:7" x14ac:dyDescent="0.2">
      <c r="A137">
        <v>136</v>
      </c>
      <c r="B137">
        <v>0.21210000000000001</v>
      </c>
      <c r="C137">
        <v>0.55000000000000004</v>
      </c>
      <c r="D137">
        <v>0.22389999999999999</v>
      </c>
      <c r="E137">
        <v>0</v>
      </c>
      <c r="F137">
        <v>48</v>
      </c>
      <c r="G137">
        <v>48</v>
      </c>
    </row>
    <row r="138" spans="1:7" x14ac:dyDescent="0.2">
      <c r="A138">
        <v>137</v>
      </c>
      <c r="B138">
        <v>0.21210000000000001</v>
      </c>
      <c r="C138">
        <v>0.51</v>
      </c>
      <c r="D138">
        <v>0.28360000000000002</v>
      </c>
      <c r="E138">
        <v>1</v>
      </c>
      <c r="F138">
        <v>51</v>
      </c>
      <c r="G138">
        <v>52</v>
      </c>
    </row>
    <row r="139" spans="1:7" x14ac:dyDescent="0.2">
      <c r="A139">
        <v>138</v>
      </c>
      <c r="B139">
        <v>0.19700000000000001</v>
      </c>
      <c r="C139">
        <v>0.59</v>
      </c>
      <c r="D139">
        <v>0.19400000000000001</v>
      </c>
      <c r="E139">
        <v>4</v>
      </c>
      <c r="F139">
        <v>19</v>
      </c>
      <c r="G139">
        <v>23</v>
      </c>
    </row>
    <row r="140" spans="1:7" x14ac:dyDescent="0.2">
      <c r="A140">
        <v>139</v>
      </c>
      <c r="B140">
        <v>0.19700000000000001</v>
      </c>
      <c r="C140">
        <v>0.64</v>
      </c>
      <c r="D140">
        <v>0.19400000000000001</v>
      </c>
      <c r="E140">
        <v>4</v>
      </c>
      <c r="F140">
        <v>13</v>
      </c>
      <c r="G140">
        <v>17</v>
      </c>
    </row>
    <row r="141" spans="1:7" x14ac:dyDescent="0.2">
      <c r="A141">
        <v>140</v>
      </c>
      <c r="B141">
        <v>0.19700000000000001</v>
      </c>
      <c r="C141">
        <v>0.69</v>
      </c>
      <c r="D141">
        <v>0.22389999999999999</v>
      </c>
      <c r="E141">
        <v>2</v>
      </c>
      <c r="F141">
        <v>5</v>
      </c>
      <c r="G141">
        <v>7</v>
      </c>
    </row>
    <row r="142" spans="1:7" x14ac:dyDescent="0.2">
      <c r="A142">
        <v>141</v>
      </c>
      <c r="B142">
        <v>0.19700000000000001</v>
      </c>
      <c r="C142">
        <v>0.69</v>
      </c>
      <c r="D142">
        <v>0.22389999999999999</v>
      </c>
      <c r="E142">
        <v>0</v>
      </c>
      <c r="F142">
        <v>1</v>
      </c>
      <c r="G142">
        <v>1</v>
      </c>
    </row>
    <row r="143" spans="1:7" x14ac:dyDescent="0.2">
      <c r="A143">
        <v>142</v>
      </c>
      <c r="B143">
        <v>0.21210000000000001</v>
      </c>
      <c r="C143">
        <v>0.69</v>
      </c>
      <c r="D143">
        <v>0.1343</v>
      </c>
      <c r="E143">
        <v>0</v>
      </c>
      <c r="F143">
        <v>1</v>
      </c>
      <c r="G143">
        <v>1</v>
      </c>
    </row>
    <row r="144" spans="1:7" x14ac:dyDescent="0.2">
      <c r="A144">
        <v>143</v>
      </c>
      <c r="B144">
        <v>0.2727</v>
      </c>
      <c r="C144">
        <v>0.55000000000000004</v>
      </c>
      <c r="D144">
        <v>0</v>
      </c>
      <c r="E144">
        <v>0</v>
      </c>
      <c r="F144">
        <v>5</v>
      </c>
      <c r="G144">
        <v>5</v>
      </c>
    </row>
    <row r="145" spans="1:7" x14ac:dyDescent="0.2">
      <c r="A145">
        <v>144</v>
      </c>
      <c r="B145">
        <v>0.2576</v>
      </c>
      <c r="C145">
        <v>0.69</v>
      </c>
      <c r="D145">
        <v>0</v>
      </c>
      <c r="E145">
        <v>8</v>
      </c>
      <c r="F145">
        <v>26</v>
      </c>
      <c r="G145">
        <v>34</v>
      </c>
    </row>
    <row r="146" spans="1:7" x14ac:dyDescent="0.2">
      <c r="A146">
        <v>145</v>
      </c>
      <c r="B146">
        <v>0.21210000000000001</v>
      </c>
      <c r="C146">
        <v>0.69</v>
      </c>
      <c r="D146">
        <v>0.1343</v>
      </c>
      <c r="E146">
        <v>8</v>
      </c>
      <c r="F146">
        <v>76</v>
      </c>
      <c r="G146">
        <v>84</v>
      </c>
    </row>
    <row r="147" spans="1:7" x14ac:dyDescent="0.2">
      <c r="A147">
        <v>146</v>
      </c>
      <c r="B147">
        <v>0.19700000000000001</v>
      </c>
      <c r="C147">
        <v>0.51</v>
      </c>
      <c r="D147">
        <v>0.25369999999999998</v>
      </c>
      <c r="E147">
        <v>20</v>
      </c>
      <c r="F147">
        <v>190</v>
      </c>
      <c r="G147">
        <v>210</v>
      </c>
    </row>
    <row r="148" spans="1:7" x14ac:dyDescent="0.2">
      <c r="A148">
        <v>147</v>
      </c>
      <c r="B148">
        <v>0.18179999999999999</v>
      </c>
      <c r="C148">
        <v>0.47</v>
      </c>
      <c r="D148">
        <v>0.29849999999999999</v>
      </c>
      <c r="E148">
        <v>9</v>
      </c>
      <c r="F148">
        <v>125</v>
      </c>
      <c r="G148">
        <v>134</v>
      </c>
    </row>
    <row r="149" spans="1:7" x14ac:dyDescent="0.2">
      <c r="A149">
        <v>148</v>
      </c>
      <c r="B149">
        <v>0.19700000000000001</v>
      </c>
      <c r="C149">
        <v>0.37</v>
      </c>
      <c r="D149">
        <v>0.32840000000000003</v>
      </c>
      <c r="E149">
        <v>16</v>
      </c>
      <c r="F149">
        <v>47</v>
      </c>
      <c r="G149">
        <v>63</v>
      </c>
    </row>
    <row r="150" spans="1:7" x14ac:dyDescent="0.2">
      <c r="A150">
        <v>149</v>
      </c>
      <c r="B150">
        <v>0.19700000000000001</v>
      </c>
      <c r="C150">
        <v>0.4</v>
      </c>
      <c r="D150">
        <v>0.22389999999999999</v>
      </c>
      <c r="E150">
        <v>19</v>
      </c>
      <c r="F150">
        <v>48</v>
      </c>
      <c r="G150">
        <v>67</v>
      </c>
    </row>
    <row r="151" spans="1:7" x14ac:dyDescent="0.2">
      <c r="A151">
        <v>150</v>
      </c>
      <c r="B151">
        <v>0.19700000000000001</v>
      </c>
      <c r="C151">
        <v>0.37</v>
      </c>
      <c r="D151">
        <v>0.25369999999999998</v>
      </c>
      <c r="E151">
        <v>9</v>
      </c>
      <c r="F151">
        <v>50</v>
      </c>
      <c r="G151">
        <v>59</v>
      </c>
    </row>
    <row r="152" spans="1:7" x14ac:dyDescent="0.2">
      <c r="A152">
        <v>151</v>
      </c>
      <c r="B152">
        <v>0.18179999999999999</v>
      </c>
      <c r="C152">
        <v>0.37</v>
      </c>
      <c r="D152">
        <v>0.28360000000000002</v>
      </c>
      <c r="E152">
        <v>9</v>
      </c>
      <c r="F152">
        <v>64</v>
      </c>
      <c r="G152">
        <v>73</v>
      </c>
    </row>
    <row r="153" spans="1:7" x14ac:dyDescent="0.2">
      <c r="A153">
        <v>152</v>
      </c>
      <c r="B153">
        <v>0.19700000000000001</v>
      </c>
      <c r="C153">
        <v>0.4</v>
      </c>
      <c r="D153">
        <v>0.25369999999999998</v>
      </c>
      <c r="E153">
        <v>7</v>
      </c>
      <c r="F153">
        <v>43</v>
      </c>
      <c r="G153">
        <v>50</v>
      </c>
    </row>
    <row r="154" spans="1:7" x14ac:dyDescent="0.2">
      <c r="A154">
        <v>153</v>
      </c>
      <c r="B154">
        <v>0.21210000000000001</v>
      </c>
      <c r="C154">
        <v>0.37</v>
      </c>
      <c r="D154">
        <v>0.16420000000000001</v>
      </c>
      <c r="E154">
        <v>9</v>
      </c>
      <c r="F154">
        <v>63</v>
      </c>
      <c r="G154">
        <v>72</v>
      </c>
    </row>
    <row r="155" spans="1:7" x14ac:dyDescent="0.2">
      <c r="A155">
        <v>154</v>
      </c>
      <c r="B155">
        <v>0.21210000000000001</v>
      </c>
      <c r="C155">
        <v>0.37</v>
      </c>
      <c r="D155">
        <v>0.16420000000000001</v>
      </c>
      <c r="E155">
        <v>5</v>
      </c>
      <c r="F155">
        <v>82</v>
      </c>
      <c r="G155">
        <v>87</v>
      </c>
    </row>
    <row r="156" spans="1:7" x14ac:dyDescent="0.2">
      <c r="A156">
        <v>155</v>
      </c>
      <c r="B156">
        <v>0.2576</v>
      </c>
      <c r="C156">
        <v>0.37</v>
      </c>
      <c r="D156">
        <v>0</v>
      </c>
      <c r="E156">
        <v>9</v>
      </c>
      <c r="F156">
        <v>178</v>
      </c>
      <c r="G156">
        <v>187</v>
      </c>
    </row>
    <row r="157" spans="1:7" x14ac:dyDescent="0.2">
      <c r="A157">
        <v>156</v>
      </c>
      <c r="B157">
        <v>0.2273</v>
      </c>
      <c r="C157">
        <v>0.4</v>
      </c>
      <c r="D157">
        <v>8.9599999999999999E-2</v>
      </c>
      <c r="E157">
        <v>7</v>
      </c>
      <c r="F157">
        <v>116</v>
      </c>
      <c r="G157">
        <v>123</v>
      </c>
    </row>
    <row r="158" spans="1:7" x14ac:dyDescent="0.2">
      <c r="A158">
        <v>157</v>
      </c>
      <c r="B158">
        <v>0.19700000000000001</v>
      </c>
      <c r="C158">
        <v>0.55000000000000004</v>
      </c>
      <c r="D158">
        <v>8.9599999999999999E-2</v>
      </c>
      <c r="E158">
        <v>3</v>
      </c>
      <c r="F158">
        <v>92</v>
      </c>
      <c r="G158">
        <v>95</v>
      </c>
    </row>
    <row r="159" spans="1:7" x14ac:dyDescent="0.2">
      <c r="A159">
        <v>158</v>
      </c>
      <c r="B159">
        <v>0.21210000000000001</v>
      </c>
      <c r="C159">
        <v>0.47</v>
      </c>
      <c r="D159">
        <v>0.1045</v>
      </c>
      <c r="E159">
        <v>1</v>
      </c>
      <c r="F159">
        <v>50</v>
      </c>
      <c r="G159">
        <v>51</v>
      </c>
    </row>
    <row r="160" spans="1:7" x14ac:dyDescent="0.2">
      <c r="A160">
        <v>159</v>
      </c>
      <c r="B160">
        <v>0.19700000000000001</v>
      </c>
      <c r="C160">
        <v>0.47</v>
      </c>
      <c r="D160">
        <v>0.1343</v>
      </c>
      <c r="E160">
        <v>0</v>
      </c>
      <c r="F160">
        <v>39</v>
      </c>
      <c r="G160">
        <v>39</v>
      </c>
    </row>
    <row r="161" spans="1:7" x14ac:dyDescent="0.2">
      <c r="A161">
        <v>160</v>
      </c>
      <c r="B161">
        <v>0.19700000000000001</v>
      </c>
      <c r="C161">
        <v>0.43</v>
      </c>
      <c r="D161">
        <v>0.16420000000000001</v>
      </c>
      <c r="E161">
        <v>2</v>
      </c>
      <c r="F161">
        <v>34</v>
      </c>
      <c r="G161">
        <v>36</v>
      </c>
    </row>
    <row r="162" spans="1:7" x14ac:dyDescent="0.2">
      <c r="A162">
        <v>161</v>
      </c>
      <c r="B162">
        <v>0.19700000000000001</v>
      </c>
      <c r="C162">
        <v>0.51</v>
      </c>
      <c r="D162">
        <v>0.16420000000000001</v>
      </c>
      <c r="E162">
        <v>1</v>
      </c>
      <c r="F162">
        <v>14</v>
      </c>
      <c r="G162">
        <v>15</v>
      </c>
    </row>
    <row r="163" spans="1:7" x14ac:dyDescent="0.2">
      <c r="A163">
        <v>162</v>
      </c>
      <c r="B163">
        <v>0.19700000000000001</v>
      </c>
      <c r="C163">
        <v>0.51</v>
      </c>
      <c r="D163">
        <v>0.16420000000000001</v>
      </c>
      <c r="E163">
        <v>1</v>
      </c>
      <c r="F163">
        <v>24</v>
      </c>
      <c r="G163">
        <v>25</v>
      </c>
    </row>
    <row r="164" spans="1:7" x14ac:dyDescent="0.2">
      <c r="A164">
        <v>163</v>
      </c>
      <c r="B164">
        <v>0.21210000000000001</v>
      </c>
      <c r="C164">
        <v>0.55000000000000004</v>
      </c>
      <c r="D164">
        <v>8.9599999999999999E-2</v>
      </c>
      <c r="E164">
        <v>1</v>
      </c>
      <c r="F164">
        <v>15</v>
      </c>
      <c r="G164">
        <v>16</v>
      </c>
    </row>
    <row r="165" spans="1:7" x14ac:dyDescent="0.2">
      <c r="A165">
        <v>164</v>
      </c>
      <c r="B165">
        <v>0.2424</v>
      </c>
      <c r="C165">
        <v>0.55000000000000004</v>
      </c>
      <c r="D165">
        <v>0</v>
      </c>
      <c r="E165">
        <v>3</v>
      </c>
      <c r="F165">
        <v>13</v>
      </c>
      <c r="G165">
        <v>16</v>
      </c>
    </row>
    <row r="166" spans="1:7" x14ac:dyDescent="0.2">
      <c r="A166">
        <v>165</v>
      </c>
      <c r="B166">
        <v>0.19700000000000001</v>
      </c>
      <c r="C166">
        <v>0.55000000000000004</v>
      </c>
      <c r="D166">
        <v>0.16420000000000001</v>
      </c>
      <c r="E166">
        <v>0</v>
      </c>
      <c r="F166">
        <v>7</v>
      </c>
      <c r="G166">
        <v>7</v>
      </c>
    </row>
    <row r="167" spans="1:7" x14ac:dyDescent="0.2">
      <c r="A167">
        <v>166</v>
      </c>
      <c r="B167">
        <v>0.19700000000000001</v>
      </c>
      <c r="C167">
        <v>0.55000000000000004</v>
      </c>
      <c r="D167">
        <v>0.16420000000000001</v>
      </c>
      <c r="E167">
        <v>0</v>
      </c>
      <c r="F167">
        <v>1</v>
      </c>
      <c r="G167">
        <v>1</v>
      </c>
    </row>
    <row r="168" spans="1:7" x14ac:dyDescent="0.2">
      <c r="A168">
        <v>167</v>
      </c>
      <c r="B168">
        <v>0.16669999999999999</v>
      </c>
      <c r="C168">
        <v>0.74</v>
      </c>
      <c r="D168">
        <v>0.16420000000000001</v>
      </c>
      <c r="E168">
        <v>0</v>
      </c>
      <c r="F168">
        <v>5</v>
      </c>
      <c r="G168">
        <v>5</v>
      </c>
    </row>
    <row r="169" spans="1:7" x14ac:dyDescent="0.2">
      <c r="A169">
        <v>168</v>
      </c>
      <c r="B169">
        <v>0.16669999999999999</v>
      </c>
      <c r="C169">
        <v>0.74</v>
      </c>
      <c r="D169">
        <v>0.16420000000000001</v>
      </c>
      <c r="E169">
        <v>0</v>
      </c>
      <c r="F169">
        <v>2</v>
      </c>
      <c r="G169">
        <v>2</v>
      </c>
    </row>
    <row r="170" spans="1:7" x14ac:dyDescent="0.2">
      <c r="A170">
        <v>169</v>
      </c>
      <c r="B170">
        <v>0.18179999999999999</v>
      </c>
      <c r="C170">
        <v>0.74</v>
      </c>
      <c r="D170">
        <v>0.1045</v>
      </c>
      <c r="E170">
        <v>1</v>
      </c>
      <c r="F170">
        <v>8</v>
      </c>
      <c r="G170">
        <v>9</v>
      </c>
    </row>
    <row r="171" spans="1:7" x14ac:dyDescent="0.2">
      <c r="A171">
        <v>170</v>
      </c>
      <c r="B171">
        <v>0.18179999999999999</v>
      </c>
      <c r="C171">
        <v>0.93</v>
      </c>
      <c r="D171">
        <v>0.1045</v>
      </c>
      <c r="E171">
        <v>0</v>
      </c>
      <c r="F171">
        <v>15</v>
      </c>
      <c r="G171">
        <v>15</v>
      </c>
    </row>
    <row r="172" spans="1:7" x14ac:dyDescent="0.2">
      <c r="A172">
        <v>171</v>
      </c>
      <c r="B172">
        <v>0.18179999999999999</v>
      </c>
      <c r="C172">
        <v>0.93</v>
      </c>
      <c r="D172">
        <v>0.1045</v>
      </c>
      <c r="E172">
        <v>0</v>
      </c>
      <c r="F172">
        <v>20</v>
      </c>
      <c r="G172">
        <v>20</v>
      </c>
    </row>
    <row r="173" spans="1:7" x14ac:dyDescent="0.2">
      <c r="A173">
        <v>172</v>
      </c>
      <c r="B173">
        <v>0.19700000000000001</v>
      </c>
      <c r="C173">
        <v>0.8</v>
      </c>
      <c r="D173">
        <v>0.16420000000000001</v>
      </c>
      <c r="E173">
        <v>5</v>
      </c>
      <c r="F173">
        <v>56</v>
      </c>
      <c r="G173">
        <v>61</v>
      </c>
    </row>
    <row r="174" spans="1:7" x14ac:dyDescent="0.2">
      <c r="A174">
        <v>173</v>
      </c>
      <c r="B174">
        <v>0.18179999999999999</v>
      </c>
      <c r="C174">
        <v>0.69</v>
      </c>
      <c r="D174">
        <v>0.3881</v>
      </c>
      <c r="E174">
        <v>2</v>
      </c>
      <c r="F174">
        <v>60</v>
      </c>
      <c r="G174">
        <v>62</v>
      </c>
    </row>
    <row r="175" spans="1:7" x14ac:dyDescent="0.2">
      <c r="A175">
        <v>174</v>
      </c>
      <c r="B175">
        <v>0.18179999999999999</v>
      </c>
      <c r="C175">
        <v>0.59</v>
      </c>
      <c r="D175">
        <v>0.35820000000000002</v>
      </c>
      <c r="E175">
        <v>8</v>
      </c>
      <c r="F175">
        <v>90</v>
      </c>
      <c r="G175">
        <v>98</v>
      </c>
    </row>
    <row r="176" spans="1:7" x14ac:dyDescent="0.2">
      <c r="A176">
        <v>175</v>
      </c>
      <c r="B176">
        <v>0.18179999999999999</v>
      </c>
      <c r="C176">
        <v>0.44</v>
      </c>
      <c r="D176">
        <v>0.32840000000000003</v>
      </c>
      <c r="E176">
        <v>7</v>
      </c>
      <c r="F176">
        <v>95</v>
      </c>
      <c r="G176">
        <v>102</v>
      </c>
    </row>
    <row r="177" spans="1:7" x14ac:dyDescent="0.2">
      <c r="A177">
        <v>176</v>
      </c>
      <c r="B177">
        <v>0.16669999999999999</v>
      </c>
      <c r="C177">
        <v>0.32</v>
      </c>
      <c r="D177">
        <v>0.49249999999999999</v>
      </c>
      <c r="E177">
        <v>12</v>
      </c>
      <c r="F177">
        <v>83</v>
      </c>
      <c r="G177">
        <v>95</v>
      </c>
    </row>
    <row r="178" spans="1:7" x14ac:dyDescent="0.2">
      <c r="A178">
        <v>177</v>
      </c>
      <c r="B178">
        <v>0.16669999999999999</v>
      </c>
      <c r="C178">
        <v>0.32</v>
      </c>
      <c r="D178">
        <v>0.44779999999999998</v>
      </c>
      <c r="E178">
        <v>5</v>
      </c>
      <c r="F178">
        <v>69</v>
      </c>
      <c r="G178">
        <v>74</v>
      </c>
    </row>
    <row r="179" spans="1:7" x14ac:dyDescent="0.2">
      <c r="A179">
        <v>178</v>
      </c>
      <c r="B179">
        <v>0.13639999999999999</v>
      </c>
      <c r="C179">
        <v>0.28999999999999998</v>
      </c>
      <c r="D179">
        <v>0.44779999999999998</v>
      </c>
      <c r="E179">
        <v>8</v>
      </c>
      <c r="F179">
        <v>68</v>
      </c>
      <c r="G179">
        <v>76</v>
      </c>
    </row>
    <row r="180" spans="1:7" x14ac:dyDescent="0.2">
      <c r="A180">
        <v>179</v>
      </c>
      <c r="B180">
        <v>0.1212</v>
      </c>
      <c r="C180">
        <v>0.37</v>
      </c>
      <c r="D180">
        <v>0.55220000000000002</v>
      </c>
      <c r="E180">
        <v>5</v>
      </c>
      <c r="F180">
        <v>64</v>
      </c>
      <c r="G180">
        <v>69</v>
      </c>
    </row>
    <row r="181" spans="1:7" x14ac:dyDescent="0.2">
      <c r="A181">
        <v>180</v>
      </c>
      <c r="B181">
        <v>0.1212</v>
      </c>
      <c r="C181">
        <v>0.39</v>
      </c>
      <c r="D181">
        <v>0.29849999999999999</v>
      </c>
      <c r="E181">
        <v>3</v>
      </c>
      <c r="F181">
        <v>52</v>
      </c>
      <c r="G181">
        <v>55</v>
      </c>
    </row>
    <row r="182" spans="1:7" x14ac:dyDescent="0.2">
      <c r="A182">
        <v>181</v>
      </c>
      <c r="B182">
        <v>0.1212</v>
      </c>
      <c r="C182">
        <v>0.36</v>
      </c>
      <c r="D182">
        <v>0.25369999999999998</v>
      </c>
      <c r="E182">
        <v>4</v>
      </c>
      <c r="F182">
        <v>26</v>
      </c>
      <c r="G182">
        <v>30</v>
      </c>
    </row>
    <row r="183" spans="1:7" x14ac:dyDescent="0.2">
      <c r="A183">
        <v>182</v>
      </c>
      <c r="B183">
        <v>0.1212</v>
      </c>
      <c r="C183">
        <v>0.36</v>
      </c>
      <c r="D183">
        <v>0.25369999999999998</v>
      </c>
      <c r="E183">
        <v>0</v>
      </c>
      <c r="F183">
        <v>28</v>
      </c>
      <c r="G183">
        <v>28</v>
      </c>
    </row>
    <row r="184" spans="1:7" x14ac:dyDescent="0.2">
      <c r="A184">
        <v>183</v>
      </c>
      <c r="B184">
        <v>0.1061</v>
      </c>
      <c r="C184">
        <v>0.39</v>
      </c>
      <c r="D184">
        <v>0.35820000000000002</v>
      </c>
      <c r="E184">
        <v>2</v>
      </c>
      <c r="F184">
        <v>35</v>
      </c>
      <c r="G184">
        <v>37</v>
      </c>
    </row>
    <row r="185" spans="1:7" x14ac:dyDescent="0.2">
      <c r="A185">
        <v>184</v>
      </c>
      <c r="B185">
        <v>0.1061</v>
      </c>
      <c r="C185">
        <v>0.36</v>
      </c>
      <c r="D185">
        <v>0.3881</v>
      </c>
      <c r="E185">
        <v>1</v>
      </c>
      <c r="F185">
        <v>33</v>
      </c>
      <c r="G185">
        <v>34</v>
      </c>
    </row>
    <row r="186" spans="1:7" x14ac:dyDescent="0.2">
      <c r="A186">
        <v>185</v>
      </c>
      <c r="B186">
        <v>6.0600000000000001E-2</v>
      </c>
      <c r="C186">
        <v>0.39</v>
      </c>
      <c r="D186">
        <v>0.44779999999999998</v>
      </c>
      <c r="E186">
        <v>0</v>
      </c>
      <c r="F186">
        <v>22</v>
      </c>
      <c r="G186">
        <v>22</v>
      </c>
    </row>
    <row r="187" spans="1:7" x14ac:dyDescent="0.2">
      <c r="A187">
        <v>186</v>
      </c>
      <c r="B187">
        <v>7.5800000000000006E-2</v>
      </c>
      <c r="C187">
        <v>0.42</v>
      </c>
      <c r="D187">
        <v>0.3881</v>
      </c>
      <c r="E187">
        <v>1</v>
      </c>
      <c r="F187">
        <v>24</v>
      </c>
      <c r="G187">
        <v>25</v>
      </c>
    </row>
    <row r="188" spans="1:7" x14ac:dyDescent="0.2">
      <c r="A188">
        <v>187</v>
      </c>
      <c r="B188">
        <v>6.0600000000000001E-2</v>
      </c>
      <c r="C188">
        <v>0.42</v>
      </c>
      <c r="D188">
        <v>0.4627</v>
      </c>
      <c r="E188">
        <v>0</v>
      </c>
      <c r="F188">
        <v>12</v>
      </c>
      <c r="G188">
        <v>12</v>
      </c>
    </row>
    <row r="189" spans="1:7" x14ac:dyDescent="0.2">
      <c r="A189">
        <v>188</v>
      </c>
      <c r="B189">
        <v>6.0600000000000001E-2</v>
      </c>
      <c r="C189">
        <v>0.46</v>
      </c>
      <c r="D189">
        <v>0.4627</v>
      </c>
      <c r="E189">
        <v>0</v>
      </c>
      <c r="F189">
        <v>11</v>
      </c>
      <c r="G189">
        <v>11</v>
      </c>
    </row>
    <row r="190" spans="1:7" x14ac:dyDescent="0.2">
      <c r="A190">
        <v>189</v>
      </c>
      <c r="B190">
        <v>7.5800000000000006E-2</v>
      </c>
      <c r="C190">
        <v>0.46</v>
      </c>
      <c r="D190">
        <v>0.41789999999999999</v>
      </c>
      <c r="E190">
        <v>0</v>
      </c>
      <c r="F190">
        <v>4</v>
      </c>
      <c r="G190">
        <v>4</v>
      </c>
    </row>
    <row r="191" spans="1:7" x14ac:dyDescent="0.2">
      <c r="A191">
        <v>190</v>
      </c>
      <c r="B191">
        <v>9.0899999999999995E-2</v>
      </c>
      <c r="C191">
        <v>0.53</v>
      </c>
      <c r="D191">
        <v>0.19400000000000001</v>
      </c>
      <c r="E191">
        <v>0</v>
      </c>
      <c r="F191">
        <v>1</v>
      </c>
      <c r="G191">
        <v>1</v>
      </c>
    </row>
    <row r="192" spans="1:7" x14ac:dyDescent="0.2">
      <c r="A192">
        <v>191</v>
      </c>
      <c r="B192">
        <v>9.0899999999999995E-2</v>
      </c>
      <c r="C192">
        <v>0.53</v>
      </c>
      <c r="D192">
        <v>0.19400000000000001</v>
      </c>
      <c r="E192">
        <v>0</v>
      </c>
      <c r="F192">
        <v>1</v>
      </c>
      <c r="G192">
        <v>1</v>
      </c>
    </row>
    <row r="193" spans="1:7" x14ac:dyDescent="0.2">
      <c r="A193">
        <v>192</v>
      </c>
      <c r="B193">
        <v>9.0899999999999995E-2</v>
      </c>
      <c r="C193">
        <v>0.49</v>
      </c>
      <c r="D193">
        <v>0.28360000000000002</v>
      </c>
      <c r="E193">
        <v>0</v>
      </c>
      <c r="F193">
        <v>1</v>
      </c>
      <c r="G193">
        <v>1</v>
      </c>
    </row>
    <row r="194" spans="1:7" x14ac:dyDescent="0.2">
      <c r="A194">
        <v>193</v>
      </c>
      <c r="B194">
        <v>9.0899999999999995E-2</v>
      </c>
      <c r="C194">
        <v>0.53</v>
      </c>
      <c r="D194">
        <v>0.19400000000000001</v>
      </c>
      <c r="E194">
        <v>1</v>
      </c>
      <c r="F194">
        <v>5</v>
      </c>
      <c r="G194">
        <v>6</v>
      </c>
    </row>
    <row r="195" spans="1:7" x14ac:dyDescent="0.2">
      <c r="A195">
        <v>194</v>
      </c>
      <c r="B195">
        <v>9.0899999999999995E-2</v>
      </c>
      <c r="C195">
        <v>0.49</v>
      </c>
      <c r="D195">
        <v>0.28360000000000002</v>
      </c>
      <c r="E195">
        <v>0</v>
      </c>
      <c r="F195">
        <v>10</v>
      </c>
      <c r="G195">
        <v>10</v>
      </c>
    </row>
    <row r="196" spans="1:7" x14ac:dyDescent="0.2">
      <c r="A196">
        <v>195</v>
      </c>
      <c r="B196">
        <v>7.5800000000000006E-2</v>
      </c>
      <c r="C196">
        <v>0.46</v>
      </c>
      <c r="D196">
        <v>0.52239999999999998</v>
      </c>
      <c r="E196">
        <v>0</v>
      </c>
      <c r="F196">
        <v>19</v>
      </c>
      <c r="G196">
        <v>19</v>
      </c>
    </row>
    <row r="197" spans="1:7" x14ac:dyDescent="0.2">
      <c r="A197">
        <v>196</v>
      </c>
      <c r="B197">
        <v>0.1061</v>
      </c>
      <c r="C197">
        <v>0.43</v>
      </c>
      <c r="D197">
        <v>0.3881</v>
      </c>
      <c r="E197">
        <v>0</v>
      </c>
      <c r="F197">
        <v>49</v>
      </c>
      <c r="G197">
        <v>49</v>
      </c>
    </row>
    <row r="198" spans="1:7" x14ac:dyDescent="0.2">
      <c r="A198">
        <v>197</v>
      </c>
      <c r="B198">
        <v>0.1212</v>
      </c>
      <c r="C198">
        <v>0.4</v>
      </c>
      <c r="D198">
        <v>0.52239999999999998</v>
      </c>
      <c r="E198">
        <v>2</v>
      </c>
      <c r="F198">
        <v>47</v>
      </c>
      <c r="G198">
        <v>49</v>
      </c>
    </row>
    <row r="199" spans="1:7" x14ac:dyDescent="0.2">
      <c r="A199">
        <v>198</v>
      </c>
      <c r="B199">
        <v>0.13639999999999999</v>
      </c>
      <c r="C199">
        <v>0.37</v>
      </c>
      <c r="D199">
        <v>0.44779999999999998</v>
      </c>
      <c r="E199">
        <v>4</v>
      </c>
      <c r="F199">
        <v>79</v>
      </c>
      <c r="G199">
        <v>83</v>
      </c>
    </row>
    <row r="200" spans="1:7" x14ac:dyDescent="0.2">
      <c r="A200">
        <v>199</v>
      </c>
      <c r="B200">
        <v>0.16669999999999999</v>
      </c>
      <c r="C200">
        <v>0.34</v>
      </c>
      <c r="D200">
        <v>0.44779999999999998</v>
      </c>
      <c r="E200">
        <v>6</v>
      </c>
      <c r="F200">
        <v>69</v>
      </c>
      <c r="G200">
        <v>75</v>
      </c>
    </row>
    <row r="201" spans="1:7" x14ac:dyDescent="0.2">
      <c r="A201">
        <v>200</v>
      </c>
      <c r="B201">
        <v>0.18179999999999999</v>
      </c>
      <c r="C201">
        <v>0.32</v>
      </c>
      <c r="D201">
        <v>0.4627</v>
      </c>
      <c r="E201">
        <v>8</v>
      </c>
      <c r="F201">
        <v>64</v>
      </c>
      <c r="G201">
        <v>72</v>
      </c>
    </row>
    <row r="202" spans="1:7" x14ac:dyDescent="0.2">
      <c r="A202">
        <v>201</v>
      </c>
      <c r="B202">
        <v>0.19700000000000001</v>
      </c>
      <c r="C202">
        <v>0.35</v>
      </c>
      <c r="D202">
        <v>0.35820000000000002</v>
      </c>
      <c r="E202">
        <v>5</v>
      </c>
      <c r="F202">
        <v>77</v>
      </c>
      <c r="G202">
        <v>82</v>
      </c>
    </row>
    <row r="203" spans="1:7" x14ac:dyDescent="0.2">
      <c r="A203">
        <v>202</v>
      </c>
      <c r="B203">
        <v>0.16669999999999999</v>
      </c>
      <c r="C203">
        <v>0.34</v>
      </c>
      <c r="D203">
        <v>0.44779999999999998</v>
      </c>
      <c r="E203">
        <v>13</v>
      </c>
      <c r="F203">
        <v>79</v>
      </c>
      <c r="G203">
        <v>92</v>
      </c>
    </row>
    <row r="204" spans="1:7" x14ac:dyDescent="0.2">
      <c r="A204">
        <v>203</v>
      </c>
      <c r="B204">
        <v>0.1515</v>
      </c>
      <c r="C204">
        <v>0.37</v>
      </c>
      <c r="D204">
        <v>0.3881</v>
      </c>
      <c r="E204">
        <v>3</v>
      </c>
      <c r="F204">
        <v>59</v>
      </c>
      <c r="G204">
        <v>62</v>
      </c>
    </row>
    <row r="205" spans="1:7" x14ac:dyDescent="0.2">
      <c r="A205">
        <v>204</v>
      </c>
      <c r="B205">
        <v>0.13639999999999999</v>
      </c>
      <c r="C205">
        <v>0.4</v>
      </c>
      <c r="D205">
        <v>0.32840000000000003</v>
      </c>
      <c r="E205">
        <v>4</v>
      </c>
      <c r="F205">
        <v>44</v>
      </c>
      <c r="G205">
        <v>48</v>
      </c>
    </row>
    <row r="206" spans="1:7" x14ac:dyDescent="0.2">
      <c r="A206">
        <v>205</v>
      </c>
      <c r="B206">
        <v>0.13639999999999999</v>
      </c>
      <c r="C206">
        <v>0.43</v>
      </c>
      <c r="D206">
        <v>0.32840000000000003</v>
      </c>
      <c r="E206">
        <v>1</v>
      </c>
      <c r="F206">
        <v>40</v>
      </c>
      <c r="G206">
        <v>41</v>
      </c>
    </row>
    <row r="207" spans="1:7" x14ac:dyDescent="0.2">
      <c r="A207">
        <v>206</v>
      </c>
      <c r="B207">
        <v>0.1212</v>
      </c>
      <c r="C207">
        <v>0.46</v>
      </c>
      <c r="D207">
        <v>0.25369999999999998</v>
      </c>
      <c r="E207">
        <v>0</v>
      </c>
      <c r="F207">
        <v>38</v>
      </c>
      <c r="G207">
        <v>38</v>
      </c>
    </row>
    <row r="208" spans="1:7" x14ac:dyDescent="0.2">
      <c r="A208">
        <v>207</v>
      </c>
      <c r="B208">
        <v>0.1061</v>
      </c>
      <c r="C208">
        <v>0.46</v>
      </c>
      <c r="D208">
        <v>0.41789999999999999</v>
      </c>
      <c r="E208">
        <v>1</v>
      </c>
      <c r="F208">
        <v>19</v>
      </c>
      <c r="G208">
        <v>20</v>
      </c>
    </row>
    <row r="209" spans="1:7" x14ac:dyDescent="0.2">
      <c r="A209">
        <v>208</v>
      </c>
      <c r="B209">
        <v>0.1212</v>
      </c>
      <c r="C209">
        <v>0.46</v>
      </c>
      <c r="D209">
        <v>0.29849999999999999</v>
      </c>
      <c r="E209">
        <v>5</v>
      </c>
      <c r="F209">
        <v>10</v>
      </c>
      <c r="G209">
        <v>15</v>
      </c>
    </row>
    <row r="210" spans="1:7" x14ac:dyDescent="0.2">
      <c r="A210">
        <v>209</v>
      </c>
      <c r="B210">
        <v>0.13639999999999999</v>
      </c>
      <c r="C210">
        <v>0.5</v>
      </c>
      <c r="D210">
        <v>0.19400000000000001</v>
      </c>
      <c r="E210">
        <v>0</v>
      </c>
      <c r="F210">
        <v>6</v>
      </c>
      <c r="G210">
        <v>6</v>
      </c>
    </row>
    <row r="211" spans="1:7" x14ac:dyDescent="0.2">
      <c r="A211">
        <v>210</v>
      </c>
      <c r="B211">
        <v>0.1212</v>
      </c>
      <c r="C211">
        <v>0.5</v>
      </c>
      <c r="D211">
        <v>0.28360000000000002</v>
      </c>
      <c r="E211">
        <v>2</v>
      </c>
      <c r="F211">
        <v>3</v>
      </c>
      <c r="G211">
        <v>5</v>
      </c>
    </row>
    <row r="212" spans="1:7" x14ac:dyDescent="0.2">
      <c r="A212">
        <v>211</v>
      </c>
      <c r="B212">
        <v>0.1212</v>
      </c>
      <c r="C212">
        <v>0.5</v>
      </c>
      <c r="D212">
        <v>0.28360000000000002</v>
      </c>
      <c r="E212">
        <v>1</v>
      </c>
      <c r="F212">
        <v>0</v>
      </c>
      <c r="G212">
        <v>1</v>
      </c>
    </row>
    <row r="213" spans="1:7" x14ac:dyDescent="0.2">
      <c r="A213">
        <v>212</v>
      </c>
      <c r="B213">
        <v>0.1212</v>
      </c>
      <c r="C213">
        <v>0.5</v>
      </c>
      <c r="D213">
        <v>0.22389999999999999</v>
      </c>
      <c r="E213">
        <v>0</v>
      </c>
      <c r="F213">
        <v>3</v>
      </c>
      <c r="G213">
        <v>3</v>
      </c>
    </row>
    <row r="214" spans="1:7" x14ac:dyDescent="0.2">
      <c r="A214">
        <v>213</v>
      </c>
      <c r="B214">
        <v>0.1212</v>
      </c>
      <c r="C214">
        <v>0.5</v>
      </c>
      <c r="D214">
        <v>0.22389999999999999</v>
      </c>
      <c r="E214">
        <v>0</v>
      </c>
      <c r="F214">
        <v>1</v>
      </c>
      <c r="G214">
        <v>1</v>
      </c>
    </row>
    <row r="215" spans="1:7" x14ac:dyDescent="0.2">
      <c r="A215">
        <v>214</v>
      </c>
      <c r="B215">
        <v>0.1212</v>
      </c>
      <c r="C215">
        <v>0.54</v>
      </c>
      <c r="D215">
        <v>0.1343</v>
      </c>
      <c r="E215">
        <v>1</v>
      </c>
      <c r="F215">
        <v>2</v>
      </c>
      <c r="G215">
        <v>3</v>
      </c>
    </row>
    <row r="216" spans="1:7" x14ac:dyDescent="0.2">
      <c r="A216">
        <v>215</v>
      </c>
      <c r="B216">
        <v>0.1061</v>
      </c>
      <c r="C216">
        <v>0.54</v>
      </c>
      <c r="D216">
        <v>0.25369999999999998</v>
      </c>
      <c r="E216">
        <v>0</v>
      </c>
      <c r="F216">
        <v>3</v>
      </c>
      <c r="G216">
        <v>3</v>
      </c>
    </row>
    <row r="217" spans="1:7" x14ac:dyDescent="0.2">
      <c r="A217">
        <v>216</v>
      </c>
      <c r="B217">
        <v>0.1212</v>
      </c>
      <c r="C217">
        <v>0.5</v>
      </c>
      <c r="D217">
        <v>0.28360000000000002</v>
      </c>
      <c r="E217">
        <v>0</v>
      </c>
      <c r="F217">
        <v>31</v>
      </c>
      <c r="G217">
        <v>31</v>
      </c>
    </row>
    <row r="218" spans="1:7" x14ac:dyDescent="0.2">
      <c r="A218">
        <v>217</v>
      </c>
      <c r="B218">
        <v>0.1212</v>
      </c>
      <c r="C218">
        <v>0.5</v>
      </c>
      <c r="D218">
        <v>0.22389999999999999</v>
      </c>
      <c r="E218">
        <v>2</v>
      </c>
      <c r="F218">
        <v>75</v>
      </c>
      <c r="G218">
        <v>77</v>
      </c>
    </row>
    <row r="219" spans="1:7" x14ac:dyDescent="0.2">
      <c r="A219">
        <v>218</v>
      </c>
      <c r="B219">
        <v>0.1212</v>
      </c>
      <c r="C219">
        <v>0.5</v>
      </c>
      <c r="D219">
        <v>0.28360000000000002</v>
      </c>
      <c r="E219">
        <v>4</v>
      </c>
      <c r="F219">
        <v>184</v>
      </c>
      <c r="G219">
        <v>188</v>
      </c>
    </row>
    <row r="220" spans="1:7" x14ac:dyDescent="0.2">
      <c r="A220">
        <v>219</v>
      </c>
      <c r="B220">
        <v>0.1212</v>
      </c>
      <c r="C220">
        <v>0.5</v>
      </c>
      <c r="D220">
        <v>0.25369999999999998</v>
      </c>
      <c r="E220">
        <v>2</v>
      </c>
      <c r="F220">
        <v>92</v>
      </c>
      <c r="G220">
        <v>94</v>
      </c>
    </row>
    <row r="221" spans="1:7" x14ac:dyDescent="0.2">
      <c r="A221">
        <v>220</v>
      </c>
      <c r="B221">
        <v>0.1212</v>
      </c>
      <c r="C221">
        <v>0.5</v>
      </c>
      <c r="D221">
        <v>0.29849999999999999</v>
      </c>
      <c r="E221">
        <v>0</v>
      </c>
      <c r="F221">
        <v>31</v>
      </c>
      <c r="G221">
        <v>31</v>
      </c>
    </row>
    <row r="222" spans="1:7" x14ac:dyDescent="0.2">
      <c r="A222">
        <v>221</v>
      </c>
      <c r="B222">
        <v>0.13639999999999999</v>
      </c>
      <c r="C222">
        <v>0.47</v>
      </c>
      <c r="D222">
        <v>0.28360000000000002</v>
      </c>
      <c r="E222">
        <v>2</v>
      </c>
      <c r="F222">
        <v>28</v>
      </c>
      <c r="G222">
        <v>30</v>
      </c>
    </row>
    <row r="223" spans="1:7" x14ac:dyDescent="0.2">
      <c r="A223">
        <v>222</v>
      </c>
      <c r="B223">
        <v>0.18179999999999999</v>
      </c>
      <c r="C223">
        <v>0.4</v>
      </c>
      <c r="D223">
        <v>0.28360000000000002</v>
      </c>
      <c r="E223">
        <v>5</v>
      </c>
      <c r="F223">
        <v>47</v>
      </c>
      <c r="G223">
        <v>52</v>
      </c>
    </row>
    <row r="224" spans="1:7" x14ac:dyDescent="0.2">
      <c r="A224">
        <v>223</v>
      </c>
      <c r="B224">
        <v>0.18179999999999999</v>
      </c>
      <c r="C224">
        <v>0.4</v>
      </c>
      <c r="D224">
        <v>0.28360000000000002</v>
      </c>
      <c r="E224">
        <v>4</v>
      </c>
      <c r="F224">
        <v>50</v>
      </c>
      <c r="G224">
        <v>54</v>
      </c>
    </row>
    <row r="225" spans="1:7" x14ac:dyDescent="0.2">
      <c r="A225">
        <v>224</v>
      </c>
      <c r="B225">
        <v>0.19700000000000001</v>
      </c>
      <c r="C225">
        <v>0.4</v>
      </c>
      <c r="D225">
        <v>0.22389999999999999</v>
      </c>
      <c r="E225">
        <v>0</v>
      </c>
      <c r="F225">
        <v>47</v>
      </c>
      <c r="G225">
        <v>47</v>
      </c>
    </row>
    <row r="226" spans="1:7" x14ac:dyDescent="0.2">
      <c r="A226">
        <v>225</v>
      </c>
      <c r="B226">
        <v>0.19700000000000001</v>
      </c>
      <c r="C226">
        <v>0.4</v>
      </c>
      <c r="D226">
        <v>0.22389999999999999</v>
      </c>
      <c r="E226">
        <v>2</v>
      </c>
      <c r="F226">
        <v>43</v>
      </c>
      <c r="G226">
        <v>45</v>
      </c>
    </row>
    <row r="227" spans="1:7" x14ac:dyDescent="0.2">
      <c r="A227">
        <v>226</v>
      </c>
      <c r="B227">
        <v>0.21210000000000001</v>
      </c>
      <c r="C227">
        <v>0.4</v>
      </c>
      <c r="D227">
        <v>0.1343</v>
      </c>
      <c r="E227">
        <v>4</v>
      </c>
      <c r="F227">
        <v>70</v>
      </c>
      <c r="G227">
        <v>74</v>
      </c>
    </row>
    <row r="228" spans="1:7" x14ac:dyDescent="0.2">
      <c r="A228">
        <v>227</v>
      </c>
      <c r="B228">
        <v>0.2273</v>
      </c>
      <c r="C228">
        <v>0.4</v>
      </c>
      <c r="D228">
        <v>0.1045</v>
      </c>
      <c r="E228">
        <v>4</v>
      </c>
      <c r="F228">
        <v>174</v>
      </c>
      <c r="G228">
        <v>178</v>
      </c>
    </row>
    <row r="229" spans="1:7" x14ac:dyDescent="0.2">
      <c r="A229">
        <v>228</v>
      </c>
      <c r="B229">
        <v>0.19700000000000001</v>
      </c>
      <c r="C229">
        <v>0.4</v>
      </c>
      <c r="D229">
        <v>0.22389999999999999</v>
      </c>
      <c r="E229">
        <v>1</v>
      </c>
      <c r="F229">
        <v>154</v>
      </c>
      <c r="G229">
        <v>155</v>
      </c>
    </row>
    <row r="230" spans="1:7" x14ac:dyDescent="0.2">
      <c r="A230">
        <v>229</v>
      </c>
      <c r="B230">
        <v>0.16669999999999999</v>
      </c>
      <c r="C230">
        <v>0.47</v>
      </c>
      <c r="D230">
        <v>0.16420000000000001</v>
      </c>
      <c r="E230">
        <v>3</v>
      </c>
      <c r="F230">
        <v>92</v>
      </c>
      <c r="G230">
        <v>95</v>
      </c>
    </row>
    <row r="231" spans="1:7" x14ac:dyDescent="0.2">
      <c r="A231">
        <v>230</v>
      </c>
      <c r="B231">
        <v>0.16669999999999999</v>
      </c>
      <c r="C231">
        <v>0.5</v>
      </c>
      <c r="D231">
        <v>0.16420000000000001</v>
      </c>
      <c r="E231">
        <v>1</v>
      </c>
      <c r="F231">
        <v>73</v>
      </c>
      <c r="G231">
        <v>74</v>
      </c>
    </row>
    <row r="232" spans="1:7" x14ac:dyDescent="0.2">
      <c r="A232">
        <v>231</v>
      </c>
      <c r="B232">
        <v>0.13639999999999999</v>
      </c>
      <c r="C232">
        <v>0.59</v>
      </c>
      <c r="D232">
        <v>0.19400000000000001</v>
      </c>
      <c r="E232">
        <v>1</v>
      </c>
      <c r="F232">
        <v>37</v>
      </c>
      <c r="G232">
        <v>38</v>
      </c>
    </row>
    <row r="233" spans="1:7" x14ac:dyDescent="0.2">
      <c r="A233">
        <v>232</v>
      </c>
      <c r="B233">
        <v>0.1515</v>
      </c>
      <c r="C233">
        <v>0.59</v>
      </c>
      <c r="D233">
        <v>0.16420000000000001</v>
      </c>
      <c r="E233">
        <v>2</v>
      </c>
      <c r="F233">
        <v>22</v>
      </c>
      <c r="G233">
        <v>24</v>
      </c>
    </row>
    <row r="234" spans="1:7" x14ac:dyDescent="0.2">
      <c r="A234">
        <v>233</v>
      </c>
      <c r="B234">
        <v>0.1515</v>
      </c>
      <c r="C234">
        <v>0.59</v>
      </c>
      <c r="D234">
        <v>0.16420000000000001</v>
      </c>
      <c r="E234">
        <v>0</v>
      </c>
      <c r="F234">
        <v>18</v>
      </c>
      <c r="G234">
        <v>18</v>
      </c>
    </row>
    <row r="235" spans="1:7" x14ac:dyDescent="0.2">
      <c r="A235">
        <v>234</v>
      </c>
      <c r="B235">
        <v>0.16669999999999999</v>
      </c>
      <c r="C235">
        <v>0.59</v>
      </c>
      <c r="D235">
        <v>0.1045</v>
      </c>
      <c r="E235">
        <v>2</v>
      </c>
      <c r="F235">
        <v>10</v>
      </c>
      <c r="G235">
        <v>12</v>
      </c>
    </row>
    <row r="236" spans="1:7" x14ac:dyDescent="0.2">
      <c r="A236">
        <v>235</v>
      </c>
      <c r="B236">
        <v>0.1515</v>
      </c>
      <c r="C236">
        <v>0.59</v>
      </c>
      <c r="D236">
        <v>0.16420000000000001</v>
      </c>
      <c r="E236">
        <v>0</v>
      </c>
      <c r="F236">
        <v>3</v>
      </c>
      <c r="G236">
        <v>3</v>
      </c>
    </row>
    <row r="237" spans="1:7" x14ac:dyDescent="0.2">
      <c r="A237">
        <v>236</v>
      </c>
      <c r="B237">
        <v>0.1515</v>
      </c>
      <c r="C237">
        <v>0.55000000000000004</v>
      </c>
      <c r="D237">
        <v>0.19400000000000001</v>
      </c>
      <c r="E237">
        <v>0</v>
      </c>
      <c r="F237">
        <v>3</v>
      </c>
      <c r="G237">
        <v>3</v>
      </c>
    </row>
    <row r="238" spans="1:7" x14ac:dyDescent="0.2">
      <c r="A238">
        <v>237</v>
      </c>
      <c r="B238">
        <v>0.18179999999999999</v>
      </c>
      <c r="C238">
        <v>0.55000000000000004</v>
      </c>
      <c r="D238">
        <v>0.1343</v>
      </c>
      <c r="E238">
        <v>0</v>
      </c>
      <c r="F238">
        <v>6</v>
      </c>
      <c r="G238">
        <v>6</v>
      </c>
    </row>
    <row r="239" spans="1:7" x14ac:dyDescent="0.2">
      <c r="A239">
        <v>238</v>
      </c>
      <c r="B239">
        <v>0.18179999999999999</v>
      </c>
      <c r="C239">
        <v>0.55000000000000004</v>
      </c>
      <c r="D239">
        <v>0.1343</v>
      </c>
      <c r="E239">
        <v>0</v>
      </c>
      <c r="F239">
        <v>27</v>
      </c>
      <c r="G239">
        <v>27</v>
      </c>
    </row>
    <row r="240" spans="1:7" x14ac:dyDescent="0.2">
      <c r="A240">
        <v>239</v>
      </c>
      <c r="B240">
        <v>0.2273</v>
      </c>
      <c r="C240">
        <v>0.55000000000000004</v>
      </c>
      <c r="D240">
        <v>0</v>
      </c>
      <c r="E240">
        <v>2</v>
      </c>
      <c r="F240">
        <v>97</v>
      </c>
      <c r="G240">
        <v>99</v>
      </c>
    </row>
    <row r="241" spans="1:7" x14ac:dyDescent="0.2">
      <c r="A241">
        <v>240</v>
      </c>
      <c r="B241">
        <v>0.21210000000000001</v>
      </c>
      <c r="C241">
        <v>0.51</v>
      </c>
      <c r="D241">
        <v>8.9599999999999999E-2</v>
      </c>
      <c r="E241">
        <v>3</v>
      </c>
      <c r="F241">
        <v>214</v>
      </c>
      <c r="G241">
        <v>217</v>
      </c>
    </row>
    <row r="242" spans="1:7" x14ac:dyDescent="0.2">
      <c r="A242">
        <v>241</v>
      </c>
      <c r="B242">
        <v>0.19700000000000001</v>
      </c>
      <c r="C242">
        <v>0.51</v>
      </c>
      <c r="D242">
        <v>0.16420000000000001</v>
      </c>
      <c r="E242">
        <v>3</v>
      </c>
      <c r="F242">
        <v>127</v>
      </c>
      <c r="G242">
        <v>130</v>
      </c>
    </row>
    <row r="243" spans="1:7" x14ac:dyDescent="0.2">
      <c r="A243">
        <v>242</v>
      </c>
      <c r="B243">
        <v>0.21210000000000001</v>
      </c>
      <c r="C243">
        <v>0.51</v>
      </c>
      <c r="D243">
        <v>0.16420000000000001</v>
      </c>
      <c r="E243">
        <v>3</v>
      </c>
      <c r="F243">
        <v>51</v>
      </c>
      <c r="G243">
        <v>54</v>
      </c>
    </row>
    <row r="244" spans="1:7" x14ac:dyDescent="0.2">
      <c r="A244">
        <v>243</v>
      </c>
      <c r="B244">
        <v>0.21210000000000001</v>
      </c>
      <c r="C244">
        <v>0.47</v>
      </c>
      <c r="D244">
        <v>0.1343</v>
      </c>
      <c r="E244">
        <v>4</v>
      </c>
      <c r="F244">
        <v>31</v>
      </c>
      <c r="G244">
        <v>35</v>
      </c>
    </row>
    <row r="245" spans="1:7" x14ac:dyDescent="0.2">
      <c r="A245">
        <v>244</v>
      </c>
      <c r="B245">
        <v>0.2273</v>
      </c>
      <c r="C245">
        <v>0.51</v>
      </c>
      <c r="D245">
        <v>0.1045</v>
      </c>
      <c r="E245">
        <v>2</v>
      </c>
      <c r="F245">
        <v>55</v>
      </c>
      <c r="G245">
        <v>57</v>
      </c>
    </row>
    <row r="246" spans="1:7" x14ac:dyDescent="0.2">
      <c r="A246">
        <v>245</v>
      </c>
      <c r="B246">
        <v>0.2273</v>
      </c>
      <c r="C246">
        <v>0.59</v>
      </c>
      <c r="D246">
        <v>8.9599999999999999E-2</v>
      </c>
      <c r="E246">
        <v>6</v>
      </c>
      <c r="F246">
        <v>46</v>
      </c>
      <c r="G246">
        <v>52</v>
      </c>
    </row>
    <row r="247" spans="1:7" x14ac:dyDescent="0.2">
      <c r="A247">
        <v>246</v>
      </c>
      <c r="B247">
        <v>0.2273</v>
      </c>
      <c r="C247">
        <v>0.59</v>
      </c>
      <c r="D247">
        <v>8.9599999999999999E-2</v>
      </c>
      <c r="E247">
        <v>3</v>
      </c>
      <c r="F247">
        <v>60</v>
      </c>
      <c r="G247">
        <v>63</v>
      </c>
    </row>
    <row r="248" spans="1:7" x14ac:dyDescent="0.2">
      <c r="A248">
        <v>247</v>
      </c>
      <c r="B248">
        <v>0.19700000000000001</v>
      </c>
      <c r="C248">
        <v>0.8</v>
      </c>
      <c r="D248">
        <v>8.9599999999999999E-2</v>
      </c>
      <c r="E248">
        <v>2</v>
      </c>
      <c r="F248">
        <v>45</v>
      </c>
      <c r="G248">
        <v>47</v>
      </c>
    </row>
    <row r="249" spans="1:7" x14ac:dyDescent="0.2">
      <c r="A249">
        <v>248</v>
      </c>
      <c r="B249">
        <v>0.1515</v>
      </c>
      <c r="C249">
        <v>0.86</v>
      </c>
      <c r="D249">
        <v>0.22389999999999999</v>
      </c>
      <c r="E249">
        <v>4</v>
      </c>
      <c r="F249">
        <v>72</v>
      </c>
      <c r="G249">
        <v>76</v>
      </c>
    </row>
    <row r="250" spans="1:7" x14ac:dyDescent="0.2">
      <c r="A250">
        <v>249</v>
      </c>
      <c r="B250">
        <v>0.1515</v>
      </c>
      <c r="C250">
        <v>0.86</v>
      </c>
      <c r="D250">
        <v>0.22389999999999999</v>
      </c>
      <c r="E250">
        <v>6</v>
      </c>
      <c r="F250">
        <v>130</v>
      </c>
      <c r="G250">
        <v>136</v>
      </c>
    </row>
    <row r="251" spans="1:7" x14ac:dyDescent="0.2">
      <c r="A251">
        <v>250</v>
      </c>
      <c r="B251">
        <v>0.18179999999999999</v>
      </c>
      <c r="C251">
        <v>0.93</v>
      </c>
      <c r="D251">
        <v>0.1045</v>
      </c>
      <c r="E251">
        <v>1</v>
      </c>
      <c r="F251">
        <v>94</v>
      </c>
      <c r="G251">
        <v>95</v>
      </c>
    </row>
    <row r="252" spans="1:7" x14ac:dyDescent="0.2">
      <c r="A252">
        <v>251</v>
      </c>
      <c r="B252">
        <v>0.2273</v>
      </c>
      <c r="C252">
        <v>0.93</v>
      </c>
      <c r="D252">
        <v>0</v>
      </c>
      <c r="E252">
        <v>0</v>
      </c>
      <c r="F252">
        <v>51</v>
      </c>
      <c r="G252">
        <v>51</v>
      </c>
    </row>
    <row r="253" spans="1:7" x14ac:dyDescent="0.2">
      <c r="A253">
        <v>252</v>
      </c>
      <c r="B253">
        <v>0.1515</v>
      </c>
      <c r="C253">
        <v>0.93</v>
      </c>
      <c r="D253">
        <v>0.19400000000000001</v>
      </c>
      <c r="E253">
        <v>0</v>
      </c>
      <c r="F253">
        <v>32</v>
      </c>
      <c r="G253">
        <v>32</v>
      </c>
    </row>
    <row r="254" spans="1:7" x14ac:dyDescent="0.2">
      <c r="A254">
        <v>253</v>
      </c>
      <c r="B254">
        <v>0.19700000000000001</v>
      </c>
      <c r="C254">
        <v>0.86</v>
      </c>
      <c r="D254">
        <v>8.9599999999999999E-2</v>
      </c>
      <c r="E254">
        <v>0</v>
      </c>
      <c r="F254">
        <v>20</v>
      </c>
      <c r="G254">
        <v>20</v>
      </c>
    </row>
    <row r="255" spans="1:7" x14ac:dyDescent="0.2">
      <c r="A255">
        <v>254</v>
      </c>
      <c r="B255">
        <v>0.18179999999999999</v>
      </c>
      <c r="C255">
        <v>0.93</v>
      </c>
      <c r="D255">
        <v>0.1045</v>
      </c>
      <c r="E255">
        <v>1</v>
      </c>
      <c r="F255">
        <v>28</v>
      </c>
      <c r="G255">
        <v>29</v>
      </c>
    </row>
    <row r="256" spans="1:7" x14ac:dyDescent="0.2">
      <c r="A256">
        <v>255</v>
      </c>
      <c r="B256">
        <v>0.19700000000000001</v>
      </c>
      <c r="C256">
        <v>0.93</v>
      </c>
      <c r="D256">
        <v>8.9599999999999999E-2</v>
      </c>
      <c r="E256">
        <v>1</v>
      </c>
      <c r="F256">
        <v>18</v>
      </c>
      <c r="G256">
        <v>19</v>
      </c>
    </row>
    <row r="257" spans="1:7" x14ac:dyDescent="0.2">
      <c r="A257">
        <v>256</v>
      </c>
      <c r="B257">
        <v>0.19700000000000001</v>
      </c>
      <c r="C257">
        <v>0.86</v>
      </c>
      <c r="D257">
        <v>8.9599999999999999E-2</v>
      </c>
      <c r="E257">
        <v>0</v>
      </c>
      <c r="F257">
        <v>7</v>
      </c>
      <c r="G257">
        <v>7</v>
      </c>
    </row>
    <row r="258" spans="1:7" x14ac:dyDescent="0.2">
      <c r="A258">
        <v>257</v>
      </c>
      <c r="B258">
        <v>0.18179999999999999</v>
      </c>
      <c r="C258">
        <v>0.86</v>
      </c>
      <c r="D258">
        <v>0.1045</v>
      </c>
      <c r="E258">
        <v>0</v>
      </c>
      <c r="F258">
        <v>6</v>
      </c>
      <c r="G258">
        <v>6</v>
      </c>
    </row>
    <row r="259" spans="1:7" x14ac:dyDescent="0.2">
      <c r="A259">
        <v>258</v>
      </c>
      <c r="B259">
        <v>0.1515</v>
      </c>
      <c r="C259">
        <v>0.86</v>
      </c>
      <c r="D259">
        <v>0.1343</v>
      </c>
      <c r="E259">
        <v>0</v>
      </c>
      <c r="F259">
        <v>1</v>
      </c>
      <c r="G259">
        <v>1</v>
      </c>
    </row>
    <row r="260" spans="1:7" x14ac:dyDescent="0.2">
      <c r="A260">
        <v>259</v>
      </c>
      <c r="B260">
        <v>0.1515</v>
      </c>
      <c r="C260">
        <v>0.86</v>
      </c>
      <c r="D260">
        <v>0.16420000000000001</v>
      </c>
      <c r="E260">
        <v>0</v>
      </c>
      <c r="F260">
        <v>5</v>
      </c>
      <c r="G260">
        <v>5</v>
      </c>
    </row>
    <row r="261" spans="1:7" x14ac:dyDescent="0.2">
      <c r="A261">
        <v>260</v>
      </c>
      <c r="B261">
        <v>0.1515</v>
      </c>
      <c r="C261">
        <v>0.93</v>
      </c>
      <c r="D261">
        <v>0.1343</v>
      </c>
      <c r="E261">
        <v>0</v>
      </c>
      <c r="F261">
        <v>16</v>
      </c>
      <c r="G261">
        <v>16</v>
      </c>
    </row>
    <row r="262" spans="1:7" x14ac:dyDescent="0.2">
      <c r="A262">
        <v>261</v>
      </c>
      <c r="B262">
        <v>0.1515</v>
      </c>
      <c r="C262">
        <v>0.69</v>
      </c>
      <c r="D262">
        <v>0.1343</v>
      </c>
      <c r="E262">
        <v>0</v>
      </c>
      <c r="F262">
        <v>54</v>
      </c>
      <c r="G262">
        <v>54</v>
      </c>
    </row>
    <row r="263" spans="1:7" x14ac:dyDescent="0.2">
      <c r="A263">
        <v>262</v>
      </c>
      <c r="B263">
        <v>0.16669999999999999</v>
      </c>
      <c r="C263">
        <v>0.59</v>
      </c>
      <c r="D263">
        <v>0.16420000000000001</v>
      </c>
      <c r="E263">
        <v>3</v>
      </c>
      <c r="F263">
        <v>125</v>
      </c>
      <c r="G263">
        <v>128</v>
      </c>
    </row>
    <row r="264" spans="1:7" x14ac:dyDescent="0.2">
      <c r="A264">
        <v>263</v>
      </c>
      <c r="B264">
        <v>0.13639999999999999</v>
      </c>
      <c r="C264">
        <v>0.59</v>
      </c>
      <c r="D264">
        <v>0.32840000000000003</v>
      </c>
      <c r="E264">
        <v>3</v>
      </c>
      <c r="F264">
        <v>78</v>
      </c>
      <c r="G264">
        <v>81</v>
      </c>
    </row>
    <row r="265" spans="1:7" x14ac:dyDescent="0.2">
      <c r="A265">
        <v>264</v>
      </c>
      <c r="B265">
        <v>0.18179999999999999</v>
      </c>
      <c r="C265">
        <v>0.55000000000000004</v>
      </c>
      <c r="D265">
        <v>0.22389999999999999</v>
      </c>
      <c r="E265">
        <v>0</v>
      </c>
      <c r="F265">
        <v>39</v>
      </c>
      <c r="G265">
        <v>39</v>
      </c>
    </row>
    <row r="266" spans="1:7" x14ac:dyDescent="0.2">
      <c r="A266">
        <v>265</v>
      </c>
      <c r="B266">
        <v>0.18179999999999999</v>
      </c>
      <c r="C266">
        <v>0.51</v>
      </c>
      <c r="D266">
        <v>0.3881</v>
      </c>
      <c r="E266">
        <v>3</v>
      </c>
      <c r="F266">
        <v>32</v>
      </c>
      <c r="G266">
        <v>35</v>
      </c>
    </row>
    <row r="267" spans="1:7" x14ac:dyDescent="0.2">
      <c r="A267">
        <v>266</v>
      </c>
      <c r="B267">
        <v>0.1515</v>
      </c>
      <c r="C267">
        <v>0.47</v>
      </c>
      <c r="D267">
        <v>0.58209999999999995</v>
      </c>
      <c r="E267">
        <v>3</v>
      </c>
      <c r="F267">
        <v>52</v>
      </c>
      <c r="G267">
        <v>55</v>
      </c>
    </row>
    <row r="268" spans="1:7" x14ac:dyDescent="0.2">
      <c r="A268">
        <v>267</v>
      </c>
      <c r="B268">
        <v>0.19700000000000001</v>
      </c>
      <c r="C268">
        <v>0.44</v>
      </c>
      <c r="D268">
        <v>0.35820000000000002</v>
      </c>
      <c r="E268">
        <v>0</v>
      </c>
      <c r="F268">
        <v>49</v>
      </c>
      <c r="G268">
        <v>49</v>
      </c>
    </row>
    <row r="269" spans="1:7" x14ac:dyDescent="0.2">
      <c r="A269">
        <v>268</v>
      </c>
      <c r="B269">
        <v>0.18179999999999999</v>
      </c>
      <c r="C269">
        <v>0.47</v>
      </c>
      <c r="D269">
        <v>0.32840000000000003</v>
      </c>
      <c r="E269">
        <v>0</v>
      </c>
      <c r="F269">
        <v>44</v>
      </c>
      <c r="G269">
        <v>44</v>
      </c>
    </row>
    <row r="270" spans="1:7" x14ac:dyDescent="0.2">
      <c r="A270">
        <v>269</v>
      </c>
      <c r="B270">
        <v>0.16669999999999999</v>
      </c>
      <c r="C270">
        <v>0.47</v>
      </c>
      <c r="D270">
        <v>0.41789999999999999</v>
      </c>
      <c r="E270">
        <v>1</v>
      </c>
      <c r="F270">
        <v>48</v>
      </c>
      <c r="G270">
        <v>49</v>
      </c>
    </row>
    <row r="271" spans="1:7" x14ac:dyDescent="0.2">
      <c r="A271">
        <v>270</v>
      </c>
      <c r="B271">
        <v>0.19700000000000001</v>
      </c>
      <c r="C271">
        <v>0.44</v>
      </c>
      <c r="D271">
        <v>0.32840000000000003</v>
      </c>
      <c r="E271">
        <v>5</v>
      </c>
      <c r="F271">
        <v>63</v>
      </c>
      <c r="G271">
        <v>68</v>
      </c>
    </row>
    <row r="272" spans="1:7" x14ac:dyDescent="0.2">
      <c r="A272">
        <v>271</v>
      </c>
      <c r="B272">
        <v>0.18179999999999999</v>
      </c>
      <c r="C272">
        <v>0.47</v>
      </c>
      <c r="D272">
        <v>0.35820000000000002</v>
      </c>
      <c r="E272">
        <v>0</v>
      </c>
      <c r="F272">
        <v>139</v>
      </c>
      <c r="G272">
        <v>139</v>
      </c>
    </row>
    <row r="273" spans="1:7" x14ac:dyDescent="0.2">
      <c r="A273">
        <v>272</v>
      </c>
      <c r="B273">
        <v>0.1515</v>
      </c>
      <c r="C273">
        <v>0.47</v>
      </c>
      <c r="D273">
        <v>0.52239999999999998</v>
      </c>
      <c r="E273">
        <v>2</v>
      </c>
      <c r="F273">
        <v>135</v>
      </c>
      <c r="G273">
        <v>137</v>
      </c>
    </row>
    <row r="274" spans="1:7" x14ac:dyDescent="0.2">
      <c r="A274">
        <v>273</v>
      </c>
      <c r="B274">
        <v>0.1515</v>
      </c>
      <c r="C274">
        <v>0.47</v>
      </c>
      <c r="D274">
        <v>0.41789999999999999</v>
      </c>
      <c r="E274">
        <v>1</v>
      </c>
      <c r="F274">
        <v>82</v>
      </c>
      <c r="G274">
        <v>83</v>
      </c>
    </row>
    <row r="275" spans="1:7" x14ac:dyDescent="0.2">
      <c r="A275">
        <v>274</v>
      </c>
      <c r="B275">
        <v>0.13639999999999999</v>
      </c>
      <c r="C275">
        <v>0.5</v>
      </c>
      <c r="D275">
        <v>0.32840000000000003</v>
      </c>
      <c r="E275">
        <v>2</v>
      </c>
      <c r="F275">
        <v>54</v>
      </c>
      <c r="G275">
        <v>56</v>
      </c>
    </row>
    <row r="276" spans="1:7" x14ac:dyDescent="0.2">
      <c r="A276">
        <v>275</v>
      </c>
      <c r="B276">
        <v>0.13639999999999999</v>
      </c>
      <c r="C276">
        <v>0.55000000000000004</v>
      </c>
      <c r="D276">
        <v>0.32840000000000003</v>
      </c>
      <c r="E276">
        <v>0</v>
      </c>
      <c r="F276">
        <v>57</v>
      </c>
      <c r="G276">
        <v>57</v>
      </c>
    </row>
    <row r="277" spans="1:7" x14ac:dyDescent="0.2">
      <c r="A277">
        <v>276</v>
      </c>
      <c r="B277">
        <v>0.1212</v>
      </c>
      <c r="C277">
        <v>0.55000000000000004</v>
      </c>
      <c r="D277">
        <v>0.44779999999999998</v>
      </c>
      <c r="E277">
        <v>1</v>
      </c>
      <c r="F277">
        <v>32</v>
      </c>
      <c r="G277">
        <v>33</v>
      </c>
    </row>
    <row r="278" spans="1:7" x14ac:dyDescent="0.2">
      <c r="A278">
        <v>277</v>
      </c>
      <c r="B278">
        <v>0.1061</v>
      </c>
      <c r="C278">
        <v>0.59</v>
      </c>
      <c r="D278">
        <v>0.41789999999999999</v>
      </c>
      <c r="E278">
        <v>1</v>
      </c>
      <c r="F278">
        <v>19</v>
      </c>
      <c r="G278">
        <v>20</v>
      </c>
    </row>
    <row r="279" spans="1:7" x14ac:dyDescent="0.2">
      <c r="A279">
        <v>278</v>
      </c>
      <c r="B279">
        <v>0.1212</v>
      </c>
      <c r="C279">
        <v>0.59</v>
      </c>
      <c r="D279">
        <v>0.28360000000000002</v>
      </c>
      <c r="E279">
        <v>1</v>
      </c>
      <c r="F279">
        <v>6</v>
      </c>
      <c r="G279">
        <v>7</v>
      </c>
    </row>
    <row r="280" spans="1:7" x14ac:dyDescent="0.2">
      <c r="A280">
        <v>279</v>
      </c>
      <c r="B280">
        <v>0.1212</v>
      </c>
      <c r="C280">
        <v>0.5</v>
      </c>
      <c r="D280">
        <v>0.28360000000000002</v>
      </c>
      <c r="E280">
        <v>0</v>
      </c>
      <c r="F280">
        <v>2</v>
      </c>
      <c r="G280">
        <v>2</v>
      </c>
    </row>
    <row r="281" spans="1:7" x14ac:dyDescent="0.2">
      <c r="A281">
        <v>280</v>
      </c>
      <c r="B281">
        <v>0.1212</v>
      </c>
      <c r="C281">
        <v>0.5</v>
      </c>
      <c r="D281">
        <v>0.35820000000000002</v>
      </c>
      <c r="E281">
        <v>0</v>
      </c>
      <c r="F281">
        <v>2</v>
      </c>
      <c r="G281">
        <v>2</v>
      </c>
    </row>
    <row r="282" spans="1:7" x14ac:dyDescent="0.2">
      <c r="A282">
        <v>281</v>
      </c>
      <c r="B282">
        <v>0.1212</v>
      </c>
      <c r="C282">
        <v>0.5</v>
      </c>
      <c r="D282">
        <v>0.32840000000000003</v>
      </c>
      <c r="E282">
        <v>0</v>
      </c>
      <c r="F282">
        <v>3</v>
      </c>
      <c r="G282">
        <v>3</v>
      </c>
    </row>
    <row r="283" spans="1:7" x14ac:dyDescent="0.2">
      <c r="A283">
        <v>282</v>
      </c>
      <c r="B283">
        <v>0.1212</v>
      </c>
      <c r="C283">
        <v>0.5</v>
      </c>
      <c r="D283">
        <v>0.25369999999999998</v>
      </c>
      <c r="E283">
        <v>0</v>
      </c>
      <c r="F283">
        <v>4</v>
      </c>
      <c r="G283">
        <v>4</v>
      </c>
    </row>
    <row r="284" spans="1:7" x14ac:dyDescent="0.2">
      <c r="A284">
        <v>283</v>
      </c>
      <c r="B284">
        <v>0.1212</v>
      </c>
      <c r="C284">
        <v>0.5</v>
      </c>
      <c r="D284">
        <v>0.29849999999999999</v>
      </c>
      <c r="E284">
        <v>0</v>
      </c>
      <c r="F284">
        <v>3</v>
      </c>
      <c r="G284">
        <v>3</v>
      </c>
    </row>
    <row r="285" spans="1:7" x14ac:dyDescent="0.2">
      <c r="A285">
        <v>284</v>
      </c>
      <c r="B285">
        <v>0.1515</v>
      </c>
      <c r="C285">
        <v>0.54</v>
      </c>
      <c r="D285">
        <v>0.1343</v>
      </c>
      <c r="E285">
        <v>0</v>
      </c>
      <c r="F285">
        <v>28</v>
      </c>
      <c r="G285">
        <v>28</v>
      </c>
    </row>
    <row r="286" spans="1:7" x14ac:dyDescent="0.2">
      <c r="A286">
        <v>285</v>
      </c>
      <c r="B286">
        <v>0.1515</v>
      </c>
      <c r="C286">
        <v>0.54</v>
      </c>
      <c r="D286">
        <v>0.1343</v>
      </c>
      <c r="E286">
        <v>0</v>
      </c>
      <c r="F286">
        <v>72</v>
      </c>
      <c r="G286">
        <v>72</v>
      </c>
    </row>
    <row r="287" spans="1:7" x14ac:dyDescent="0.2">
      <c r="A287">
        <v>286</v>
      </c>
      <c r="B287">
        <v>0.13639999999999999</v>
      </c>
      <c r="C287">
        <v>0.5</v>
      </c>
      <c r="D287">
        <v>0.19400000000000001</v>
      </c>
      <c r="E287">
        <v>5</v>
      </c>
      <c r="F287">
        <v>197</v>
      </c>
      <c r="G287">
        <v>202</v>
      </c>
    </row>
    <row r="288" spans="1:7" x14ac:dyDescent="0.2">
      <c r="A288">
        <v>287</v>
      </c>
      <c r="B288">
        <v>0.1212</v>
      </c>
      <c r="C288">
        <v>0.5</v>
      </c>
      <c r="D288">
        <v>0.32840000000000003</v>
      </c>
      <c r="E288">
        <v>2</v>
      </c>
      <c r="F288">
        <v>137</v>
      </c>
      <c r="G288">
        <v>139</v>
      </c>
    </row>
    <row r="289" spans="1:7" x14ac:dyDescent="0.2">
      <c r="A289">
        <v>288</v>
      </c>
      <c r="B289">
        <v>0.13639999999999999</v>
      </c>
      <c r="C289">
        <v>0.5</v>
      </c>
      <c r="D289">
        <v>0.35820000000000002</v>
      </c>
      <c r="E289">
        <v>2</v>
      </c>
      <c r="F289">
        <v>36</v>
      </c>
      <c r="G289">
        <v>38</v>
      </c>
    </row>
    <row r="290" spans="1:7" x14ac:dyDescent="0.2">
      <c r="A290">
        <v>289</v>
      </c>
      <c r="B290">
        <v>0.16669999999999999</v>
      </c>
      <c r="C290">
        <v>0.44</v>
      </c>
      <c r="D290">
        <v>0.44779999999999998</v>
      </c>
      <c r="E290">
        <v>4</v>
      </c>
      <c r="F290">
        <v>33</v>
      </c>
      <c r="G290">
        <v>37</v>
      </c>
    </row>
    <row r="291" spans="1:7" x14ac:dyDescent="0.2">
      <c r="A291">
        <v>290</v>
      </c>
      <c r="B291">
        <v>0.16669999999999999</v>
      </c>
      <c r="C291">
        <v>0.44</v>
      </c>
      <c r="D291">
        <v>0.41789999999999999</v>
      </c>
      <c r="E291">
        <v>3</v>
      </c>
      <c r="F291">
        <v>49</v>
      </c>
      <c r="G291">
        <v>52</v>
      </c>
    </row>
    <row r="292" spans="1:7" x14ac:dyDescent="0.2">
      <c r="A292">
        <v>291</v>
      </c>
      <c r="B292">
        <v>0.19700000000000001</v>
      </c>
      <c r="C292">
        <v>0.41</v>
      </c>
      <c r="D292">
        <v>0.44779999999999998</v>
      </c>
      <c r="E292">
        <v>2</v>
      </c>
      <c r="F292">
        <v>81</v>
      </c>
      <c r="G292">
        <v>83</v>
      </c>
    </row>
    <row r="293" spans="1:7" x14ac:dyDescent="0.2">
      <c r="A293">
        <v>292</v>
      </c>
      <c r="B293">
        <v>0.19700000000000001</v>
      </c>
      <c r="C293">
        <v>0.41</v>
      </c>
      <c r="D293">
        <v>0.3881</v>
      </c>
      <c r="E293">
        <v>3</v>
      </c>
      <c r="F293">
        <v>39</v>
      </c>
      <c r="G293">
        <v>42</v>
      </c>
    </row>
    <row r="294" spans="1:7" x14ac:dyDescent="0.2">
      <c r="A294">
        <v>293</v>
      </c>
      <c r="B294">
        <v>0.21210000000000001</v>
      </c>
      <c r="C294">
        <v>0.38</v>
      </c>
      <c r="D294">
        <v>0.29849999999999999</v>
      </c>
      <c r="E294">
        <v>5</v>
      </c>
      <c r="F294">
        <v>55</v>
      </c>
      <c r="G294">
        <v>60</v>
      </c>
    </row>
    <row r="295" spans="1:7" x14ac:dyDescent="0.2">
      <c r="A295">
        <v>294</v>
      </c>
      <c r="B295">
        <v>0.21210000000000001</v>
      </c>
      <c r="C295">
        <v>0.38</v>
      </c>
      <c r="D295">
        <v>0.35820000000000002</v>
      </c>
      <c r="E295">
        <v>2</v>
      </c>
      <c r="F295">
        <v>76</v>
      </c>
      <c r="G295">
        <v>78</v>
      </c>
    </row>
    <row r="296" spans="1:7" x14ac:dyDescent="0.2">
      <c r="A296">
        <v>295</v>
      </c>
      <c r="B296">
        <v>0.18179999999999999</v>
      </c>
      <c r="C296">
        <v>0.4</v>
      </c>
      <c r="D296">
        <v>0.28360000000000002</v>
      </c>
      <c r="E296">
        <v>4</v>
      </c>
      <c r="F296">
        <v>158</v>
      </c>
      <c r="G296">
        <v>162</v>
      </c>
    </row>
    <row r="297" spans="1:7" x14ac:dyDescent="0.2">
      <c r="A297">
        <v>296</v>
      </c>
      <c r="B297">
        <v>0.18179999999999999</v>
      </c>
      <c r="C297">
        <v>0.4</v>
      </c>
      <c r="D297">
        <v>0.32840000000000003</v>
      </c>
      <c r="E297">
        <v>3</v>
      </c>
      <c r="F297">
        <v>141</v>
      </c>
      <c r="G297">
        <v>144</v>
      </c>
    </row>
    <row r="298" spans="1:7" x14ac:dyDescent="0.2">
      <c r="A298">
        <v>297</v>
      </c>
      <c r="B298">
        <v>0.1515</v>
      </c>
      <c r="C298">
        <v>0.47</v>
      </c>
      <c r="D298">
        <v>0.25369999999999998</v>
      </c>
      <c r="E298">
        <v>1</v>
      </c>
      <c r="F298">
        <v>98</v>
      </c>
      <c r="G298">
        <v>99</v>
      </c>
    </row>
    <row r="299" spans="1:7" x14ac:dyDescent="0.2">
      <c r="A299">
        <v>298</v>
      </c>
      <c r="B299">
        <v>0.1515</v>
      </c>
      <c r="C299">
        <v>0.47</v>
      </c>
      <c r="D299">
        <v>0.22389999999999999</v>
      </c>
      <c r="E299">
        <v>0</v>
      </c>
      <c r="F299">
        <v>64</v>
      </c>
      <c r="G299">
        <v>64</v>
      </c>
    </row>
    <row r="300" spans="1:7" x14ac:dyDescent="0.2">
      <c r="A300">
        <v>299</v>
      </c>
      <c r="B300">
        <v>0.1212</v>
      </c>
      <c r="C300">
        <v>0.46</v>
      </c>
      <c r="D300">
        <v>0.29849999999999999</v>
      </c>
      <c r="E300">
        <v>0</v>
      </c>
      <c r="F300">
        <v>40</v>
      </c>
      <c r="G300">
        <v>40</v>
      </c>
    </row>
    <row r="301" spans="1:7" x14ac:dyDescent="0.2">
      <c r="A301">
        <v>300</v>
      </c>
      <c r="B301">
        <v>0.1212</v>
      </c>
      <c r="C301">
        <v>0.46</v>
      </c>
      <c r="D301">
        <v>0.32840000000000003</v>
      </c>
      <c r="E301">
        <v>0</v>
      </c>
      <c r="F301">
        <v>30</v>
      </c>
      <c r="G301">
        <v>30</v>
      </c>
    </row>
    <row r="302" spans="1:7" x14ac:dyDescent="0.2">
      <c r="A302">
        <v>301</v>
      </c>
      <c r="B302">
        <v>0.13639999999999999</v>
      </c>
      <c r="C302">
        <v>0.5</v>
      </c>
      <c r="D302">
        <v>0.19400000000000001</v>
      </c>
      <c r="E302">
        <v>1</v>
      </c>
      <c r="F302">
        <v>14</v>
      </c>
      <c r="G302">
        <v>15</v>
      </c>
    </row>
    <row r="303" spans="1:7" x14ac:dyDescent="0.2">
      <c r="A303">
        <v>302</v>
      </c>
      <c r="B303">
        <v>0.13639999999999999</v>
      </c>
      <c r="C303">
        <v>0.5</v>
      </c>
      <c r="D303">
        <v>0.19400000000000001</v>
      </c>
      <c r="E303">
        <v>0</v>
      </c>
      <c r="F303">
        <v>14</v>
      </c>
      <c r="G303">
        <v>14</v>
      </c>
    </row>
    <row r="304" spans="1:7" x14ac:dyDescent="0.2">
      <c r="A304">
        <v>303</v>
      </c>
      <c r="B304">
        <v>0.1212</v>
      </c>
      <c r="C304">
        <v>0.54</v>
      </c>
      <c r="D304">
        <v>0.16420000000000001</v>
      </c>
      <c r="E304">
        <v>0</v>
      </c>
      <c r="F304">
        <v>5</v>
      </c>
      <c r="G304">
        <v>5</v>
      </c>
    </row>
    <row r="305" spans="1:7" x14ac:dyDescent="0.2">
      <c r="A305">
        <v>304</v>
      </c>
      <c r="B305">
        <v>0.1212</v>
      </c>
      <c r="C305">
        <v>0.54</v>
      </c>
      <c r="D305">
        <v>0.1343</v>
      </c>
      <c r="E305">
        <v>0</v>
      </c>
      <c r="F305">
        <v>1</v>
      </c>
      <c r="G305">
        <v>1</v>
      </c>
    </row>
    <row r="306" spans="1:7" x14ac:dyDescent="0.2">
      <c r="A306">
        <v>305</v>
      </c>
      <c r="B306">
        <v>0.13639999999999999</v>
      </c>
      <c r="C306">
        <v>0.54</v>
      </c>
      <c r="D306">
        <v>0.1045</v>
      </c>
      <c r="E306">
        <v>0</v>
      </c>
      <c r="F306">
        <v>1</v>
      </c>
      <c r="G306">
        <v>1</v>
      </c>
    </row>
    <row r="307" spans="1:7" x14ac:dyDescent="0.2">
      <c r="A307">
        <v>306</v>
      </c>
      <c r="B307">
        <v>0.13639999999999999</v>
      </c>
      <c r="C307">
        <v>0.54</v>
      </c>
      <c r="D307">
        <v>8.9599999999999999E-2</v>
      </c>
      <c r="E307">
        <v>0</v>
      </c>
      <c r="F307">
        <v>8</v>
      </c>
      <c r="G307">
        <v>8</v>
      </c>
    </row>
    <row r="308" spans="1:7" x14ac:dyDescent="0.2">
      <c r="A308">
        <v>307</v>
      </c>
      <c r="B308">
        <v>0.18179999999999999</v>
      </c>
      <c r="C308">
        <v>0.54</v>
      </c>
      <c r="D308">
        <v>0</v>
      </c>
      <c r="E308">
        <v>0</v>
      </c>
      <c r="F308">
        <v>17</v>
      </c>
      <c r="G308">
        <v>17</v>
      </c>
    </row>
    <row r="309" spans="1:7" x14ac:dyDescent="0.2">
      <c r="A309">
        <v>308</v>
      </c>
      <c r="B309">
        <v>0.1212</v>
      </c>
      <c r="C309">
        <v>0.74</v>
      </c>
      <c r="D309">
        <v>0.16420000000000001</v>
      </c>
      <c r="E309">
        <v>0</v>
      </c>
      <c r="F309">
        <v>70</v>
      </c>
      <c r="G309">
        <v>70</v>
      </c>
    </row>
    <row r="310" spans="1:7" x14ac:dyDescent="0.2">
      <c r="A310">
        <v>309</v>
      </c>
      <c r="B310">
        <v>0.16669999999999999</v>
      </c>
      <c r="C310">
        <v>0.68</v>
      </c>
      <c r="D310">
        <v>0</v>
      </c>
      <c r="E310">
        <v>2</v>
      </c>
      <c r="F310">
        <v>156</v>
      </c>
      <c r="G310">
        <v>158</v>
      </c>
    </row>
    <row r="311" spans="1:7" x14ac:dyDescent="0.2">
      <c r="A311">
        <v>310</v>
      </c>
      <c r="B311">
        <v>0.1515</v>
      </c>
      <c r="C311">
        <v>0.69</v>
      </c>
      <c r="D311">
        <v>0.1343</v>
      </c>
      <c r="E311">
        <v>0</v>
      </c>
      <c r="F311">
        <v>117</v>
      </c>
      <c r="G311">
        <v>117</v>
      </c>
    </row>
    <row r="312" spans="1:7" x14ac:dyDescent="0.2">
      <c r="A312">
        <v>311</v>
      </c>
      <c r="B312">
        <v>0.18179999999999999</v>
      </c>
      <c r="C312">
        <v>0.55000000000000004</v>
      </c>
      <c r="D312">
        <v>0.19400000000000001</v>
      </c>
      <c r="E312">
        <v>4</v>
      </c>
      <c r="F312">
        <v>40</v>
      </c>
      <c r="G312">
        <v>44</v>
      </c>
    </row>
    <row r="313" spans="1:7" x14ac:dyDescent="0.2">
      <c r="A313">
        <v>312</v>
      </c>
      <c r="B313">
        <v>0.16669999999999999</v>
      </c>
      <c r="C313">
        <v>0.51</v>
      </c>
      <c r="D313">
        <v>0.28360000000000002</v>
      </c>
      <c r="E313">
        <v>6</v>
      </c>
      <c r="F313">
        <v>47</v>
      </c>
      <c r="G313">
        <v>53</v>
      </c>
    </row>
    <row r="314" spans="1:7" x14ac:dyDescent="0.2">
      <c r="A314">
        <v>313</v>
      </c>
      <c r="B314">
        <v>0.19700000000000001</v>
      </c>
      <c r="C314">
        <v>0.44</v>
      </c>
      <c r="D314">
        <v>0.25369999999999998</v>
      </c>
      <c r="E314">
        <v>2</v>
      </c>
      <c r="F314">
        <v>59</v>
      </c>
      <c r="G314">
        <v>61</v>
      </c>
    </row>
    <row r="315" spans="1:7" x14ac:dyDescent="0.2">
      <c r="A315">
        <v>314</v>
      </c>
      <c r="B315">
        <v>0.19700000000000001</v>
      </c>
      <c r="C315">
        <v>0.37</v>
      </c>
      <c r="D315">
        <v>0.3881</v>
      </c>
      <c r="E315">
        <v>4</v>
      </c>
      <c r="F315">
        <v>73</v>
      </c>
      <c r="G315">
        <v>77</v>
      </c>
    </row>
    <row r="316" spans="1:7" x14ac:dyDescent="0.2">
      <c r="A316">
        <v>315</v>
      </c>
      <c r="B316">
        <v>0.21210000000000001</v>
      </c>
      <c r="C316">
        <v>0.41</v>
      </c>
      <c r="D316">
        <v>0.28360000000000002</v>
      </c>
      <c r="E316">
        <v>5</v>
      </c>
      <c r="F316">
        <v>59</v>
      </c>
      <c r="G316">
        <v>64</v>
      </c>
    </row>
    <row r="317" spans="1:7" x14ac:dyDescent="0.2">
      <c r="A317">
        <v>316</v>
      </c>
      <c r="B317">
        <v>0.2424</v>
      </c>
      <c r="C317">
        <v>0.38</v>
      </c>
      <c r="D317">
        <v>0.16420000000000001</v>
      </c>
      <c r="E317">
        <v>9</v>
      </c>
      <c r="F317">
        <v>59</v>
      </c>
      <c r="G317">
        <v>68</v>
      </c>
    </row>
    <row r="318" spans="1:7" x14ac:dyDescent="0.2">
      <c r="A318">
        <v>317</v>
      </c>
      <c r="B318">
        <v>0.2424</v>
      </c>
      <c r="C318">
        <v>0.41</v>
      </c>
      <c r="D318">
        <v>0.1045</v>
      </c>
      <c r="E318">
        <v>3</v>
      </c>
      <c r="F318">
        <v>87</v>
      </c>
      <c r="G318">
        <v>90</v>
      </c>
    </row>
    <row r="319" spans="1:7" x14ac:dyDescent="0.2">
      <c r="A319">
        <v>318</v>
      </c>
      <c r="B319">
        <v>0.2273</v>
      </c>
      <c r="C319">
        <v>0.41</v>
      </c>
      <c r="D319">
        <v>0.16420000000000001</v>
      </c>
      <c r="E319">
        <v>4</v>
      </c>
      <c r="F319">
        <v>155</v>
      </c>
      <c r="G319">
        <v>159</v>
      </c>
    </row>
    <row r="320" spans="1:7" x14ac:dyDescent="0.2">
      <c r="A320">
        <v>319</v>
      </c>
      <c r="B320">
        <v>0.2576</v>
      </c>
      <c r="C320">
        <v>0.47</v>
      </c>
      <c r="D320">
        <v>0</v>
      </c>
      <c r="E320">
        <v>5</v>
      </c>
      <c r="F320">
        <v>134</v>
      </c>
      <c r="G320">
        <v>139</v>
      </c>
    </row>
    <row r="321" spans="1:7" x14ac:dyDescent="0.2">
      <c r="A321">
        <v>320</v>
      </c>
      <c r="B321">
        <v>0.19700000000000001</v>
      </c>
      <c r="C321">
        <v>0.59</v>
      </c>
      <c r="D321">
        <v>8.9599999999999999E-2</v>
      </c>
      <c r="E321">
        <v>3</v>
      </c>
      <c r="F321">
        <v>89</v>
      </c>
      <c r="G321">
        <v>92</v>
      </c>
    </row>
    <row r="322" spans="1:7" x14ac:dyDescent="0.2">
      <c r="A322">
        <v>321</v>
      </c>
      <c r="B322">
        <v>0.2424</v>
      </c>
      <c r="C322">
        <v>0.59</v>
      </c>
      <c r="D322">
        <v>0</v>
      </c>
      <c r="E322">
        <v>0</v>
      </c>
      <c r="F322">
        <v>68</v>
      </c>
      <c r="G322">
        <v>68</v>
      </c>
    </row>
    <row r="323" spans="1:7" x14ac:dyDescent="0.2">
      <c r="A323">
        <v>322</v>
      </c>
      <c r="B323">
        <v>0.2273</v>
      </c>
      <c r="C323">
        <v>0.69</v>
      </c>
      <c r="D323">
        <v>0</v>
      </c>
      <c r="E323">
        <v>4</v>
      </c>
      <c r="F323">
        <v>48</v>
      </c>
      <c r="G323">
        <v>52</v>
      </c>
    </row>
    <row r="324" spans="1:7" x14ac:dyDescent="0.2">
      <c r="A324">
        <v>323</v>
      </c>
      <c r="B324">
        <v>0.2273</v>
      </c>
      <c r="C324">
        <v>0.69</v>
      </c>
      <c r="D324">
        <v>0</v>
      </c>
      <c r="E324">
        <v>2</v>
      </c>
      <c r="F324">
        <v>34</v>
      </c>
      <c r="G324">
        <v>36</v>
      </c>
    </row>
    <row r="325" spans="1:7" x14ac:dyDescent="0.2">
      <c r="A325">
        <v>324</v>
      </c>
      <c r="B325">
        <v>0.2424</v>
      </c>
      <c r="C325">
        <v>0.55000000000000004</v>
      </c>
      <c r="D325">
        <v>0</v>
      </c>
      <c r="E325">
        <v>1</v>
      </c>
      <c r="F325">
        <v>26</v>
      </c>
      <c r="G325">
        <v>27</v>
      </c>
    </row>
    <row r="326" spans="1:7" x14ac:dyDescent="0.2">
      <c r="A326">
        <v>325</v>
      </c>
      <c r="B326">
        <v>0.2424</v>
      </c>
      <c r="C326">
        <v>0.55000000000000004</v>
      </c>
      <c r="D326">
        <v>0</v>
      </c>
      <c r="E326">
        <v>3</v>
      </c>
      <c r="F326">
        <v>25</v>
      </c>
      <c r="G326">
        <v>28</v>
      </c>
    </row>
    <row r="327" spans="1:7" x14ac:dyDescent="0.2">
      <c r="A327">
        <v>326</v>
      </c>
      <c r="B327">
        <v>0.19700000000000001</v>
      </c>
      <c r="C327">
        <v>0.59</v>
      </c>
      <c r="D327">
        <v>8.9599999999999999E-2</v>
      </c>
      <c r="E327">
        <v>2</v>
      </c>
      <c r="F327">
        <v>18</v>
      </c>
      <c r="G327">
        <v>20</v>
      </c>
    </row>
    <row r="328" spans="1:7" x14ac:dyDescent="0.2">
      <c r="A328">
        <v>327</v>
      </c>
      <c r="B328">
        <v>0.19700000000000001</v>
      </c>
      <c r="C328">
        <v>0.59</v>
      </c>
      <c r="D328">
        <v>8.9599999999999999E-2</v>
      </c>
      <c r="E328">
        <v>0</v>
      </c>
      <c r="F328">
        <v>12</v>
      </c>
      <c r="G328">
        <v>12</v>
      </c>
    </row>
    <row r="329" spans="1:7" x14ac:dyDescent="0.2">
      <c r="A329">
        <v>328</v>
      </c>
      <c r="B329">
        <v>0.2273</v>
      </c>
      <c r="C329">
        <v>0.59</v>
      </c>
      <c r="D329">
        <v>0</v>
      </c>
      <c r="E329">
        <v>1</v>
      </c>
      <c r="F329">
        <v>7</v>
      </c>
      <c r="G329">
        <v>8</v>
      </c>
    </row>
    <row r="330" spans="1:7" x14ac:dyDescent="0.2">
      <c r="A330">
        <v>329</v>
      </c>
      <c r="B330">
        <v>0.2273</v>
      </c>
      <c r="C330">
        <v>0.59</v>
      </c>
      <c r="D330">
        <v>0</v>
      </c>
      <c r="E330">
        <v>0</v>
      </c>
      <c r="F330">
        <v>5</v>
      </c>
      <c r="G330">
        <v>5</v>
      </c>
    </row>
    <row r="331" spans="1:7" x14ac:dyDescent="0.2">
      <c r="A331">
        <v>330</v>
      </c>
      <c r="B331">
        <v>0.2273</v>
      </c>
      <c r="C331">
        <v>0.59</v>
      </c>
      <c r="D331">
        <v>0</v>
      </c>
      <c r="E331">
        <v>0</v>
      </c>
      <c r="F331">
        <v>1</v>
      </c>
      <c r="G331">
        <v>1</v>
      </c>
    </row>
    <row r="332" spans="1:7" x14ac:dyDescent="0.2">
      <c r="A332">
        <v>331</v>
      </c>
      <c r="B332">
        <v>0.16669999999999999</v>
      </c>
      <c r="C332">
        <v>0.63</v>
      </c>
      <c r="D332">
        <v>0.1045</v>
      </c>
      <c r="E332">
        <v>1</v>
      </c>
      <c r="F332">
        <v>2</v>
      </c>
      <c r="G332">
        <v>3</v>
      </c>
    </row>
    <row r="333" spans="1:7" x14ac:dyDescent="0.2">
      <c r="A333">
        <v>332</v>
      </c>
      <c r="B333">
        <v>0.21210000000000001</v>
      </c>
      <c r="C333">
        <v>0.63</v>
      </c>
      <c r="D333">
        <v>0</v>
      </c>
      <c r="E333">
        <v>1</v>
      </c>
      <c r="F333">
        <v>9</v>
      </c>
      <c r="G333">
        <v>10</v>
      </c>
    </row>
    <row r="334" spans="1:7" x14ac:dyDescent="0.2">
      <c r="A334">
        <v>333</v>
      </c>
      <c r="B334">
        <v>0.1515</v>
      </c>
      <c r="C334">
        <v>0.63</v>
      </c>
      <c r="D334">
        <v>0.1343</v>
      </c>
      <c r="E334">
        <v>1</v>
      </c>
      <c r="F334">
        <v>22</v>
      </c>
      <c r="G334">
        <v>23</v>
      </c>
    </row>
    <row r="335" spans="1:7" x14ac:dyDescent="0.2">
      <c r="A335">
        <v>334</v>
      </c>
      <c r="B335">
        <v>0.18179999999999999</v>
      </c>
      <c r="C335">
        <v>0.64</v>
      </c>
      <c r="D335">
        <v>0.1343</v>
      </c>
      <c r="E335">
        <v>2</v>
      </c>
      <c r="F335">
        <v>31</v>
      </c>
      <c r="G335">
        <v>33</v>
      </c>
    </row>
    <row r="336" spans="1:7" x14ac:dyDescent="0.2">
      <c r="A336">
        <v>335</v>
      </c>
      <c r="B336">
        <v>0.19700000000000001</v>
      </c>
      <c r="C336">
        <v>0.59</v>
      </c>
      <c r="D336">
        <v>0.16420000000000001</v>
      </c>
      <c r="E336">
        <v>2</v>
      </c>
      <c r="F336">
        <v>57</v>
      </c>
      <c r="G336">
        <v>59</v>
      </c>
    </row>
    <row r="337" spans="1:7" x14ac:dyDescent="0.2">
      <c r="A337">
        <v>336</v>
      </c>
      <c r="B337">
        <v>0.19700000000000001</v>
      </c>
      <c r="C337">
        <v>0.55000000000000004</v>
      </c>
      <c r="D337">
        <v>0.22389999999999999</v>
      </c>
      <c r="E337">
        <v>18</v>
      </c>
      <c r="F337">
        <v>54</v>
      </c>
      <c r="G337">
        <v>72</v>
      </c>
    </row>
    <row r="338" spans="1:7" x14ac:dyDescent="0.2">
      <c r="A338">
        <v>337</v>
      </c>
      <c r="B338">
        <v>0.2273</v>
      </c>
      <c r="C338">
        <v>0.48</v>
      </c>
      <c r="D338">
        <v>0.22389999999999999</v>
      </c>
      <c r="E338">
        <v>15</v>
      </c>
      <c r="F338">
        <v>74</v>
      </c>
      <c r="G338">
        <v>89</v>
      </c>
    </row>
    <row r="339" spans="1:7" x14ac:dyDescent="0.2">
      <c r="A339">
        <v>338</v>
      </c>
      <c r="B339">
        <v>0.2576</v>
      </c>
      <c r="C339">
        <v>0.38</v>
      </c>
      <c r="D339">
        <v>0.29849999999999999</v>
      </c>
      <c r="E339">
        <v>21</v>
      </c>
      <c r="F339">
        <v>80</v>
      </c>
      <c r="G339">
        <v>101</v>
      </c>
    </row>
    <row r="340" spans="1:7" x14ac:dyDescent="0.2">
      <c r="A340">
        <v>339</v>
      </c>
      <c r="B340">
        <v>0.28789999999999999</v>
      </c>
      <c r="C340">
        <v>0.39</v>
      </c>
      <c r="D340">
        <v>0.28360000000000002</v>
      </c>
      <c r="E340">
        <v>26</v>
      </c>
      <c r="F340">
        <v>92</v>
      </c>
      <c r="G340">
        <v>118</v>
      </c>
    </row>
    <row r="341" spans="1:7" x14ac:dyDescent="0.2">
      <c r="A341">
        <v>340</v>
      </c>
      <c r="B341">
        <v>0.31819999999999998</v>
      </c>
      <c r="C341">
        <v>0.36</v>
      </c>
      <c r="D341">
        <v>0.19400000000000001</v>
      </c>
      <c r="E341">
        <v>21</v>
      </c>
      <c r="F341">
        <v>108</v>
      </c>
      <c r="G341">
        <v>129</v>
      </c>
    </row>
    <row r="342" spans="1:7" x14ac:dyDescent="0.2">
      <c r="A342">
        <v>341</v>
      </c>
      <c r="B342">
        <v>0.33329999999999999</v>
      </c>
      <c r="C342">
        <v>0.34</v>
      </c>
      <c r="D342">
        <v>0.19400000000000001</v>
      </c>
      <c r="E342">
        <v>33</v>
      </c>
      <c r="F342">
        <v>95</v>
      </c>
      <c r="G342">
        <v>128</v>
      </c>
    </row>
    <row r="343" spans="1:7" x14ac:dyDescent="0.2">
      <c r="A343">
        <v>342</v>
      </c>
      <c r="B343">
        <v>0.30299999999999999</v>
      </c>
      <c r="C343">
        <v>0.36</v>
      </c>
      <c r="D343">
        <v>0.28360000000000002</v>
      </c>
      <c r="E343">
        <v>29</v>
      </c>
      <c r="F343">
        <v>54</v>
      </c>
      <c r="G343">
        <v>83</v>
      </c>
    </row>
    <row r="344" spans="1:7" x14ac:dyDescent="0.2">
      <c r="A344">
        <v>343</v>
      </c>
      <c r="B344">
        <v>0.28789999999999999</v>
      </c>
      <c r="C344">
        <v>0.45</v>
      </c>
      <c r="D344">
        <v>0.25369999999999998</v>
      </c>
      <c r="E344">
        <v>15</v>
      </c>
      <c r="F344">
        <v>69</v>
      </c>
      <c r="G344">
        <v>84</v>
      </c>
    </row>
    <row r="345" spans="1:7" x14ac:dyDescent="0.2">
      <c r="A345">
        <v>344</v>
      </c>
      <c r="B345">
        <v>0.30299999999999999</v>
      </c>
      <c r="C345">
        <v>0.39</v>
      </c>
      <c r="D345">
        <v>0.25369999999999998</v>
      </c>
      <c r="E345">
        <v>14</v>
      </c>
      <c r="F345">
        <v>60</v>
      </c>
      <c r="G345">
        <v>74</v>
      </c>
    </row>
    <row r="346" spans="1:7" x14ac:dyDescent="0.2">
      <c r="A346">
        <v>345</v>
      </c>
      <c r="B346">
        <v>0.30299999999999999</v>
      </c>
      <c r="C346">
        <v>0.39</v>
      </c>
      <c r="D346">
        <v>0.25369999999999998</v>
      </c>
      <c r="E346">
        <v>6</v>
      </c>
      <c r="F346">
        <v>35</v>
      </c>
      <c r="G346">
        <v>41</v>
      </c>
    </row>
    <row r="347" spans="1:7" x14ac:dyDescent="0.2">
      <c r="A347">
        <v>346</v>
      </c>
      <c r="B347">
        <v>0.30299999999999999</v>
      </c>
      <c r="C347">
        <v>0.39</v>
      </c>
      <c r="D347">
        <v>0.22389999999999999</v>
      </c>
      <c r="E347">
        <v>6</v>
      </c>
      <c r="F347">
        <v>51</v>
      </c>
      <c r="G347">
        <v>57</v>
      </c>
    </row>
    <row r="348" spans="1:7" x14ac:dyDescent="0.2">
      <c r="A348">
        <v>347</v>
      </c>
      <c r="B348">
        <v>0.31819999999999998</v>
      </c>
      <c r="C348">
        <v>0.42</v>
      </c>
      <c r="D348">
        <v>0.1045</v>
      </c>
      <c r="E348">
        <v>0</v>
      </c>
      <c r="F348">
        <v>26</v>
      </c>
      <c r="G348">
        <v>26</v>
      </c>
    </row>
    <row r="349" spans="1:7" x14ac:dyDescent="0.2">
      <c r="A349">
        <v>348</v>
      </c>
      <c r="B349">
        <v>0.28789999999999999</v>
      </c>
      <c r="C349">
        <v>0.45</v>
      </c>
      <c r="D349">
        <v>0.28360000000000002</v>
      </c>
      <c r="E349">
        <v>5</v>
      </c>
      <c r="F349">
        <v>39</v>
      </c>
      <c r="G349">
        <v>44</v>
      </c>
    </row>
    <row r="350" spans="1:7" x14ac:dyDescent="0.2">
      <c r="A350">
        <v>349</v>
      </c>
      <c r="B350">
        <v>0.30299999999999999</v>
      </c>
      <c r="C350">
        <v>0.56000000000000005</v>
      </c>
      <c r="D350">
        <v>0</v>
      </c>
      <c r="E350">
        <v>6</v>
      </c>
      <c r="F350">
        <v>33</v>
      </c>
      <c r="G350">
        <v>39</v>
      </c>
    </row>
    <row r="351" spans="1:7" x14ac:dyDescent="0.2">
      <c r="A351">
        <v>350</v>
      </c>
      <c r="B351">
        <v>0.2727</v>
      </c>
      <c r="C351">
        <v>0.56000000000000005</v>
      </c>
      <c r="D351">
        <v>0.1343</v>
      </c>
      <c r="E351">
        <v>4</v>
      </c>
      <c r="F351">
        <v>19</v>
      </c>
      <c r="G351">
        <v>23</v>
      </c>
    </row>
    <row r="352" spans="1:7" x14ac:dyDescent="0.2">
      <c r="A352">
        <v>351</v>
      </c>
      <c r="B352">
        <v>0.28789999999999999</v>
      </c>
      <c r="C352">
        <v>0.56000000000000005</v>
      </c>
      <c r="D352">
        <v>8.9599999999999999E-2</v>
      </c>
      <c r="E352">
        <v>3</v>
      </c>
      <c r="F352">
        <v>13</v>
      </c>
      <c r="G352">
        <v>16</v>
      </c>
    </row>
    <row r="353" spans="1:7" x14ac:dyDescent="0.2">
      <c r="A353">
        <v>352</v>
      </c>
      <c r="B353">
        <v>0.2727</v>
      </c>
      <c r="C353">
        <v>0.69</v>
      </c>
      <c r="D353">
        <v>0</v>
      </c>
      <c r="E353">
        <v>9</v>
      </c>
      <c r="F353">
        <v>6</v>
      </c>
      <c r="G353">
        <v>15</v>
      </c>
    </row>
    <row r="354" spans="1:7" x14ac:dyDescent="0.2">
      <c r="A354">
        <v>353</v>
      </c>
      <c r="B354">
        <v>0.2576</v>
      </c>
      <c r="C354">
        <v>0.56000000000000005</v>
      </c>
      <c r="D354">
        <v>0.16420000000000001</v>
      </c>
      <c r="E354">
        <v>0</v>
      </c>
      <c r="F354">
        <v>1</v>
      </c>
      <c r="G354">
        <v>1</v>
      </c>
    </row>
    <row r="355" spans="1:7" x14ac:dyDescent="0.2">
      <c r="A355">
        <v>354</v>
      </c>
      <c r="B355">
        <v>0.2576</v>
      </c>
      <c r="C355">
        <v>0.56000000000000005</v>
      </c>
      <c r="D355">
        <v>0.16420000000000001</v>
      </c>
      <c r="E355">
        <v>1</v>
      </c>
      <c r="F355">
        <v>1</v>
      </c>
      <c r="G355">
        <v>2</v>
      </c>
    </row>
    <row r="356" spans="1:7" x14ac:dyDescent="0.2">
      <c r="A356">
        <v>355</v>
      </c>
      <c r="B356">
        <v>0.2576</v>
      </c>
      <c r="C356">
        <v>0.56000000000000005</v>
      </c>
      <c r="D356">
        <v>0.16420000000000001</v>
      </c>
      <c r="E356">
        <v>0</v>
      </c>
      <c r="F356">
        <v>1</v>
      </c>
      <c r="G356">
        <v>1</v>
      </c>
    </row>
    <row r="357" spans="1:7" x14ac:dyDescent="0.2">
      <c r="A357">
        <v>356</v>
      </c>
      <c r="B357">
        <v>0.21210000000000001</v>
      </c>
      <c r="C357">
        <v>0.56000000000000005</v>
      </c>
      <c r="D357">
        <v>0.29849999999999999</v>
      </c>
      <c r="E357">
        <v>0</v>
      </c>
      <c r="F357">
        <v>3</v>
      </c>
      <c r="G357">
        <v>3</v>
      </c>
    </row>
    <row r="358" spans="1:7" x14ac:dyDescent="0.2">
      <c r="A358">
        <v>357</v>
      </c>
      <c r="B358">
        <v>0.21210000000000001</v>
      </c>
      <c r="C358">
        <v>0.55000000000000004</v>
      </c>
      <c r="D358">
        <v>0.28360000000000002</v>
      </c>
      <c r="E358">
        <v>0</v>
      </c>
      <c r="F358">
        <v>18</v>
      </c>
      <c r="G358">
        <v>18</v>
      </c>
    </row>
    <row r="359" spans="1:7" x14ac:dyDescent="0.2">
      <c r="A359">
        <v>358</v>
      </c>
      <c r="B359">
        <v>0.21210000000000001</v>
      </c>
      <c r="C359">
        <v>0.51</v>
      </c>
      <c r="D359">
        <v>0.25369999999999998</v>
      </c>
      <c r="E359">
        <v>3</v>
      </c>
      <c r="F359">
        <v>29</v>
      </c>
      <c r="G359">
        <v>32</v>
      </c>
    </row>
    <row r="360" spans="1:7" x14ac:dyDescent="0.2">
      <c r="A360">
        <v>359</v>
      </c>
      <c r="B360">
        <v>0.21210000000000001</v>
      </c>
      <c r="C360">
        <v>0.51</v>
      </c>
      <c r="D360">
        <v>0.28360000000000002</v>
      </c>
      <c r="E360">
        <v>8</v>
      </c>
      <c r="F360">
        <v>71</v>
      </c>
      <c r="G360">
        <v>79</v>
      </c>
    </row>
    <row r="361" spans="1:7" x14ac:dyDescent="0.2">
      <c r="A361">
        <v>360</v>
      </c>
      <c r="B361">
        <v>0.2273</v>
      </c>
      <c r="C361">
        <v>0.44</v>
      </c>
      <c r="D361">
        <v>0.25369999999999998</v>
      </c>
      <c r="E361">
        <v>23</v>
      </c>
      <c r="F361">
        <v>70</v>
      </c>
      <c r="G361">
        <v>93</v>
      </c>
    </row>
    <row r="362" spans="1:7" x14ac:dyDescent="0.2">
      <c r="A362">
        <v>361</v>
      </c>
      <c r="B362">
        <v>0.21210000000000001</v>
      </c>
      <c r="C362">
        <v>0.41</v>
      </c>
      <c r="D362">
        <v>0.28360000000000002</v>
      </c>
      <c r="E362">
        <v>29</v>
      </c>
      <c r="F362">
        <v>75</v>
      </c>
      <c r="G362">
        <v>104</v>
      </c>
    </row>
    <row r="363" spans="1:7" x14ac:dyDescent="0.2">
      <c r="A363">
        <v>362</v>
      </c>
      <c r="B363">
        <v>0.2273</v>
      </c>
      <c r="C363">
        <v>0.35</v>
      </c>
      <c r="D363">
        <v>0.29849999999999999</v>
      </c>
      <c r="E363">
        <v>23</v>
      </c>
      <c r="F363">
        <v>95</v>
      </c>
      <c r="G363">
        <v>118</v>
      </c>
    </row>
    <row r="364" spans="1:7" x14ac:dyDescent="0.2">
      <c r="A364">
        <v>363</v>
      </c>
      <c r="B364">
        <v>0.2727</v>
      </c>
      <c r="C364">
        <v>0.36</v>
      </c>
      <c r="D364">
        <v>0.25369999999999998</v>
      </c>
      <c r="E364">
        <v>22</v>
      </c>
      <c r="F364">
        <v>69</v>
      </c>
      <c r="G364">
        <v>91</v>
      </c>
    </row>
    <row r="365" spans="1:7" x14ac:dyDescent="0.2">
      <c r="A365">
        <v>364</v>
      </c>
      <c r="B365">
        <v>0.2424</v>
      </c>
      <c r="C365">
        <v>0.38</v>
      </c>
      <c r="D365">
        <v>0.25369999999999998</v>
      </c>
      <c r="E365">
        <v>35</v>
      </c>
      <c r="F365">
        <v>78</v>
      </c>
      <c r="G365">
        <v>113</v>
      </c>
    </row>
    <row r="366" spans="1:7" x14ac:dyDescent="0.2">
      <c r="A366">
        <v>365</v>
      </c>
      <c r="B366">
        <v>0.2273</v>
      </c>
      <c r="C366">
        <v>0.38</v>
      </c>
      <c r="D366">
        <v>0.22389999999999999</v>
      </c>
      <c r="E366">
        <v>22</v>
      </c>
      <c r="F366">
        <v>77</v>
      </c>
      <c r="G366">
        <v>99</v>
      </c>
    </row>
    <row r="367" spans="1:7" x14ac:dyDescent="0.2">
      <c r="A367">
        <v>366</v>
      </c>
      <c r="B367">
        <v>0.21210000000000001</v>
      </c>
      <c r="C367">
        <v>0.37</v>
      </c>
      <c r="D367">
        <v>0.25369999999999998</v>
      </c>
      <c r="E367">
        <v>23</v>
      </c>
      <c r="F367">
        <v>82</v>
      </c>
      <c r="G367">
        <v>105</v>
      </c>
    </row>
    <row r="368" spans="1:7" x14ac:dyDescent="0.2">
      <c r="A368">
        <v>367</v>
      </c>
      <c r="B368">
        <v>0.21210000000000001</v>
      </c>
      <c r="C368">
        <v>0.4</v>
      </c>
      <c r="D368">
        <v>0.16420000000000001</v>
      </c>
      <c r="E368">
        <v>11</v>
      </c>
      <c r="F368">
        <v>56</v>
      </c>
      <c r="G368">
        <v>67</v>
      </c>
    </row>
    <row r="369" spans="1:7" x14ac:dyDescent="0.2">
      <c r="A369">
        <v>368</v>
      </c>
      <c r="B369">
        <v>0.19700000000000001</v>
      </c>
      <c r="C369">
        <v>0.47</v>
      </c>
      <c r="D369">
        <v>0.1343</v>
      </c>
      <c r="E369">
        <v>14</v>
      </c>
      <c r="F369">
        <v>47</v>
      </c>
      <c r="G369">
        <v>61</v>
      </c>
    </row>
    <row r="370" spans="1:7" x14ac:dyDescent="0.2">
      <c r="A370">
        <v>369</v>
      </c>
      <c r="B370">
        <v>0.19700000000000001</v>
      </c>
      <c r="C370">
        <v>0.47</v>
      </c>
      <c r="D370">
        <v>0.16420000000000001</v>
      </c>
      <c r="E370">
        <v>7</v>
      </c>
      <c r="F370">
        <v>50</v>
      </c>
      <c r="G370">
        <v>57</v>
      </c>
    </row>
    <row r="371" spans="1:7" x14ac:dyDescent="0.2">
      <c r="A371">
        <v>370</v>
      </c>
      <c r="B371">
        <v>0.19700000000000001</v>
      </c>
      <c r="C371">
        <v>0.51</v>
      </c>
      <c r="D371">
        <v>0.16420000000000001</v>
      </c>
      <c r="E371">
        <v>6</v>
      </c>
      <c r="F371">
        <v>22</v>
      </c>
      <c r="G371">
        <v>28</v>
      </c>
    </row>
    <row r="372" spans="1:7" x14ac:dyDescent="0.2">
      <c r="A372">
        <v>371</v>
      </c>
      <c r="B372">
        <v>0.21210000000000001</v>
      </c>
      <c r="C372">
        <v>0.49</v>
      </c>
      <c r="D372">
        <v>0.1343</v>
      </c>
      <c r="E372">
        <v>2</v>
      </c>
      <c r="F372">
        <v>19</v>
      </c>
      <c r="G372">
        <v>21</v>
      </c>
    </row>
    <row r="373" spans="1:7" x14ac:dyDescent="0.2">
      <c r="A373">
        <v>372</v>
      </c>
      <c r="B373">
        <v>0.2273</v>
      </c>
      <c r="C373">
        <v>0.4</v>
      </c>
      <c r="D373">
        <v>0.1045</v>
      </c>
      <c r="E373">
        <v>0</v>
      </c>
      <c r="F373">
        <v>18</v>
      </c>
      <c r="G373">
        <v>18</v>
      </c>
    </row>
    <row r="374" spans="1:7" x14ac:dyDescent="0.2">
      <c r="A374">
        <v>373</v>
      </c>
      <c r="B374">
        <v>0.19700000000000001</v>
      </c>
      <c r="C374">
        <v>0.47</v>
      </c>
      <c r="D374">
        <v>0.22389999999999999</v>
      </c>
      <c r="E374">
        <v>1</v>
      </c>
      <c r="F374">
        <v>16</v>
      </c>
      <c r="G374">
        <v>17</v>
      </c>
    </row>
    <row r="375" spans="1:7" x14ac:dyDescent="0.2">
      <c r="A375">
        <v>374</v>
      </c>
      <c r="B375">
        <v>0.19700000000000001</v>
      </c>
      <c r="C375">
        <v>0.44</v>
      </c>
      <c r="D375">
        <v>0.19400000000000001</v>
      </c>
      <c r="E375">
        <v>1</v>
      </c>
      <c r="F375">
        <v>15</v>
      </c>
      <c r="G375">
        <v>16</v>
      </c>
    </row>
    <row r="376" spans="1:7" x14ac:dyDescent="0.2">
      <c r="A376">
        <v>375</v>
      </c>
      <c r="B376">
        <v>0.16669999999999999</v>
      </c>
      <c r="C376">
        <v>0.43</v>
      </c>
      <c r="D376">
        <v>0.25369999999999998</v>
      </c>
      <c r="E376">
        <v>0</v>
      </c>
      <c r="F376">
        <v>8</v>
      </c>
      <c r="G376">
        <v>8</v>
      </c>
    </row>
    <row r="377" spans="1:7" x14ac:dyDescent="0.2">
      <c r="A377">
        <v>376</v>
      </c>
      <c r="B377">
        <v>0.18179999999999999</v>
      </c>
      <c r="C377">
        <v>0.43</v>
      </c>
      <c r="D377">
        <v>0.19400000000000001</v>
      </c>
      <c r="E377">
        <v>0</v>
      </c>
      <c r="F377">
        <v>2</v>
      </c>
      <c r="G377">
        <v>2</v>
      </c>
    </row>
    <row r="378" spans="1:7" x14ac:dyDescent="0.2">
      <c r="A378">
        <v>377</v>
      </c>
      <c r="B378">
        <v>0.19700000000000001</v>
      </c>
      <c r="C378">
        <v>0.43</v>
      </c>
      <c r="D378">
        <v>0.1343</v>
      </c>
      <c r="E378">
        <v>1</v>
      </c>
      <c r="F378">
        <v>2</v>
      </c>
      <c r="G378">
        <v>3</v>
      </c>
    </row>
    <row r="379" spans="1:7" x14ac:dyDescent="0.2">
      <c r="A379">
        <v>378</v>
      </c>
      <c r="B379">
        <v>0.19700000000000001</v>
      </c>
      <c r="C379">
        <v>0.43</v>
      </c>
      <c r="D379">
        <v>0.16420000000000001</v>
      </c>
      <c r="E379">
        <v>0</v>
      </c>
      <c r="F379">
        <v>1</v>
      </c>
      <c r="G379">
        <v>1</v>
      </c>
    </row>
    <row r="380" spans="1:7" x14ac:dyDescent="0.2">
      <c r="A380">
        <v>379</v>
      </c>
      <c r="B380">
        <v>0.18179999999999999</v>
      </c>
      <c r="C380">
        <v>0.43</v>
      </c>
      <c r="D380">
        <v>0.19400000000000001</v>
      </c>
      <c r="E380">
        <v>0</v>
      </c>
      <c r="F380">
        <v>5</v>
      </c>
      <c r="G380">
        <v>5</v>
      </c>
    </row>
    <row r="381" spans="1:7" x14ac:dyDescent="0.2">
      <c r="A381">
        <v>380</v>
      </c>
      <c r="B381">
        <v>0.18179999999999999</v>
      </c>
      <c r="C381">
        <v>0.5</v>
      </c>
      <c r="D381">
        <v>0.1343</v>
      </c>
      <c r="E381">
        <v>4</v>
      </c>
      <c r="F381">
        <v>9</v>
      </c>
      <c r="G381">
        <v>13</v>
      </c>
    </row>
    <row r="382" spans="1:7" x14ac:dyDescent="0.2">
      <c r="A382">
        <v>381</v>
      </c>
      <c r="B382">
        <v>0.1515</v>
      </c>
      <c r="C382">
        <v>0.47</v>
      </c>
      <c r="D382">
        <v>0.22389999999999999</v>
      </c>
      <c r="E382">
        <v>3</v>
      </c>
      <c r="F382">
        <v>30</v>
      </c>
      <c r="G382">
        <v>33</v>
      </c>
    </row>
    <row r="383" spans="1:7" x14ac:dyDescent="0.2">
      <c r="A383">
        <v>382</v>
      </c>
      <c r="B383">
        <v>0.1515</v>
      </c>
      <c r="C383">
        <v>0.47</v>
      </c>
      <c r="D383">
        <v>0.22389999999999999</v>
      </c>
      <c r="E383">
        <v>8</v>
      </c>
      <c r="F383">
        <v>39</v>
      </c>
      <c r="G383">
        <v>47</v>
      </c>
    </row>
    <row r="384" spans="1:7" x14ac:dyDescent="0.2">
      <c r="A384">
        <v>383</v>
      </c>
      <c r="B384">
        <v>0.1515</v>
      </c>
      <c r="C384">
        <v>0.5</v>
      </c>
      <c r="D384">
        <v>0.25369999999999998</v>
      </c>
      <c r="E384">
        <v>7</v>
      </c>
      <c r="F384">
        <v>50</v>
      </c>
      <c r="G384">
        <v>57</v>
      </c>
    </row>
    <row r="385" spans="1:7" x14ac:dyDescent="0.2">
      <c r="A385">
        <v>384</v>
      </c>
      <c r="B385">
        <v>0.1515</v>
      </c>
      <c r="C385">
        <v>0.55000000000000004</v>
      </c>
      <c r="D385">
        <v>0.19400000000000001</v>
      </c>
      <c r="E385">
        <v>9</v>
      </c>
      <c r="F385">
        <v>55</v>
      </c>
      <c r="G385">
        <v>64</v>
      </c>
    </row>
    <row r="386" spans="1:7" x14ac:dyDescent="0.2">
      <c r="A386">
        <v>385</v>
      </c>
      <c r="B386">
        <v>0.19700000000000001</v>
      </c>
      <c r="C386">
        <v>0.47</v>
      </c>
      <c r="D386">
        <v>0.1343</v>
      </c>
      <c r="E386">
        <v>10</v>
      </c>
      <c r="F386">
        <v>70</v>
      </c>
      <c r="G386">
        <v>80</v>
      </c>
    </row>
    <row r="387" spans="1:7" x14ac:dyDescent="0.2">
      <c r="A387">
        <v>386</v>
      </c>
      <c r="B387">
        <v>0.19700000000000001</v>
      </c>
      <c r="C387">
        <v>0.47</v>
      </c>
      <c r="D387">
        <v>0.1343</v>
      </c>
      <c r="E387">
        <v>13</v>
      </c>
      <c r="F387">
        <v>80</v>
      </c>
      <c r="G387">
        <v>93</v>
      </c>
    </row>
    <row r="388" spans="1:7" x14ac:dyDescent="0.2">
      <c r="A388">
        <v>387</v>
      </c>
      <c r="B388">
        <v>0.21210000000000001</v>
      </c>
      <c r="C388">
        <v>0.43</v>
      </c>
      <c r="D388">
        <v>0.1045</v>
      </c>
      <c r="E388">
        <v>12</v>
      </c>
      <c r="F388">
        <v>74</v>
      </c>
      <c r="G388">
        <v>86</v>
      </c>
    </row>
    <row r="389" spans="1:7" x14ac:dyDescent="0.2">
      <c r="A389">
        <v>388</v>
      </c>
      <c r="B389">
        <v>0.21210000000000001</v>
      </c>
      <c r="C389">
        <v>0.47</v>
      </c>
      <c r="D389">
        <v>0.16420000000000001</v>
      </c>
      <c r="E389">
        <v>21</v>
      </c>
      <c r="F389">
        <v>72</v>
      </c>
      <c r="G389">
        <v>93</v>
      </c>
    </row>
    <row r="390" spans="1:7" x14ac:dyDescent="0.2">
      <c r="A390">
        <v>389</v>
      </c>
      <c r="B390">
        <v>0.21210000000000001</v>
      </c>
      <c r="C390">
        <v>0.47</v>
      </c>
      <c r="D390">
        <v>0.16420000000000001</v>
      </c>
      <c r="E390">
        <v>6</v>
      </c>
      <c r="F390">
        <v>76</v>
      </c>
      <c r="G390">
        <v>82</v>
      </c>
    </row>
    <row r="391" spans="1:7" x14ac:dyDescent="0.2">
      <c r="A391">
        <v>390</v>
      </c>
      <c r="B391">
        <v>0.19700000000000001</v>
      </c>
      <c r="C391">
        <v>0.51</v>
      </c>
      <c r="D391">
        <v>0.19400000000000001</v>
      </c>
      <c r="E391">
        <v>4</v>
      </c>
      <c r="F391">
        <v>67</v>
      </c>
      <c r="G391">
        <v>71</v>
      </c>
    </row>
    <row r="392" spans="1:7" x14ac:dyDescent="0.2">
      <c r="A392">
        <v>391</v>
      </c>
      <c r="B392">
        <v>0.16669999999999999</v>
      </c>
      <c r="C392">
        <v>0.55000000000000004</v>
      </c>
      <c r="D392">
        <v>0.25369999999999998</v>
      </c>
      <c r="E392">
        <v>7</v>
      </c>
      <c r="F392">
        <v>85</v>
      </c>
      <c r="G392">
        <v>92</v>
      </c>
    </row>
    <row r="393" spans="1:7" x14ac:dyDescent="0.2">
      <c r="A393">
        <v>392</v>
      </c>
      <c r="B393">
        <v>0.18179999999999999</v>
      </c>
      <c r="C393">
        <v>0.59</v>
      </c>
      <c r="D393">
        <v>0.19400000000000001</v>
      </c>
      <c r="E393">
        <v>2</v>
      </c>
      <c r="F393">
        <v>58</v>
      </c>
      <c r="G393">
        <v>60</v>
      </c>
    </row>
    <row r="394" spans="1:7" x14ac:dyDescent="0.2">
      <c r="A394">
        <v>393</v>
      </c>
      <c r="B394">
        <v>0.1515</v>
      </c>
      <c r="C394">
        <v>0.8</v>
      </c>
      <c r="D394">
        <v>0.19400000000000001</v>
      </c>
      <c r="E394">
        <v>4</v>
      </c>
      <c r="F394">
        <v>29</v>
      </c>
      <c r="G394">
        <v>33</v>
      </c>
    </row>
    <row r="395" spans="1:7" x14ac:dyDescent="0.2">
      <c r="A395">
        <v>394</v>
      </c>
      <c r="B395">
        <v>0.1515</v>
      </c>
      <c r="C395">
        <v>0.8</v>
      </c>
      <c r="D395">
        <v>0.19400000000000001</v>
      </c>
      <c r="E395">
        <v>3</v>
      </c>
      <c r="F395">
        <v>24</v>
      </c>
      <c r="G395">
        <v>27</v>
      </c>
    </row>
    <row r="396" spans="1:7" x14ac:dyDescent="0.2">
      <c r="A396">
        <v>395</v>
      </c>
      <c r="B396">
        <v>0.1212</v>
      </c>
      <c r="C396">
        <v>0.93</v>
      </c>
      <c r="D396">
        <v>0.25369999999999998</v>
      </c>
      <c r="E396">
        <v>0</v>
      </c>
      <c r="F396">
        <v>13</v>
      </c>
      <c r="G396">
        <v>13</v>
      </c>
    </row>
    <row r="397" spans="1:7" x14ac:dyDescent="0.2">
      <c r="A397">
        <v>396</v>
      </c>
      <c r="B397">
        <v>0.13639999999999999</v>
      </c>
      <c r="C397">
        <v>0.86</v>
      </c>
      <c r="D397">
        <v>0.28360000000000002</v>
      </c>
      <c r="E397">
        <v>1</v>
      </c>
      <c r="F397">
        <v>3</v>
      </c>
      <c r="G397">
        <v>4</v>
      </c>
    </row>
    <row r="398" spans="1:7" x14ac:dyDescent="0.2">
      <c r="A398">
        <v>397</v>
      </c>
      <c r="B398">
        <v>0.18179999999999999</v>
      </c>
      <c r="C398">
        <v>0.86</v>
      </c>
      <c r="D398">
        <v>0.32840000000000003</v>
      </c>
      <c r="E398">
        <v>0</v>
      </c>
      <c r="F398">
        <v>3</v>
      </c>
      <c r="G398">
        <v>3</v>
      </c>
    </row>
    <row r="399" spans="1:7" x14ac:dyDescent="0.2">
      <c r="A399">
        <v>398</v>
      </c>
      <c r="B399">
        <v>0.19700000000000001</v>
      </c>
      <c r="C399">
        <v>0.86</v>
      </c>
      <c r="D399">
        <v>0.22389999999999999</v>
      </c>
      <c r="E399">
        <v>0</v>
      </c>
      <c r="F399">
        <v>22</v>
      </c>
      <c r="G399">
        <v>22</v>
      </c>
    </row>
    <row r="400" spans="1:7" x14ac:dyDescent="0.2">
      <c r="A400">
        <v>399</v>
      </c>
      <c r="B400">
        <v>0.2273</v>
      </c>
      <c r="C400">
        <v>0.8</v>
      </c>
      <c r="D400">
        <v>0.16420000000000001</v>
      </c>
      <c r="E400">
        <v>2</v>
      </c>
      <c r="F400">
        <v>26</v>
      </c>
      <c r="G400">
        <v>28</v>
      </c>
    </row>
    <row r="401" spans="1:7" x14ac:dyDescent="0.2">
      <c r="A401">
        <v>400</v>
      </c>
      <c r="B401">
        <v>0.2273</v>
      </c>
      <c r="C401">
        <v>0.87</v>
      </c>
      <c r="D401">
        <v>0.16420000000000001</v>
      </c>
      <c r="E401">
        <v>3</v>
      </c>
      <c r="F401">
        <v>32</v>
      </c>
      <c r="G401">
        <v>35</v>
      </c>
    </row>
    <row r="402" spans="1:7" x14ac:dyDescent="0.2">
      <c r="A402">
        <v>401</v>
      </c>
      <c r="B402">
        <v>0.2273</v>
      </c>
      <c r="C402">
        <v>0.87</v>
      </c>
      <c r="D402">
        <v>0.19400000000000001</v>
      </c>
      <c r="E402">
        <v>0</v>
      </c>
      <c r="F402">
        <v>61</v>
      </c>
      <c r="G402">
        <v>61</v>
      </c>
    </row>
    <row r="403" spans="1:7" x14ac:dyDescent="0.2">
      <c r="A403">
        <v>402</v>
      </c>
      <c r="B403">
        <v>0.2273</v>
      </c>
      <c r="C403">
        <v>0.82</v>
      </c>
      <c r="D403">
        <v>0.19400000000000001</v>
      </c>
      <c r="E403">
        <v>1</v>
      </c>
      <c r="F403">
        <v>124</v>
      </c>
      <c r="G403">
        <v>125</v>
      </c>
    </row>
    <row r="404" spans="1:7" x14ac:dyDescent="0.2">
      <c r="A404">
        <v>403</v>
      </c>
      <c r="B404">
        <v>0.2273</v>
      </c>
      <c r="C404">
        <v>0.8</v>
      </c>
      <c r="D404">
        <v>0.16420000000000001</v>
      </c>
      <c r="E404">
        <v>1</v>
      </c>
      <c r="F404">
        <v>132</v>
      </c>
      <c r="G404">
        <v>133</v>
      </c>
    </row>
    <row r="405" spans="1:7" x14ac:dyDescent="0.2">
      <c r="A405">
        <v>404</v>
      </c>
      <c r="B405">
        <v>0.2273</v>
      </c>
      <c r="C405">
        <v>0.8</v>
      </c>
      <c r="D405">
        <v>0.1343</v>
      </c>
      <c r="E405">
        <v>1</v>
      </c>
      <c r="F405">
        <v>98</v>
      </c>
      <c r="G405">
        <v>99</v>
      </c>
    </row>
    <row r="406" spans="1:7" x14ac:dyDescent="0.2">
      <c r="A406">
        <v>405</v>
      </c>
      <c r="B406">
        <v>0.2727</v>
      </c>
      <c r="C406">
        <v>0.87</v>
      </c>
      <c r="D406">
        <v>0</v>
      </c>
      <c r="E406">
        <v>0</v>
      </c>
      <c r="F406">
        <v>83</v>
      </c>
      <c r="G406">
        <v>83</v>
      </c>
    </row>
    <row r="407" spans="1:7" x14ac:dyDescent="0.2">
      <c r="A407">
        <v>406</v>
      </c>
      <c r="B407">
        <v>0.2424</v>
      </c>
      <c r="C407">
        <v>0.93</v>
      </c>
      <c r="D407">
        <v>0.1045</v>
      </c>
      <c r="E407">
        <v>0</v>
      </c>
      <c r="F407">
        <v>41</v>
      </c>
      <c r="G407">
        <v>41</v>
      </c>
    </row>
    <row r="408" spans="1:7" x14ac:dyDescent="0.2">
      <c r="A408">
        <v>407</v>
      </c>
      <c r="B408">
        <v>0.2576</v>
      </c>
      <c r="C408">
        <v>0.93</v>
      </c>
      <c r="D408">
        <v>8.9599999999999999E-2</v>
      </c>
      <c r="E408">
        <v>0</v>
      </c>
      <c r="F408">
        <v>33</v>
      </c>
      <c r="G408">
        <v>33</v>
      </c>
    </row>
    <row r="409" spans="1:7" x14ac:dyDescent="0.2">
      <c r="A409">
        <v>408</v>
      </c>
      <c r="B409">
        <v>0.2727</v>
      </c>
      <c r="C409">
        <v>0.93</v>
      </c>
      <c r="D409">
        <v>0</v>
      </c>
      <c r="E409">
        <v>1</v>
      </c>
      <c r="F409">
        <v>19</v>
      </c>
      <c r="G409">
        <v>20</v>
      </c>
    </row>
    <row r="410" spans="1:7" x14ac:dyDescent="0.2">
      <c r="A410">
        <v>409</v>
      </c>
      <c r="B410">
        <v>0.2727</v>
      </c>
      <c r="C410">
        <v>0.93</v>
      </c>
      <c r="D410">
        <v>0</v>
      </c>
      <c r="E410">
        <v>0</v>
      </c>
      <c r="F410">
        <v>3</v>
      </c>
      <c r="G410">
        <v>3</v>
      </c>
    </row>
    <row r="411" spans="1:7" x14ac:dyDescent="0.2">
      <c r="A411">
        <v>410</v>
      </c>
      <c r="B411">
        <v>0.2273</v>
      </c>
      <c r="C411">
        <v>0.93</v>
      </c>
      <c r="D411">
        <v>0.1343</v>
      </c>
      <c r="E411">
        <v>1</v>
      </c>
      <c r="F411">
        <v>6</v>
      </c>
      <c r="G411">
        <v>7</v>
      </c>
    </row>
    <row r="412" spans="1:7" x14ac:dyDescent="0.2">
      <c r="A412">
        <v>411</v>
      </c>
      <c r="B412">
        <v>0.2273</v>
      </c>
      <c r="C412">
        <v>0.93</v>
      </c>
      <c r="D412">
        <v>0.1343</v>
      </c>
      <c r="E412">
        <v>0</v>
      </c>
      <c r="F412">
        <v>3</v>
      </c>
      <c r="G412">
        <v>3</v>
      </c>
    </row>
    <row r="413" spans="1:7" x14ac:dyDescent="0.2">
      <c r="A413">
        <v>412</v>
      </c>
      <c r="B413">
        <v>0.2273</v>
      </c>
      <c r="C413">
        <v>0.93</v>
      </c>
      <c r="D413">
        <v>0.1343</v>
      </c>
      <c r="E413">
        <v>1</v>
      </c>
      <c r="F413">
        <v>1</v>
      </c>
      <c r="G413">
        <v>2</v>
      </c>
    </row>
    <row r="414" spans="1:7" x14ac:dyDescent="0.2">
      <c r="A414">
        <v>413</v>
      </c>
      <c r="B414">
        <v>0.2576</v>
      </c>
      <c r="C414">
        <v>0.93</v>
      </c>
      <c r="D414">
        <v>8.9599999999999999E-2</v>
      </c>
      <c r="E414">
        <v>0</v>
      </c>
      <c r="F414">
        <v>7</v>
      </c>
      <c r="G414">
        <v>7</v>
      </c>
    </row>
    <row r="415" spans="1:7" x14ac:dyDescent="0.2">
      <c r="A415">
        <v>414</v>
      </c>
      <c r="B415">
        <v>0.2576</v>
      </c>
      <c r="C415">
        <v>0.93</v>
      </c>
      <c r="D415">
        <v>8.9599999999999999E-2</v>
      </c>
      <c r="E415">
        <v>0</v>
      </c>
      <c r="F415">
        <v>32</v>
      </c>
      <c r="G415">
        <v>32</v>
      </c>
    </row>
    <row r="416" spans="1:7" x14ac:dyDescent="0.2">
      <c r="A416">
        <v>415</v>
      </c>
      <c r="B416">
        <v>0.2576</v>
      </c>
      <c r="C416">
        <v>0.92</v>
      </c>
      <c r="D416">
        <v>0.1045</v>
      </c>
      <c r="E416">
        <v>1</v>
      </c>
      <c r="F416">
        <v>89</v>
      </c>
      <c r="G416">
        <v>90</v>
      </c>
    </row>
    <row r="417" spans="1:7" x14ac:dyDescent="0.2">
      <c r="A417">
        <v>416</v>
      </c>
      <c r="B417">
        <v>0.2576</v>
      </c>
      <c r="C417">
        <v>0.93</v>
      </c>
      <c r="D417">
        <v>0.1045</v>
      </c>
      <c r="E417">
        <v>1</v>
      </c>
      <c r="F417">
        <v>196</v>
      </c>
      <c r="G417">
        <v>197</v>
      </c>
    </row>
    <row r="418" spans="1:7" x14ac:dyDescent="0.2">
      <c r="A418">
        <v>417</v>
      </c>
      <c r="B418">
        <v>0.2576</v>
      </c>
      <c r="C418">
        <v>0.93</v>
      </c>
      <c r="D418">
        <v>0.1045</v>
      </c>
      <c r="E418">
        <v>2</v>
      </c>
      <c r="F418">
        <v>107</v>
      </c>
      <c r="G418">
        <v>109</v>
      </c>
    </row>
    <row r="419" spans="1:7" x14ac:dyDescent="0.2">
      <c r="A419">
        <v>418</v>
      </c>
      <c r="B419">
        <v>0.2727</v>
      </c>
      <c r="C419">
        <v>0.93</v>
      </c>
      <c r="D419">
        <v>0.1343</v>
      </c>
      <c r="E419">
        <v>1</v>
      </c>
      <c r="F419">
        <v>46</v>
      </c>
      <c r="G419">
        <v>47</v>
      </c>
    </row>
    <row r="420" spans="1:7" x14ac:dyDescent="0.2">
      <c r="A420">
        <v>419</v>
      </c>
      <c r="B420">
        <v>0.30299999999999999</v>
      </c>
      <c r="C420">
        <v>0.87</v>
      </c>
      <c r="D420">
        <v>8.9599999999999999E-2</v>
      </c>
      <c r="E420">
        <v>5</v>
      </c>
      <c r="F420">
        <v>47</v>
      </c>
      <c r="G420">
        <v>52</v>
      </c>
    </row>
    <row r="421" spans="1:7" x14ac:dyDescent="0.2">
      <c r="A421">
        <v>420</v>
      </c>
      <c r="B421">
        <v>0.31819999999999998</v>
      </c>
      <c r="C421">
        <v>0.81</v>
      </c>
      <c r="D421">
        <v>8.9599999999999999E-2</v>
      </c>
      <c r="E421">
        <v>5</v>
      </c>
      <c r="F421">
        <v>65</v>
      </c>
      <c r="G421">
        <v>70</v>
      </c>
    </row>
    <row r="422" spans="1:7" x14ac:dyDescent="0.2">
      <c r="A422">
        <v>421</v>
      </c>
      <c r="B422">
        <v>0.40910000000000002</v>
      </c>
      <c r="C422">
        <v>0.62</v>
      </c>
      <c r="D422">
        <v>0.28360000000000002</v>
      </c>
      <c r="E422">
        <v>11</v>
      </c>
      <c r="F422">
        <v>67</v>
      </c>
      <c r="G422">
        <v>78</v>
      </c>
    </row>
    <row r="423" spans="1:7" x14ac:dyDescent="0.2">
      <c r="A423">
        <v>422</v>
      </c>
      <c r="B423">
        <v>0.40910000000000002</v>
      </c>
      <c r="C423">
        <v>0.57999999999999996</v>
      </c>
      <c r="D423">
        <v>0.25369999999999998</v>
      </c>
      <c r="E423">
        <v>7</v>
      </c>
      <c r="F423">
        <v>68</v>
      </c>
      <c r="G423">
        <v>75</v>
      </c>
    </row>
    <row r="424" spans="1:7" x14ac:dyDescent="0.2">
      <c r="A424">
        <v>423</v>
      </c>
      <c r="B424">
        <v>0.40910000000000002</v>
      </c>
      <c r="C424">
        <v>0.54</v>
      </c>
      <c r="D424">
        <v>0.28360000000000002</v>
      </c>
      <c r="E424">
        <v>4</v>
      </c>
      <c r="F424">
        <v>78</v>
      </c>
      <c r="G424">
        <v>82</v>
      </c>
    </row>
    <row r="425" spans="1:7" x14ac:dyDescent="0.2">
      <c r="A425">
        <v>424</v>
      </c>
      <c r="B425">
        <v>0.39389999999999997</v>
      </c>
      <c r="C425">
        <v>0.57999999999999996</v>
      </c>
      <c r="D425">
        <v>0.3881</v>
      </c>
      <c r="E425">
        <v>10</v>
      </c>
      <c r="F425">
        <v>94</v>
      </c>
      <c r="G425">
        <v>104</v>
      </c>
    </row>
    <row r="426" spans="1:7" x14ac:dyDescent="0.2">
      <c r="A426">
        <v>425</v>
      </c>
      <c r="B426">
        <v>0.33329999999999999</v>
      </c>
      <c r="C426">
        <v>0.56999999999999995</v>
      </c>
      <c r="D426">
        <v>0.32840000000000003</v>
      </c>
      <c r="E426">
        <v>7</v>
      </c>
      <c r="F426">
        <v>190</v>
      </c>
      <c r="G426">
        <v>197</v>
      </c>
    </row>
    <row r="427" spans="1:7" x14ac:dyDescent="0.2">
      <c r="A427">
        <v>426</v>
      </c>
      <c r="B427">
        <v>0.31819999999999998</v>
      </c>
      <c r="C427">
        <v>0.61</v>
      </c>
      <c r="D427">
        <v>0.28360000000000002</v>
      </c>
      <c r="E427">
        <v>5</v>
      </c>
      <c r="F427">
        <v>156</v>
      </c>
      <c r="G427">
        <v>161</v>
      </c>
    </row>
    <row r="428" spans="1:7" x14ac:dyDescent="0.2">
      <c r="A428">
        <v>427</v>
      </c>
      <c r="B428">
        <v>0.28789999999999999</v>
      </c>
      <c r="C428">
        <v>0.56999999999999995</v>
      </c>
      <c r="D428">
        <v>0.41789999999999999</v>
      </c>
      <c r="E428">
        <v>4</v>
      </c>
      <c r="F428">
        <v>108</v>
      </c>
      <c r="G428">
        <v>112</v>
      </c>
    </row>
    <row r="429" spans="1:7" x14ac:dyDescent="0.2">
      <c r="A429">
        <v>428</v>
      </c>
      <c r="B429">
        <v>0.30299999999999999</v>
      </c>
      <c r="C429">
        <v>0.49</v>
      </c>
      <c r="D429">
        <v>0.29849999999999999</v>
      </c>
      <c r="E429">
        <v>2</v>
      </c>
      <c r="F429">
        <v>74</v>
      </c>
      <c r="G429">
        <v>76</v>
      </c>
    </row>
    <row r="430" spans="1:7" x14ac:dyDescent="0.2">
      <c r="A430">
        <v>429</v>
      </c>
      <c r="B430">
        <v>0.28789999999999999</v>
      </c>
      <c r="C430">
        <v>0.49</v>
      </c>
      <c r="D430">
        <v>0.41789999999999999</v>
      </c>
      <c r="E430">
        <v>4</v>
      </c>
      <c r="F430">
        <v>55</v>
      </c>
      <c r="G430">
        <v>59</v>
      </c>
    </row>
    <row r="431" spans="1:7" x14ac:dyDescent="0.2">
      <c r="A431">
        <v>430</v>
      </c>
      <c r="B431">
        <v>0.30299999999999999</v>
      </c>
      <c r="C431">
        <v>0.52</v>
      </c>
      <c r="D431">
        <v>0.16420000000000001</v>
      </c>
      <c r="E431">
        <v>6</v>
      </c>
      <c r="F431">
        <v>53</v>
      </c>
      <c r="G431">
        <v>59</v>
      </c>
    </row>
    <row r="432" spans="1:7" x14ac:dyDescent="0.2">
      <c r="A432">
        <v>431</v>
      </c>
      <c r="B432">
        <v>0.2727</v>
      </c>
      <c r="C432">
        <v>0.52</v>
      </c>
      <c r="D432">
        <v>0.4627</v>
      </c>
      <c r="E432">
        <v>1</v>
      </c>
      <c r="F432">
        <v>27</v>
      </c>
      <c r="G432">
        <v>28</v>
      </c>
    </row>
    <row r="433" spans="1:7" x14ac:dyDescent="0.2">
      <c r="A433">
        <v>432</v>
      </c>
      <c r="B433">
        <v>0.2273</v>
      </c>
      <c r="C433">
        <v>0.56000000000000005</v>
      </c>
      <c r="D433">
        <v>0.3881</v>
      </c>
      <c r="E433">
        <v>5</v>
      </c>
      <c r="F433">
        <v>8</v>
      </c>
      <c r="G433">
        <v>13</v>
      </c>
    </row>
    <row r="434" spans="1:7" x14ac:dyDescent="0.2">
      <c r="A434">
        <v>433</v>
      </c>
      <c r="B434">
        <v>0.2727</v>
      </c>
      <c r="C434">
        <v>0.56000000000000005</v>
      </c>
      <c r="D434">
        <v>0</v>
      </c>
      <c r="E434">
        <v>2</v>
      </c>
      <c r="F434">
        <v>3</v>
      </c>
      <c r="G434">
        <v>5</v>
      </c>
    </row>
    <row r="435" spans="1:7" x14ac:dyDescent="0.2">
      <c r="A435">
        <v>434</v>
      </c>
      <c r="B435">
        <v>0.2727</v>
      </c>
      <c r="C435">
        <v>0.56000000000000005</v>
      </c>
      <c r="D435">
        <v>0</v>
      </c>
      <c r="E435">
        <v>0</v>
      </c>
      <c r="F435">
        <v>2</v>
      </c>
      <c r="G435">
        <v>2</v>
      </c>
    </row>
    <row r="436" spans="1:7" x14ac:dyDescent="0.2">
      <c r="A436">
        <v>435</v>
      </c>
      <c r="B436">
        <v>0.2576</v>
      </c>
      <c r="C436">
        <v>0.56000000000000005</v>
      </c>
      <c r="D436">
        <v>0.16420000000000001</v>
      </c>
      <c r="E436">
        <v>0</v>
      </c>
      <c r="F436">
        <v>1</v>
      </c>
      <c r="G436">
        <v>1</v>
      </c>
    </row>
    <row r="437" spans="1:7" x14ac:dyDescent="0.2">
      <c r="A437">
        <v>436</v>
      </c>
      <c r="B437">
        <v>0.2576</v>
      </c>
      <c r="C437">
        <v>0.56000000000000005</v>
      </c>
      <c r="D437">
        <v>0.16420000000000001</v>
      </c>
      <c r="E437">
        <v>0</v>
      </c>
      <c r="F437">
        <v>1</v>
      </c>
      <c r="G437">
        <v>1</v>
      </c>
    </row>
    <row r="438" spans="1:7" x14ac:dyDescent="0.2">
      <c r="A438">
        <v>437</v>
      </c>
      <c r="B438">
        <v>0.2273</v>
      </c>
      <c r="C438">
        <v>0.6</v>
      </c>
      <c r="D438">
        <v>0.22389999999999999</v>
      </c>
      <c r="E438">
        <v>0</v>
      </c>
      <c r="F438">
        <v>6</v>
      </c>
      <c r="G438">
        <v>6</v>
      </c>
    </row>
    <row r="439" spans="1:7" x14ac:dyDescent="0.2">
      <c r="A439">
        <v>438</v>
      </c>
      <c r="B439">
        <v>0.21210000000000001</v>
      </c>
      <c r="C439">
        <v>0.6</v>
      </c>
      <c r="D439">
        <v>0.22389999999999999</v>
      </c>
      <c r="E439">
        <v>0</v>
      </c>
      <c r="F439">
        <v>35</v>
      </c>
      <c r="G439">
        <v>35</v>
      </c>
    </row>
    <row r="440" spans="1:7" x14ac:dyDescent="0.2">
      <c r="A440">
        <v>439</v>
      </c>
      <c r="B440">
        <v>0.21210000000000001</v>
      </c>
      <c r="C440">
        <v>0.55000000000000004</v>
      </c>
      <c r="D440">
        <v>0.22389999999999999</v>
      </c>
      <c r="E440">
        <v>1</v>
      </c>
      <c r="F440">
        <v>100</v>
      </c>
      <c r="G440">
        <v>101</v>
      </c>
    </row>
    <row r="441" spans="1:7" x14ac:dyDescent="0.2">
      <c r="A441">
        <v>440</v>
      </c>
      <c r="B441">
        <v>0.21210000000000001</v>
      </c>
      <c r="C441">
        <v>0.55000000000000004</v>
      </c>
      <c r="D441">
        <v>0.28360000000000002</v>
      </c>
      <c r="E441">
        <v>2</v>
      </c>
      <c r="F441">
        <v>247</v>
      </c>
      <c r="G441">
        <v>249</v>
      </c>
    </row>
    <row r="442" spans="1:7" x14ac:dyDescent="0.2">
      <c r="A442">
        <v>441</v>
      </c>
      <c r="B442">
        <v>0.2273</v>
      </c>
      <c r="C442">
        <v>0.52</v>
      </c>
      <c r="D442">
        <v>0.22389999999999999</v>
      </c>
      <c r="E442">
        <v>3</v>
      </c>
      <c r="F442">
        <v>140</v>
      </c>
      <c r="G442">
        <v>143</v>
      </c>
    </row>
    <row r="443" spans="1:7" x14ac:dyDescent="0.2">
      <c r="A443">
        <v>442</v>
      </c>
      <c r="B443">
        <v>0.2273</v>
      </c>
      <c r="C443">
        <v>0.48</v>
      </c>
      <c r="D443">
        <v>0.29849999999999999</v>
      </c>
      <c r="E443">
        <v>1</v>
      </c>
      <c r="F443">
        <v>56</v>
      </c>
      <c r="G443">
        <v>57</v>
      </c>
    </row>
    <row r="444" spans="1:7" x14ac:dyDescent="0.2">
      <c r="A444">
        <v>443</v>
      </c>
      <c r="B444">
        <v>0.2727</v>
      </c>
      <c r="C444">
        <v>0.45</v>
      </c>
      <c r="D444">
        <v>0.16420000000000001</v>
      </c>
      <c r="E444">
        <v>5</v>
      </c>
      <c r="F444">
        <v>63</v>
      </c>
      <c r="G444">
        <v>68</v>
      </c>
    </row>
    <row r="445" spans="1:7" x14ac:dyDescent="0.2">
      <c r="A445">
        <v>444</v>
      </c>
      <c r="B445">
        <v>0.33329999999999999</v>
      </c>
      <c r="C445">
        <v>0.42</v>
      </c>
      <c r="D445">
        <v>0</v>
      </c>
      <c r="E445">
        <v>7</v>
      </c>
      <c r="F445">
        <v>77</v>
      </c>
      <c r="G445">
        <v>84</v>
      </c>
    </row>
    <row r="446" spans="1:7" x14ac:dyDescent="0.2">
      <c r="A446">
        <v>445</v>
      </c>
      <c r="B446">
        <v>0.28789999999999999</v>
      </c>
      <c r="C446">
        <v>0.45</v>
      </c>
      <c r="D446">
        <v>0.1045</v>
      </c>
      <c r="E446">
        <v>12</v>
      </c>
      <c r="F446">
        <v>86</v>
      </c>
      <c r="G446">
        <v>98</v>
      </c>
    </row>
    <row r="447" spans="1:7" x14ac:dyDescent="0.2">
      <c r="A447">
        <v>446</v>
      </c>
      <c r="B447">
        <v>0.30299999999999999</v>
      </c>
      <c r="C447">
        <v>0.45</v>
      </c>
      <c r="D447">
        <v>0.1343</v>
      </c>
      <c r="E447">
        <v>6</v>
      </c>
      <c r="F447">
        <v>75</v>
      </c>
      <c r="G447">
        <v>81</v>
      </c>
    </row>
    <row r="448" spans="1:7" x14ac:dyDescent="0.2">
      <c r="A448">
        <v>447</v>
      </c>
      <c r="B448">
        <v>0.31819999999999998</v>
      </c>
      <c r="C448">
        <v>0.45</v>
      </c>
      <c r="D448">
        <v>0.19400000000000001</v>
      </c>
      <c r="E448">
        <v>8</v>
      </c>
      <c r="F448">
        <v>62</v>
      </c>
      <c r="G448">
        <v>70</v>
      </c>
    </row>
    <row r="449" spans="1:7" x14ac:dyDescent="0.2">
      <c r="A449">
        <v>448</v>
      </c>
      <c r="B449">
        <v>0.30299999999999999</v>
      </c>
      <c r="C449">
        <v>0.49</v>
      </c>
      <c r="D449">
        <v>0.1343</v>
      </c>
      <c r="E449">
        <v>8</v>
      </c>
      <c r="F449">
        <v>83</v>
      </c>
      <c r="G449">
        <v>91</v>
      </c>
    </row>
    <row r="450" spans="1:7" x14ac:dyDescent="0.2">
      <c r="A450">
        <v>449</v>
      </c>
      <c r="B450">
        <v>0.31819999999999998</v>
      </c>
      <c r="C450">
        <v>0.49</v>
      </c>
      <c r="D450">
        <v>0.1045</v>
      </c>
      <c r="E450">
        <v>8</v>
      </c>
      <c r="F450">
        <v>207</v>
      </c>
      <c r="G450">
        <v>215</v>
      </c>
    </row>
    <row r="451" spans="1:7" x14ac:dyDescent="0.2">
      <c r="A451">
        <v>450</v>
      </c>
      <c r="B451">
        <v>0.2576</v>
      </c>
      <c r="C451">
        <v>0.56000000000000005</v>
      </c>
      <c r="D451">
        <v>0.19400000000000001</v>
      </c>
      <c r="E451">
        <v>1</v>
      </c>
      <c r="F451">
        <v>184</v>
      </c>
      <c r="G451">
        <v>185</v>
      </c>
    </row>
    <row r="452" spans="1:7" x14ac:dyDescent="0.2">
      <c r="A452">
        <v>451</v>
      </c>
      <c r="B452">
        <v>0.2273</v>
      </c>
      <c r="C452">
        <v>0.56000000000000005</v>
      </c>
      <c r="D452">
        <v>0.32840000000000003</v>
      </c>
      <c r="E452">
        <v>6</v>
      </c>
      <c r="F452">
        <v>146</v>
      </c>
      <c r="G452">
        <v>152</v>
      </c>
    </row>
    <row r="453" spans="1:7" x14ac:dyDescent="0.2">
      <c r="A453">
        <v>452</v>
      </c>
      <c r="B453">
        <v>0.2424</v>
      </c>
      <c r="C453">
        <v>0.6</v>
      </c>
      <c r="D453">
        <v>0.28360000000000002</v>
      </c>
      <c r="E453">
        <v>2</v>
      </c>
      <c r="F453">
        <v>124</v>
      </c>
      <c r="G453">
        <v>126</v>
      </c>
    </row>
    <row r="454" spans="1:7" x14ac:dyDescent="0.2">
      <c r="A454">
        <v>453</v>
      </c>
      <c r="B454">
        <v>0.2273</v>
      </c>
      <c r="C454">
        <v>0.6</v>
      </c>
      <c r="D454">
        <v>0.25369999999999998</v>
      </c>
      <c r="E454">
        <v>3</v>
      </c>
      <c r="F454">
        <v>54</v>
      </c>
      <c r="G454">
        <v>57</v>
      </c>
    </row>
    <row r="455" spans="1:7" x14ac:dyDescent="0.2">
      <c r="A455">
        <v>454</v>
      </c>
      <c r="B455">
        <v>0.21210000000000001</v>
      </c>
      <c r="C455">
        <v>0.65</v>
      </c>
      <c r="D455">
        <v>0.28360000000000002</v>
      </c>
      <c r="E455">
        <v>0</v>
      </c>
      <c r="F455">
        <v>56</v>
      </c>
      <c r="G455">
        <v>56</v>
      </c>
    </row>
    <row r="456" spans="1:7" x14ac:dyDescent="0.2">
      <c r="A456">
        <v>455</v>
      </c>
      <c r="B456">
        <v>0.21210000000000001</v>
      </c>
      <c r="C456">
        <v>0.65</v>
      </c>
      <c r="D456">
        <v>0.32840000000000003</v>
      </c>
      <c r="E456">
        <v>3</v>
      </c>
      <c r="F456">
        <v>28</v>
      </c>
      <c r="G456">
        <v>31</v>
      </c>
    </row>
    <row r="457" spans="1:7" x14ac:dyDescent="0.2">
      <c r="A457">
        <v>456</v>
      </c>
      <c r="B457">
        <v>0.2273</v>
      </c>
      <c r="C457">
        <v>0.7</v>
      </c>
      <c r="D457">
        <v>0.25369999999999998</v>
      </c>
      <c r="E457">
        <v>1</v>
      </c>
      <c r="F457">
        <v>20</v>
      </c>
      <c r="G457">
        <v>21</v>
      </c>
    </row>
    <row r="458" spans="1:7" x14ac:dyDescent="0.2">
      <c r="A458">
        <v>457</v>
      </c>
      <c r="B458">
        <v>0.2273</v>
      </c>
      <c r="C458">
        <v>0.7</v>
      </c>
      <c r="D458">
        <v>0.25369999999999998</v>
      </c>
      <c r="E458">
        <v>0</v>
      </c>
      <c r="F458">
        <v>6</v>
      </c>
      <c r="G458">
        <v>6</v>
      </c>
    </row>
    <row r="459" spans="1:7" x14ac:dyDescent="0.2">
      <c r="A459">
        <v>458</v>
      </c>
      <c r="B459">
        <v>0.2424</v>
      </c>
      <c r="C459">
        <v>0.75</v>
      </c>
      <c r="D459">
        <v>0.16420000000000001</v>
      </c>
      <c r="E459">
        <v>0</v>
      </c>
      <c r="F459">
        <v>2</v>
      </c>
      <c r="G459">
        <v>2</v>
      </c>
    </row>
    <row r="460" spans="1:7" x14ac:dyDescent="0.2">
      <c r="A460">
        <v>459</v>
      </c>
      <c r="B460">
        <v>0.21210000000000001</v>
      </c>
      <c r="C460">
        <v>0.8</v>
      </c>
      <c r="D460">
        <v>0.29849999999999999</v>
      </c>
      <c r="E460">
        <v>0</v>
      </c>
      <c r="F460">
        <v>1</v>
      </c>
      <c r="G460">
        <v>1</v>
      </c>
    </row>
    <row r="461" spans="1:7" x14ac:dyDescent="0.2">
      <c r="A461">
        <v>460</v>
      </c>
      <c r="B461">
        <v>0.2576</v>
      </c>
      <c r="C461">
        <v>0.87</v>
      </c>
      <c r="D461">
        <v>8.9599999999999999E-2</v>
      </c>
      <c r="E461">
        <v>0</v>
      </c>
      <c r="F461">
        <v>1</v>
      </c>
      <c r="G461">
        <v>1</v>
      </c>
    </row>
    <row r="462" spans="1:7" x14ac:dyDescent="0.2">
      <c r="A462">
        <v>461</v>
      </c>
      <c r="B462">
        <v>0.19700000000000001</v>
      </c>
      <c r="C462">
        <v>0.6</v>
      </c>
      <c r="D462">
        <v>0.41789999999999999</v>
      </c>
      <c r="E462">
        <v>1</v>
      </c>
      <c r="F462">
        <v>4</v>
      </c>
      <c r="G462">
        <v>5</v>
      </c>
    </row>
    <row r="463" spans="1:7" x14ac:dyDescent="0.2">
      <c r="A463">
        <v>462</v>
      </c>
      <c r="B463">
        <v>0.21210000000000001</v>
      </c>
      <c r="C463">
        <v>0.55000000000000004</v>
      </c>
      <c r="D463">
        <v>0.25369999999999998</v>
      </c>
      <c r="E463">
        <v>0</v>
      </c>
      <c r="F463">
        <v>27</v>
      </c>
      <c r="G463">
        <v>27</v>
      </c>
    </row>
    <row r="464" spans="1:7" x14ac:dyDescent="0.2">
      <c r="A464">
        <v>463</v>
      </c>
      <c r="B464">
        <v>0.18179999999999999</v>
      </c>
      <c r="C464">
        <v>0.51</v>
      </c>
      <c r="D464">
        <v>0.28360000000000002</v>
      </c>
      <c r="E464">
        <v>2</v>
      </c>
      <c r="F464">
        <v>66</v>
      </c>
      <c r="G464">
        <v>68</v>
      </c>
    </row>
    <row r="465" spans="1:7" x14ac:dyDescent="0.2">
      <c r="A465">
        <v>464</v>
      </c>
      <c r="B465">
        <v>0.18179999999999999</v>
      </c>
      <c r="C465">
        <v>0.47</v>
      </c>
      <c r="D465">
        <v>0.32840000000000003</v>
      </c>
      <c r="E465">
        <v>7</v>
      </c>
      <c r="F465">
        <v>210</v>
      </c>
      <c r="G465">
        <v>217</v>
      </c>
    </row>
    <row r="466" spans="1:7" x14ac:dyDescent="0.2">
      <c r="A466">
        <v>465</v>
      </c>
      <c r="B466">
        <v>0.18179999999999999</v>
      </c>
      <c r="C466">
        <v>0.51</v>
      </c>
      <c r="D466">
        <v>0.35820000000000002</v>
      </c>
      <c r="E466">
        <v>7</v>
      </c>
      <c r="F466">
        <v>159</v>
      </c>
      <c r="G466">
        <v>166</v>
      </c>
    </row>
    <row r="467" spans="1:7" x14ac:dyDescent="0.2">
      <c r="A467">
        <v>466</v>
      </c>
      <c r="B467">
        <v>0.16669999999999999</v>
      </c>
      <c r="C467">
        <v>0.47</v>
      </c>
      <c r="D467">
        <v>0.4627</v>
      </c>
      <c r="E467">
        <v>6</v>
      </c>
      <c r="F467">
        <v>57</v>
      </c>
      <c r="G467">
        <v>63</v>
      </c>
    </row>
    <row r="468" spans="1:7" x14ac:dyDescent="0.2">
      <c r="A468">
        <v>467</v>
      </c>
      <c r="B468">
        <v>0.18179999999999999</v>
      </c>
      <c r="C468">
        <v>0.41</v>
      </c>
      <c r="D468">
        <v>0.4627</v>
      </c>
      <c r="E468">
        <v>6</v>
      </c>
      <c r="F468">
        <v>53</v>
      </c>
      <c r="G468">
        <v>59</v>
      </c>
    </row>
    <row r="469" spans="1:7" x14ac:dyDescent="0.2">
      <c r="A469">
        <v>468</v>
      </c>
      <c r="B469">
        <v>0.18179999999999999</v>
      </c>
      <c r="C469">
        <v>0.27</v>
      </c>
      <c r="D469">
        <v>0.58209999999999995</v>
      </c>
      <c r="E469">
        <v>11</v>
      </c>
      <c r="F469">
        <v>67</v>
      </c>
      <c r="G469">
        <v>78</v>
      </c>
    </row>
    <row r="470" spans="1:7" x14ac:dyDescent="0.2">
      <c r="A470">
        <v>469</v>
      </c>
      <c r="B470">
        <v>0.1515</v>
      </c>
      <c r="C470">
        <v>0.21</v>
      </c>
      <c r="D470">
        <v>0.58209999999999995</v>
      </c>
      <c r="E470">
        <v>8</v>
      </c>
      <c r="F470">
        <v>65</v>
      </c>
      <c r="G470">
        <v>73</v>
      </c>
    </row>
    <row r="471" spans="1:7" x14ac:dyDescent="0.2">
      <c r="A471">
        <v>470</v>
      </c>
      <c r="B471">
        <v>0.1515</v>
      </c>
      <c r="C471">
        <v>0.25</v>
      </c>
      <c r="D471">
        <v>0.52239999999999998</v>
      </c>
      <c r="E471">
        <v>6</v>
      </c>
      <c r="F471">
        <v>56</v>
      </c>
      <c r="G471">
        <v>62</v>
      </c>
    </row>
    <row r="472" spans="1:7" x14ac:dyDescent="0.2">
      <c r="A472">
        <v>471</v>
      </c>
      <c r="B472">
        <v>0.1212</v>
      </c>
      <c r="C472">
        <v>0.26</v>
      </c>
      <c r="D472">
        <v>0.44779999999999998</v>
      </c>
      <c r="E472">
        <v>4</v>
      </c>
      <c r="F472">
        <v>61</v>
      </c>
      <c r="G472">
        <v>65</v>
      </c>
    </row>
    <row r="473" spans="1:7" x14ac:dyDescent="0.2">
      <c r="A473">
        <v>472</v>
      </c>
      <c r="B473">
        <v>0.13639999999999999</v>
      </c>
      <c r="C473">
        <v>0.26</v>
      </c>
      <c r="D473">
        <v>0.35820000000000002</v>
      </c>
      <c r="E473">
        <v>0</v>
      </c>
      <c r="F473">
        <v>97</v>
      </c>
      <c r="G473">
        <v>97</v>
      </c>
    </row>
    <row r="474" spans="1:7" x14ac:dyDescent="0.2">
      <c r="A474">
        <v>473</v>
      </c>
      <c r="B474">
        <v>0.1212</v>
      </c>
      <c r="C474">
        <v>0.28000000000000003</v>
      </c>
      <c r="D474">
        <v>0.35820000000000002</v>
      </c>
      <c r="E474">
        <v>10</v>
      </c>
      <c r="F474">
        <v>151</v>
      </c>
      <c r="G474">
        <v>161</v>
      </c>
    </row>
    <row r="475" spans="1:7" x14ac:dyDescent="0.2">
      <c r="A475">
        <v>474</v>
      </c>
      <c r="B475">
        <v>0.1212</v>
      </c>
      <c r="C475">
        <v>0.3</v>
      </c>
      <c r="D475">
        <v>0.25369999999999998</v>
      </c>
      <c r="E475">
        <v>1</v>
      </c>
      <c r="F475">
        <v>119</v>
      </c>
      <c r="G475">
        <v>120</v>
      </c>
    </row>
    <row r="476" spans="1:7" x14ac:dyDescent="0.2">
      <c r="A476">
        <v>475</v>
      </c>
      <c r="B476">
        <v>0.1061</v>
      </c>
      <c r="C476">
        <v>0.3</v>
      </c>
      <c r="D476">
        <v>0.32840000000000003</v>
      </c>
      <c r="E476">
        <v>3</v>
      </c>
      <c r="F476">
        <v>93</v>
      </c>
      <c r="G476">
        <v>96</v>
      </c>
    </row>
    <row r="477" spans="1:7" x14ac:dyDescent="0.2">
      <c r="A477">
        <v>476</v>
      </c>
      <c r="B477">
        <v>7.5800000000000006E-2</v>
      </c>
      <c r="C477">
        <v>0.33</v>
      </c>
      <c r="D477">
        <v>0.41789999999999999</v>
      </c>
      <c r="E477">
        <v>1</v>
      </c>
      <c r="F477">
        <v>52</v>
      </c>
      <c r="G477">
        <v>53</v>
      </c>
    </row>
    <row r="478" spans="1:7" x14ac:dyDescent="0.2">
      <c r="A478">
        <v>477</v>
      </c>
      <c r="B478">
        <v>7.5800000000000006E-2</v>
      </c>
      <c r="C478">
        <v>0.38</v>
      </c>
      <c r="D478">
        <v>0.28360000000000002</v>
      </c>
      <c r="E478">
        <v>0</v>
      </c>
      <c r="F478">
        <v>41</v>
      </c>
      <c r="G478">
        <v>41</v>
      </c>
    </row>
    <row r="479" spans="1:7" x14ac:dyDescent="0.2">
      <c r="A479">
        <v>478</v>
      </c>
      <c r="B479">
        <v>3.0300000000000001E-2</v>
      </c>
      <c r="C479">
        <v>0.41</v>
      </c>
      <c r="D479">
        <v>0.3881</v>
      </c>
      <c r="E479">
        <v>1</v>
      </c>
      <c r="F479">
        <v>33</v>
      </c>
      <c r="G479">
        <v>34</v>
      </c>
    </row>
    <row r="480" spans="1:7" x14ac:dyDescent="0.2">
      <c r="A480">
        <v>479</v>
      </c>
      <c r="B480">
        <v>4.5499999999999999E-2</v>
      </c>
      <c r="C480">
        <v>0.38</v>
      </c>
      <c r="D480">
        <v>0.32840000000000003</v>
      </c>
      <c r="E480">
        <v>0</v>
      </c>
      <c r="F480">
        <v>27</v>
      </c>
      <c r="G480">
        <v>27</v>
      </c>
    </row>
    <row r="481" spans="1:7" x14ac:dyDescent="0.2">
      <c r="A481">
        <v>480</v>
      </c>
      <c r="B481">
        <v>3.0300000000000001E-2</v>
      </c>
      <c r="C481">
        <v>0.45</v>
      </c>
      <c r="D481">
        <v>0.25369999999999998</v>
      </c>
      <c r="E481">
        <v>0</v>
      </c>
      <c r="F481">
        <v>13</v>
      </c>
      <c r="G481">
        <v>13</v>
      </c>
    </row>
    <row r="482" spans="1:7" x14ac:dyDescent="0.2">
      <c r="A482">
        <v>481</v>
      </c>
      <c r="B482">
        <v>0</v>
      </c>
      <c r="C482">
        <v>0.41</v>
      </c>
      <c r="D482">
        <v>0.3881</v>
      </c>
      <c r="E482">
        <v>3</v>
      </c>
      <c r="F482">
        <v>9</v>
      </c>
      <c r="G482">
        <v>12</v>
      </c>
    </row>
    <row r="483" spans="1:7" x14ac:dyDescent="0.2">
      <c r="A483">
        <v>482</v>
      </c>
      <c r="B483">
        <v>3.0300000000000001E-2</v>
      </c>
      <c r="C483">
        <v>0.41</v>
      </c>
      <c r="D483">
        <v>0.25369999999999998</v>
      </c>
      <c r="E483">
        <v>0</v>
      </c>
      <c r="F483">
        <v>11</v>
      </c>
      <c r="G483">
        <v>11</v>
      </c>
    </row>
    <row r="484" spans="1:7" x14ac:dyDescent="0.2">
      <c r="A484">
        <v>483</v>
      </c>
      <c r="B484">
        <v>3.0300000000000001E-2</v>
      </c>
      <c r="C484">
        <v>0.41</v>
      </c>
      <c r="D484">
        <v>0.28360000000000002</v>
      </c>
      <c r="E484">
        <v>1</v>
      </c>
      <c r="F484">
        <v>6</v>
      </c>
      <c r="G484">
        <v>7</v>
      </c>
    </row>
    <row r="485" spans="1:7" x14ac:dyDescent="0.2">
      <c r="A485">
        <v>484</v>
      </c>
      <c r="B485">
        <v>1.52E-2</v>
      </c>
      <c r="C485">
        <v>0.48</v>
      </c>
      <c r="D485">
        <v>0.29849999999999999</v>
      </c>
      <c r="E485">
        <v>0</v>
      </c>
      <c r="F485">
        <v>3</v>
      </c>
      <c r="G485">
        <v>3</v>
      </c>
    </row>
    <row r="486" spans="1:7" x14ac:dyDescent="0.2">
      <c r="A486">
        <v>485</v>
      </c>
      <c r="B486">
        <v>3.0300000000000001E-2</v>
      </c>
      <c r="C486">
        <v>0.44</v>
      </c>
      <c r="D486">
        <v>0.22389999999999999</v>
      </c>
      <c r="E486">
        <v>0</v>
      </c>
      <c r="F486">
        <v>2</v>
      </c>
      <c r="G486">
        <v>2</v>
      </c>
    </row>
    <row r="487" spans="1:7" x14ac:dyDescent="0.2">
      <c r="A487">
        <v>486</v>
      </c>
      <c r="B487">
        <v>1.52E-2</v>
      </c>
      <c r="C487">
        <v>0.44</v>
      </c>
      <c r="D487">
        <v>0.28360000000000002</v>
      </c>
      <c r="E487">
        <v>0</v>
      </c>
      <c r="F487">
        <v>8</v>
      </c>
      <c r="G487">
        <v>8</v>
      </c>
    </row>
    <row r="488" spans="1:7" x14ac:dyDescent="0.2">
      <c r="A488">
        <v>487</v>
      </c>
      <c r="B488">
        <v>0</v>
      </c>
      <c r="C488">
        <v>0.44</v>
      </c>
      <c r="D488">
        <v>0.32840000000000003</v>
      </c>
      <c r="E488">
        <v>1</v>
      </c>
      <c r="F488">
        <v>26</v>
      </c>
      <c r="G488">
        <v>27</v>
      </c>
    </row>
    <row r="489" spans="1:7" x14ac:dyDescent="0.2">
      <c r="A489">
        <v>488</v>
      </c>
      <c r="B489">
        <v>3.0300000000000001E-2</v>
      </c>
      <c r="C489">
        <v>0.41</v>
      </c>
      <c r="D489">
        <v>0.25369999999999998</v>
      </c>
      <c r="E489">
        <v>3</v>
      </c>
      <c r="F489">
        <v>37</v>
      </c>
      <c r="G489">
        <v>40</v>
      </c>
    </row>
    <row r="490" spans="1:7" x14ac:dyDescent="0.2">
      <c r="A490">
        <v>489</v>
      </c>
      <c r="B490">
        <v>6.0600000000000001E-2</v>
      </c>
      <c r="C490">
        <v>0.41</v>
      </c>
      <c r="D490">
        <v>0.16420000000000001</v>
      </c>
      <c r="E490">
        <v>3</v>
      </c>
      <c r="F490">
        <v>50</v>
      </c>
      <c r="G490">
        <v>53</v>
      </c>
    </row>
    <row r="491" spans="1:7" x14ac:dyDescent="0.2">
      <c r="A491">
        <v>490</v>
      </c>
      <c r="B491">
        <v>7.5800000000000006E-2</v>
      </c>
      <c r="C491">
        <v>0.38</v>
      </c>
      <c r="D491">
        <v>0.1343</v>
      </c>
      <c r="E491">
        <v>4</v>
      </c>
      <c r="F491">
        <v>59</v>
      </c>
      <c r="G491">
        <v>63</v>
      </c>
    </row>
    <row r="492" spans="1:7" x14ac:dyDescent="0.2">
      <c r="A492">
        <v>491</v>
      </c>
      <c r="B492">
        <v>0.1061</v>
      </c>
      <c r="C492">
        <v>0.38</v>
      </c>
      <c r="D492">
        <v>0.1045</v>
      </c>
      <c r="E492">
        <v>10</v>
      </c>
      <c r="F492">
        <v>60</v>
      </c>
      <c r="G492">
        <v>70</v>
      </c>
    </row>
    <row r="493" spans="1:7" x14ac:dyDescent="0.2">
      <c r="A493">
        <v>492</v>
      </c>
      <c r="B493">
        <v>0.16669999999999999</v>
      </c>
      <c r="C493">
        <v>0.35</v>
      </c>
      <c r="D493">
        <v>0</v>
      </c>
      <c r="E493">
        <v>12</v>
      </c>
      <c r="F493">
        <v>72</v>
      </c>
      <c r="G493">
        <v>84</v>
      </c>
    </row>
    <row r="494" spans="1:7" x14ac:dyDescent="0.2">
      <c r="A494">
        <v>493</v>
      </c>
      <c r="B494">
        <v>0.13639999999999999</v>
      </c>
      <c r="C494">
        <v>0.33</v>
      </c>
      <c r="D494">
        <v>0.1045</v>
      </c>
      <c r="E494">
        <v>11</v>
      </c>
      <c r="F494">
        <v>64</v>
      </c>
      <c r="G494">
        <v>75</v>
      </c>
    </row>
    <row r="495" spans="1:7" x14ac:dyDescent="0.2">
      <c r="A495">
        <v>494</v>
      </c>
      <c r="B495">
        <v>0.1515</v>
      </c>
      <c r="C495">
        <v>0.28000000000000003</v>
      </c>
      <c r="D495">
        <v>0</v>
      </c>
      <c r="E495">
        <v>10</v>
      </c>
      <c r="F495">
        <v>93</v>
      </c>
      <c r="G495">
        <v>103</v>
      </c>
    </row>
    <row r="496" spans="1:7" x14ac:dyDescent="0.2">
      <c r="A496">
        <v>495</v>
      </c>
      <c r="B496">
        <v>0.13639999999999999</v>
      </c>
      <c r="C496">
        <v>0.28000000000000003</v>
      </c>
      <c r="D496">
        <v>0.19400000000000001</v>
      </c>
      <c r="E496">
        <v>11</v>
      </c>
      <c r="F496">
        <v>72</v>
      </c>
      <c r="G496">
        <v>83</v>
      </c>
    </row>
    <row r="497" spans="1:7" x14ac:dyDescent="0.2">
      <c r="A497">
        <v>496</v>
      </c>
      <c r="B497">
        <v>0.19700000000000001</v>
      </c>
      <c r="C497">
        <v>0.28000000000000003</v>
      </c>
      <c r="D497">
        <v>0</v>
      </c>
      <c r="E497">
        <v>8</v>
      </c>
      <c r="F497">
        <v>59</v>
      </c>
      <c r="G497">
        <v>67</v>
      </c>
    </row>
    <row r="498" spans="1:7" x14ac:dyDescent="0.2">
      <c r="A498">
        <v>497</v>
      </c>
      <c r="B498">
        <v>9.0899999999999995E-2</v>
      </c>
      <c r="C498">
        <v>0.35</v>
      </c>
      <c r="D498">
        <v>0.19400000000000001</v>
      </c>
      <c r="E498">
        <v>0</v>
      </c>
      <c r="F498">
        <v>54</v>
      </c>
      <c r="G498">
        <v>54</v>
      </c>
    </row>
    <row r="499" spans="1:7" x14ac:dyDescent="0.2">
      <c r="A499">
        <v>498</v>
      </c>
      <c r="B499">
        <v>0.1061</v>
      </c>
      <c r="C499">
        <v>0.35</v>
      </c>
      <c r="D499">
        <v>0.1343</v>
      </c>
      <c r="E499">
        <v>6</v>
      </c>
      <c r="F499">
        <v>53</v>
      </c>
      <c r="G499">
        <v>59</v>
      </c>
    </row>
    <row r="500" spans="1:7" x14ac:dyDescent="0.2">
      <c r="A500">
        <v>499</v>
      </c>
      <c r="B500">
        <v>7.5800000000000006E-2</v>
      </c>
      <c r="C500">
        <v>0.45</v>
      </c>
      <c r="D500">
        <v>0.16420000000000001</v>
      </c>
      <c r="E500">
        <v>1</v>
      </c>
      <c r="F500">
        <v>44</v>
      </c>
      <c r="G500">
        <v>45</v>
      </c>
    </row>
    <row r="501" spans="1:7" x14ac:dyDescent="0.2">
      <c r="A501">
        <v>500</v>
      </c>
      <c r="B501">
        <v>0.1061</v>
      </c>
      <c r="C501">
        <v>0.41</v>
      </c>
      <c r="D501">
        <v>8.9599999999999999E-2</v>
      </c>
      <c r="E501">
        <v>0</v>
      </c>
      <c r="F501">
        <v>39</v>
      </c>
      <c r="G501">
        <v>39</v>
      </c>
    </row>
    <row r="502" spans="1:7" x14ac:dyDescent="0.2">
      <c r="A502">
        <v>501</v>
      </c>
      <c r="B502">
        <v>0.1515</v>
      </c>
      <c r="C502">
        <v>0.49</v>
      </c>
      <c r="D502">
        <v>0</v>
      </c>
      <c r="E502">
        <v>7</v>
      </c>
      <c r="F502">
        <v>23</v>
      </c>
      <c r="G502">
        <v>30</v>
      </c>
    </row>
    <row r="503" spans="1:7" x14ac:dyDescent="0.2">
      <c r="A503">
        <v>502</v>
      </c>
      <c r="B503">
        <v>7.5800000000000006E-2</v>
      </c>
      <c r="C503">
        <v>0.56999999999999995</v>
      </c>
      <c r="D503">
        <v>0.1045</v>
      </c>
      <c r="E503">
        <v>2</v>
      </c>
      <c r="F503">
        <v>31</v>
      </c>
      <c r="G503">
        <v>33</v>
      </c>
    </row>
    <row r="504" spans="1:7" x14ac:dyDescent="0.2">
      <c r="A504">
        <v>503</v>
      </c>
      <c r="B504">
        <v>7.5800000000000006E-2</v>
      </c>
      <c r="C504">
        <v>0.56999999999999995</v>
      </c>
      <c r="D504">
        <v>0.1045</v>
      </c>
      <c r="E504">
        <v>2</v>
      </c>
      <c r="F504">
        <v>20</v>
      </c>
      <c r="G504">
        <v>22</v>
      </c>
    </row>
    <row r="505" spans="1:7" x14ac:dyDescent="0.2">
      <c r="A505">
        <v>504</v>
      </c>
      <c r="B505">
        <v>7.5800000000000006E-2</v>
      </c>
      <c r="C505">
        <v>0.56999999999999995</v>
      </c>
      <c r="D505">
        <v>0.1045</v>
      </c>
      <c r="E505">
        <v>1</v>
      </c>
      <c r="F505">
        <v>12</v>
      </c>
      <c r="G505">
        <v>13</v>
      </c>
    </row>
    <row r="506" spans="1:7" x14ac:dyDescent="0.2">
      <c r="A506">
        <v>505</v>
      </c>
      <c r="B506">
        <v>6.0600000000000001E-2</v>
      </c>
      <c r="C506">
        <v>0.62</v>
      </c>
      <c r="D506">
        <v>0.1343</v>
      </c>
      <c r="E506">
        <v>3</v>
      </c>
      <c r="F506">
        <v>15</v>
      </c>
      <c r="G506">
        <v>18</v>
      </c>
    </row>
    <row r="507" spans="1:7" x14ac:dyDescent="0.2">
      <c r="A507">
        <v>506</v>
      </c>
      <c r="B507">
        <v>6.0600000000000001E-2</v>
      </c>
      <c r="C507">
        <v>0.62</v>
      </c>
      <c r="D507">
        <v>0.1343</v>
      </c>
      <c r="E507">
        <v>1</v>
      </c>
      <c r="F507">
        <v>4</v>
      </c>
      <c r="G507">
        <v>5</v>
      </c>
    </row>
    <row r="508" spans="1:7" x14ac:dyDescent="0.2">
      <c r="A508">
        <v>507</v>
      </c>
      <c r="B508">
        <v>7.5800000000000006E-2</v>
      </c>
      <c r="C508">
        <v>0.56999999999999995</v>
      </c>
      <c r="D508">
        <v>0.1045</v>
      </c>
      <c r="E508">
        <v>0</v>
      </c>
      <c r="F508">
        <v>3</v>
      </c>
      <c r="G508">
        <v>3</v>
      </c>
    </row>
    <row r="509" spans="1:7" x14ac:dyDescent="0.2">
      <c r="A509">
        <v>508</v>
      </c>
      <c r="B509">
        <v>7.5800000000000006E-2</v>
      </c>
      <c r="C509">
        <v>0.56999999999999995</v>
      </c>
      <c r="D509">
        <v>0.1045</v>
      </c>
      <c r="E509">
        <v>0</v>
      </c>
      <c r="F509">
        <v>1</v>
      </c>
      <c r="G509">
        <v>1</v>
      </c>
    </row>
    <row r="510" spans="1:7" x14ac:dyDescent="0.2">
      <c r="A510">
        <v>509</v>
      </c>
      <c r="B510">
        <v>0.1061</v>
      </c>
      <c r="C510">
        <v>0.57999999999999996</v>
      </c>
      <c r="D510">
        <v>0.16420000000000001</v>
      </c>
      <c r="E510">
        <v>1</v>
      </c>
      <c r="F510">
        <v>1</v>
      </c>
      <c r="G510">
        <v>2</v>
      </c>
    </row>
    <row r="511" spans="1:7" x14ac:dyDescent="0.2">
      <c r="A511">
        <v>510</v>
      </c>
      <c r="B511">
        <v>7.5800000000000006E-2</v>
      </c>
      <c r="C511">
        <v>0.62</v>
      </c>
      <c r="D511">
        <v>0.16420000000000001</v>
      </c>
      <c r="E511">
        <v>2</v>
      </c>
      <c r="F511">
        <v>17</v>
      </c>
      <c r="G511">
        <v>19</v>
      </c>
    </row>
    <row r="512" spans="1:7" x14ac:dyDescent="0.2">
      <c r="A512">
        <v>511</v>
      </c>
      <c r="B512">
        <v>7.5800000000000006E-2</v>
      </c>
      <c r="C512">
        <v>0.54</v>
      </c>
      <c r="D512">
        <v>0.35820000000000002</v>
      </c>
      <c r="E512">
        <v>3</v>
      </c>
      <c r="F512">
        <v>25</v>
      </c>
      <c r="G512">
        <v>28</v>
      </c>
    </row>
    <row r="513" spans="1:7" x14ac:dyDescent="0.2">
      <c r="A513">
        <v>512</v>
      </c>
      <c r="B513">
        <v>0.1061</v>
      </c>
      <c r="C513">
        <v>0.46</v>
      </c>
      <c r="D513">
        <v>0.3881</v>
      </c>
      <c r="E513">
        <v>7</v>
      </c>
      <c r="F513">
        <v>51</v>
      </c>
      <c r="G513">
        <v>58</v>
      </c>
    </row>
    <row r="514" spans="1:7" x14ac:dyDescent="0.2">
      <c r="A514">
        <v>513</v>
      </c>
      <c r="B514">
        <v>0.13639999999999999</v>
      </c>
      <c r="C514">
        <v>0.43</v>
      </c>
      <c r="D514">
        <v>0.22389999999999999</v>
      </c>
      <c r="E514">
        <v>22</v>
      </c>
      <c r="F514">
        <v>77</v>
      </c>
      <c r="G514">
        <v>99</v>
      </c>
    </row>
    <row r="515" spans="1:7" x14ac:dyDescent="0.2">
      <c r="A515">
        <v>514</v>
      </c>
      <c r="B515">
        <v>0.1212</v>
      </c>
      <c r="C515">
        <v>0.37</v>
      </c>
      <c r="D515">
        <v>0.4627</v>
      </c>
      <c r="E515">
        <v>24</v>
      </c>
      <c r="F515">
        <v>92</v>
      </c>
      <c r="G515">
        <v>116</v>
      </c>
    </row>
    <row r="516" spans="1:7" x14ac:dyDescent="0.2">
      <c r="A516">
        <v>515</v>
      </c>
      <c r="B516">
        <v>0.1061</v>
      </c>
      <c r="C516">
        <v>0.33</v>
      </c>
      <c r="D516">
        <v>0.3881</v>
      </c>
      <c r="E516">
        <v>12</v>
      </c>
      <c r="F516">
        <v>75</v>
      </c>
      <c r="G516">
        <v>87</v>
      </c>
    </row>
    <row r="517" spans="1:7" x14ac:dyDescent="0.2">
      <c r="A517">
        <v>516</v>
      </c>
      <c r="B517">
        <v>0.13639999999999999</v>
      </c>
      <c r="C517">
        <v>0.28000000000000003</v>
      </c>
      <c r="D517">
        <v>0.35820000000000002</v>
      </c>
      <c r="E517">
        <v>17</v>
      </c>
      <c r="F517">
        <v>93</v>
      </c>
      <c r="G517">
        <v>110</v>
      </c>
    </row>
    <row r="518" spans="1:7" x14ac:dyDescent="0.2">
      <c r="A518">
        <v>517</v>
      </c>
      <c r="B518">
        <v>0.13639999999999999</v>
      </c>
      <c r="C518">
        <v>0.28000000000000003</v>
      </c>
      <c r="D518">
        <v>0.35820000000000002</v>
      </c>
      <c r="E518">
        <v>13</v>
      </c>
      <c r="F518">
        <v>64</v>
      </c>
      <c r="G518">
        <v>77</v>
      </c>
    </row>
    <row r="519" spans="1:7" x14ac:dyDescent="0.2">
      <c r="A519">
        <v>518</v>
      </c>
      <c r="B519">
        <v>0.13639999999999999</v>
      </c>
      <c r="C519">
        <v>0.26</v>
      </c>
      <c r="D519">
        <v>0.32840000000000003</v>
      </c>
      <c r="E519">
        <v>9</v>
      </c>
      <c r="F519">
        <v>56</v>
      </c>
      <c r="G519">
        <v>65</v>
      </c>
    </row>
    <row r="520" spans="1:7" x14ac:dyDescent="0.2">
      <c r="A520">
        <v>519</v>
      </c>
      <c r="B520">
        <v>0.1061</v>
      </c>
      <c r="C520">
        <v>0.26</v>
      </c>
      <c r="D520">
        <v>0.3881</v>
      </c>
      <c r="E520">
        <v>5</v>
      </c>
      <c r="F520">
        <v>50</v>
      </c>
      <c r="G520">
        <v>55</v>
      </c>
    </row>
    <row r="521" spans="1:7" x14ac:dyDescent="0.2">
      <c r="A521">
        <v>520</v>
      </c>
      <c r="B521">
        <v>0.1212</v>
      </c>
      <c r="C521">
        <v>0.3</v>
      </c>
      <c r="D521">
        <v>0.25369999999999998</v>
      </c>
      <c r="E521">
        <v>5</v>
      </c>
      <c r="F521">
        <v>44</v>
      </c>
      <c r="G521">
        <v>49</v>
      </c>
    </row>
    <row r="522" spans="1:7" x14ac:dyDescent="0.2">
      <c r="A522">
        <v>521</v>
      </c>
      <c r="B522">
        <v>0.1212</v>
      </c>
      <c r="C522">
        <v>0.3</v>
      </c>
      <c r="D522">
        <v>0.28360000000000002</v>
      </c>
      <c r="E522">
        <v>5</v>
      </c>
      <c r="F522">
        <v>45</v>
      </c>
      <c r="G522">
        <v>50</v>
      </c>
    </row>
    <row r="523" spans="1:7" x14ac:dyDescent="0.2">
      <c r="A523">
        <v>522</v>
      </c>
      <c r="B523">
        <v>0.1061</v>
      </c>
      <c r="C523">
        <v>0.36</v>
      </c>
      <c r="D523">
        <v>0.25369999999999998</v>
      </c>
      <c r="E523">
        <v>4</v>
      </c>
      <c r="F523">
        <v>31</v>
      </c>
      <c r="G523">
        <v>35</v>
      </c>
    </row>
    <row r="524" spans="1:7" x14ac:dyDescent="0.2">
      <c r="A524">
        <v>523</v>
      </c>
      <c r="B524">
        <v>0.1061</v>
      </c>
      <c r="C524">
        <v>0.36</v>
      </c>
      <c r="D524">
        <v>0.19400000000000001</v>
      </c>
      <c r="E524">
        <v>5</v>
      </c>
      <c r="F524">
        <v>20</v>
      </c>
      <c r="G524">
        <v>25</v>
      </c>
    </row>
    <row r="525" spans="1:7" x14ac:dyDescent="0.2">
      <c r="A525">
        <v>524</v>
      </c>
      <c r="B525">
        <v>9.0899999999999995E-2</v>
      </c>
      <c r="C525">
        <v>0.38</v>
      </c>
      <c r="D525">
        <v>0.19400000000000001</v>
      </c>
      <c r="E525">
        <v>5</v>
      </c>
      <c r="F525">
        <v>23</v>
      </c>
      <c r="G525">
        <v>28</v>
      </c>
    </row>
    <row r="526" spans="1:7" x14ac:dyDescent="0.2">
      <c r="A526">
        <v>525</v>
      </c>
      <c r="B526">
        <v>6.0600000000000001E-2</v>
      </c>
      <c r="C526">
        <v>0.41</v>
      </c>
      <c r="D526">
        <v>0.22389999999999999</v>
      </c>
      <c r="E526">
        <v>4</v>
      </c>
      <c r="F526">
        <v>17</v>
      </c>
      <c r="G526">
        <v>21</v>
      </c>
    </row>
    <row r="527" spans="1:7" x14ac:dyDescent="0.2">
      <c r="A527">
        <v>526</v>
      </c>
      <c r="B527">
        <v>6.0600000000000001E-2</v>
      </c>
      <c r="C527">
        <v>0.41</v>
      </c>
      <c r="D527">
        <v>0.19400000000000001</v>
      </c>
      <c r="E527">
        <v>0</v>
      </c>
      <c r="F527">
        <v>7</v>
      </c>
      <c r="G527">
        <v>7</v>
      </c>
    </row>
    <row r="528" spans="1:7" x14ac:dyDescent="0.2">
      <c r="A528">
        <v>527</v>
      </c>
      <c r="B528">
        <v>4.5499999999999999E-2</v>
      </c>
      <c r="C528">
        <v>0.45</v>
      </c>
      <c r="D528">
        <v>0.19400000000000001</v>
      </c>
      <c r="E528">
        <v>0</v>
      </c>
      <c r="F528">
        <v>1</v>
      </c>
      <c r="G528">
        <v>1</v>
      </c>
    </row>
    <row r="529" spans="1:7" x14ac:dyDescent="0.2">
      <c r="A529">
        <v>528</v>
      </c>
      <c r="B529">
        <v>3.0300000000000001E-2</v>
      </c>
      <c r="C529">
        <v>0.45</v>
      </c>
      <c r="D529">
        <v>0.25369999999999998</v>
      </c>
      <c r="E529">
        <v>0</v>
      </c>
      <c r="F529">
        <v>1</v>
      </c>
      <c r="G529">
        <v>1</v>
      </c>
    </row>
    <row r="530" spans="1:7" x14ac:dyDescent="0.2">
      <c r="A530">
        <v>529</v>
      </c>
      <c r="B530">
        <v>6.0600000000000001E-2</v>
      </c>
      <c r="C530">
        <v>0.48</v>
      </c>
      <c r="D530">
        <v>0.1343</v>
      </c>
      <c r="E530">
        <v>0</v>
      </c>
      <c r="F530">
        <v>1</v>
      </c>
      <c r="G530">
        <v>1</v>
      </c>
    </row>
    <row r="531" spans="1:7" x14ac:dyDescent="0.2">
      <c r="A531">
        <v>530</v>
      </c>
      <c r="B531">
        <v>6.0600000000000001E-2</v>
      </c>
      <c r="C531">
        <v>0.48</v>
      </c>
      <c r="D531">
        <v>0.1343</v>
      </c>
      <c r="E531">
        <v>0</v>
      </c>
      <c r="F531">
        <v>5</v>
      </c>
      <c r="G531">
        <v>5</v>
      </c>
    </row>
    <row r="532" spans="1:7" x14ac:dyDescent="0.2">
      <c r="A532">
        <v>531</v>
      </c>
      <c r="B532">
        <v>7.5800000000000006E-2</v>
      </c>
      <c r="C532">
        <v>0.48</v>
      </c>
      <c r="D532">
        <v>8.9599999999999999E-2</v>
      </c>
      <c r="E532">
        <v>0</v>
      </c>
      <c r="F532">
        <v>15</v>
      </c>
      <c r="G532">
        <v>15</v>
      </c>
    </row>
    <row r="533" spans="1:7" x14ac:dyDescent="0.2">
      <c r="A533">
        <v>532</v>
      </c>
      <c r="B533">
        <v>0.1212</v>
      </c>
      <c r="C533">
        <v>0.48</v>
      </c>
      <c r="D533">
        <v>0</v>
      </c>
      <c r="E533">
        <v>5</v>
      </c>
      <c r="F533">
        <v>79</v>
      </c>
      <c r="G533">
        <v>84</v>
      </c>
    </row>
    <row r="534" spans="1:7" x14ac:dyDescent="0.2">
      <c r="A534">
        <v>533</v>
      </c>
      <c r="B534">
        <v>0.13639999999999999</v>
      </c>
      <c r="C534">
        <v>0.49</v>
      </c>
      <c r="D534">
        <v>0</v>
      </c>
      <c r="E534">
        <v>6</v>
      </c>
      <c r="F534">
        <v>171</v>
      </c>
      <c r="G534">
        <v>177</v>
      </c>
    </row>
    <row r="535" spans="1:7" x14ac:dyDescent="0.2">
      <c r="A535">
        <v>534</v>
      </c>
      <c r="B535">
        <v>0.1515</v>
      </c>
      <c r="C535">
        <v>0.41</v>
      </c>
      <c r="D535">
        <v>0</v>
      </c>
      <c r="E535">
        <v>4</v>
      </c>
      <c r="F535">
        <v>98</v>
      </c>
      <c r="G535">
        <v>102</v>
      </c>
    </row>
    <row r="536" spans="1:7" x14ac:dyDescent="0.2">
      <c r="A536">
        <v>535</v>
      </c>
      <c r="B536">
        <v>0.13639999999999999</v>
      </c>
      <c r="C536">
        <v>0.42</v>
      </c>
      <c r="D536">
        <v>0</v>
      </c>
      <c r="E536">
        <v>6</v>
      </c>
      <c r="F536">
        <v>34</v>
      </c>
      <c r="G536">
        <v>40</v>
      </c>
    </row>
    <row r="537" spans="1:7" x14ac:dyDescent="0.2">
      <c r="A537">
        <v>536</v>
      </c>
      <c r="B537">
        <v>0.1212</v>
      </c>
      <c r="C537">
        <v>0.46</v>
      </c>
      <c r="D537">
        <v>0.1343</v>
      </c>
      <c r="E537">
        <v>3</v>
      </c>
      <c r="F537">
        <v>43</v>
      </c>
      <c r="G537">
        <v>46</v>
      </c>
    </row>
    <row r="538" spans="1:7" x14ac:dyDescent="0.2">
      <c r="A538">
        <v>537</v>
      </c>
      <c r="B538">
        <v>0.13639999999999999</v>
      </c>
      <c r="C538">
        <v>0.42</v>
      </c>
      <c r="D538">
        <v>0.19400000000000001</v>
      </c>
      <c r="E538">
        <v>11</v>
      </c>
      <c r="F538">
        <v>52</v>
      </c>
      <c r="G538">
        <v>63</v>
      </c>
    </row>
    <row r="539" spans="1:7" x14ac:dyDescent="0.2">
      <c r="A539">
        <v>538</v>
      </c>
      <c r="B539">
        <v>0.13639999999999999</v>
      </c>
      <c r="C539">
        <v>0.43</v>
      </c>
      <c r="D539">
        <v>0.22389999999999999</v>
      </c>
      <c r="E539">
        <v>6</v>
      </c>
      <c r="F539">
        <v>54</v>
      </c>
      <c r="G539">
        <v>60</v>
      </c>
    </row>
    <row r="540" spans="1:7" x14ac:dyDescent="0.2">
      <c r="A540">
        <v>539</v>
      </c>
      <c r="B540">
        <v>0.13639999999999999</v>
      </c>
      <c r="C540">
        <v>0.46</v>
      </c>
      <c r="D540">
        <v>0.22389999999999999</v>
      </c>
      <c r="E540">
        <v>2</v>
      </c>
      <c r="F540">
        <v>43</v>
      </c>
      <c r="G540">
        <v>45</v>
      </c>
    </row>
    <row r="541" spans="1:7" x14ac:dyDescent="0.2">
      <c r="A541">
        <v>540</v>
      </c>
      <c r="B541">
        <v>0.16669999999999999</v>
      </c>
      <c r="C541">
        <v>0.4</v>
      </c>
      <c r="D541">
        <v>0.16420000000000001</v>
      </c>
      <c r="E541">
        <v>7</v>
      </c>
      <c r="F541">
        <v>50</v>
      </c>
      <c r="G541">
        <v>57</v>
      </c>
    </row>
    <row r="542" spans="1:7" x14ac:dyDescent="0.2">
      <c r="A542">
        <v>541</v>
      </c>
      <c r="B542">
        <v>0.1515</v>
      </c>
      <c r="C542">
        <v>0.47</v>
      </c>
      <c r="D542">
        <v>0.25369999999999998</v>
      </c>
      <c r="E542">
        <v>4</v>
      </c>
      <c r="F542">
        <v>66</v>
      </c>
      <c r="G542">
        <v>70</v>
      </c>
    </row>
    <row r="543" spans="1:7" x14ac:dyDescent="0.2">
      <c r="A543">
        <v>542</v>
      </c>
      <c r="B543">
        <v>0.1212</v>
      </c>
      <c r="C543">
        <v>0.5</v>
      </c>
      <c r="D543">
        <v>0.25369999999999998</v>
      </c>
      <c r="E543">
        <v>6</v>
      </c>
      <c r="F543">
        <v>178</v>
      </c>
      <c r="G543">
        <v>184</v>
      </c>
    </row>
    <row r="544" spans="1:7" x14ac:dyDescent="0.2">
      <c r="A544">
        <v>543</v>
      </c>
      <c r="B544">
        <v>0.13639999999999999</v>
      </c>
      <c r="C544">
        <v>0.59</v>
      </c>
      <c r="D544">
        <v>0.19400000000000001</v>
      </c>
      <c r="E544">
        <v>8</v>
      </c>
      <c r="F544">
        <v>145</v>
      </c>
      <c r="G544">
        <v>153</v>
      </c>
    </row>
    <row r="545" spans="1:7" x14ac:dyDescent="0.2">
      <c r="A545">
        <v>544</v>
      </c>
      <c r="B545">
        <v>0.1515</v>
      </c>
      <c r="C545">
        <v>0.54</v>
      </c>
      <c r="D545">
        <v>0.16420000000000001</v>
      </c>
      <c r="E545">
        <v>5</v>
      </c>
      <c r="F545">
        <v>101</v>
      </c>
      <c r="G545">
        <v>106</v>
      </c>
    </row>
    <row r="546" spans="1:7" x14ac:dyDescent="0.2">
      <c r="A546">
        <v>545</v>
      </c>
      <c r="B546">
        <v>0.13639999999999999</v>
      </c>
      <c r="C546">
        <v>0.59</v>
      </c>
      <c r="D546">
        <v>0.19400000000000001</v>
      </c>
      <c r="E546">
        <v>1</v>
      </c>
      <c r="F546">
        <v>80</v>
      </c>
      <c r="G546">
        <v>81</v>
      </c>
    </row>
    <row r="547" spans="1:7" x14ac:dyDescent="0.2">
      <c r="A547">
        <v>546</v>
      </c>
      <c r="B547">
        <v>0.1515</v>
      </c>
      <c r="C547">
        <v>0.63</v>
      </c>
      <c r="D547">
        <v>0.16420000000000001</v>
      </c>
      <c r="E547">
        <v>6</v>
      </c>
      <c r="F547">
        <v>53</v>
      </c>
      <c r="G547">
        <v>59</v>
      </c>
    </row>
    <row r="548" spans="1:7" x14ac:dyDescent="0.2">
      <c r="A548">
        <v>547</v>
      </c>
      <c r="B548">
        <v>0.13639999999999999</v>
      </c>
      <c r="C548">
        <v>0.63</v>
      </c>
      <c r="D548">
        <v>0.22389999999999999</v>
      </c>
      <c r="E548">
        <v>3</v>
      </c>
      <c r="F548">
        <v>32</v>
      </c>
      <c r="G548">
        <v>35</v>
      </c>
    </row>
    <row r="549" spans="1:7" x14ac:dyDescent="0.2">
      <c r="A549">
        <v>548</v>
      </c>
      <c r="B549">
        <v>0.1515</v>
      </c>
      <c r="C549">
        <v>0.64</v>
      </c>
      <c r="D549">
        <v>0.25369999999999998</v>
      </c>
      <c r="E549">
        <v>3</v>
      </c>
      <c r="F549">
        <v>21</v>
      </c>
      <c r="G549">
        <v>24</v>
      </c>
    </row>
    <row r="550" spans="1:7" x14ac:dyDescent="0.2">
      <c r="A550">
        <v>549</v>
      </c>
      <c r="B550">
        <v>0.13639999999999999</v>
      </c>
      <c r="C550">
        <v>0.69</v>
      </c>
      <c r="D550">
        <v>0.28360000000000002</v>
      </c>
      <c r="E550">
        <v>3</v>
      </c>
      <c r="F550">
        <v>6</v>
      </c>
      <c r="G550">
        <v>9</v>
      </c>
    </row>
    <row r="551" spans="1:7" x14ac:dyDescent="0.2">
      <c r="A551">
        <v>550</v>
      </c>
      <c r="B551">
        <v>0.16669999999999999</v>
      </c>
      <c r="C551">
        <v>0.69</v>
      </c>
      <c r="D551">
        <v>0.16420000000000001</v>
      </c>
      <c r="E551">
        <v>0</v>
      </c>
      <c r="F551">
        <v>5</v>
      </c>
      <c r="G551">
        <v>5</v>
      </c>
    </row>
    <row r="552" spans="1:7" x14ac:dyDescent="0.2">
      <c r="A552">
        <v>551</v>
      </c>
      <c r="B552">
        <v>0.1515</v>
      </c>
      <c r="C552">
        <v>0.69</v>
      </c>
      <c r="D552">
        <v>0.22389999999999999</v>
      </c>
      <c r="E552">
        <v>0</v>
      </c>
      <c r="F552">
        <v>2</v>
      </c>
      <c r="G552">
        <v>2</v>
      </c>
    </row>
    <row r="553" spans="1:7" x14ac:dyDescent="0.2">
      <c r="A553">
        <v>552</v>
      </c>
      <c r="B553">
        <v>0.16669999999999999</v>
      </c>
      <c r="C553">
        <v>0.74</v>
      </c>
      <c r="D553">
        <v>0.1045</v>
      </c>
      <c r="E553">
        <v>0</v>
      </c>
      <c r="F553">
        <v>1</v>
      </c>
      <c r="G553">
        <v>1</v>
      </c>
    </row>
    <row r="554" spans="1:7" x14ac:dyDescent="0.2">
      <c r="A554">
        <v>553</v>
      </c>
      <c r="B554">
        <v>0.13639999999999999</v>
      </c>
      <c r="C554">
        <v>0.74</v>
      </c>
      <c r="D554">
        <v>0.22389999999999999</v>
      </c>
      <c r="E554">
        <v>0</v>
      </c>
      <c r="F554">
        <v>9</v>
      </c>
      <c r="G554">
        <v>9</v>
      </c>
    </row>
    <row r="555" spans="1:7" x14ac:dyDescent="0.2">
      <c r="A555">
        <v>554</v>
      </c>
      <c r="B555">
        <v>0.18179999999999999</v>
      </c>
      <c r="C555">
        <v>0.74</v>
      </c>
      <c r="D555">
        <v>0.1045</v>
      </c>
      <c r="E555">
        <v>1</v>
      </c>
      <c r="F555">
        <v>35</v>
      </c>
      <c r="G555">
        <v>36</v>
      </c>
    </row>
    <row r="556" spans="1:7" x14ac:dyDescent="0.2">
      <c r="A556">
        <v>555</v>
      </c>
      <c r="B556">
        <v>0.1515</v>
      </c>
      <c r="C556">
        <v>0.74</v>
      </c>
      <c r="D556">
        <v>0.22389999999999999</v>
      </c>
      <c r="E556">
        <v>5</v>
      </c>
      <c r="F556">
        <v>103</v>
      </c>
      <c r="G556">
        <v>108</v>
      </c>
    </row>
    <row r="557" spans="1:7" x14ac:dyDescent="0.2">
      <c r="A557">
        <v>556</v>
      </c>
      <c r="B557">
        <v>0.18179999999999999</v>
      </c>
      <c r="C557">
        <v>0.74</v>
      </c>
      <c r="D557">
        <v>0.1343</v>
      </c>
      <c r="E557">
        <v>5</v>
      </c>
      <c r="F557">
        <v>233</v>
      </c>
      <c r="G557">
        <v>238</v>
      </c>
    </row>
    <row r="558" spans="1:7" x14ac:dyDescent="0.2">
      <c r="A558">
        <v>557</v>
      </c>
      <c r="B558">
        <v>0.2273</v>
      </c>
      <c r="C558">
        <v>0.64</v>
      </c>
      <c r="D558">
        <v>8.9599999999999999E-2</v>
      </c>
      <c r="E558">
        <v>10</v>
      </c>
      <c r="F558">
        <v>134</v>
      </c>
      <c r="G558">
        <v>144</v>
      </c>
    </row>
    <row r="559" spans="1:7" x14ac:dyDescent="0.2">
      <c r="A559">
        <v>558</v>
      </c>
      <c r="B559">
        <v>0.2424</v>
      </c>
      <c r="C559">
        <v>0.6</v>
      </c>
      <c r="D559">
        <v>0.1045</v>
      </c>
      <c r="E559">
        <v>6</v>
      </c>
      <c r="F559">
        <v>49</v>
      </c>
      <c r="G559">
        <v>55</v>
      </c>
    </row>
    <row r="560" spans="1:7" x14ac:dyDescent="0.2">
      <c r="A560">
        <v>559</v>
      </c>
      <c r="B560">
        <v>0.2424</v>
      </c>
      <c r="C560">
        <v>0.6</v>
      </c>
      <c r="D560">
        <v>0.1343</v>
      </c>
      <c r="E560">
        <v>6</v>
      </c>
      <c r="F560">
        <v>55</v>
      </c>
      <c r="G560">
        <v>61</v>
      </c>
    </row>
    <row r="561" spans="1:7" x14ac:dyDescent="0.2">
      <c r="A561">
        <v>560</v>
      </c>
      <c r="B561">
        <v>0.28789999999999999</v>
      </c>
      <c r="C561">
        <v>0.56000000000000005</v>
      </c>
      <c r="D561">
        <v>8.9599999999999999E-2</v>
      </c>
      <c r="E561">
        <v>21</v>
      </c>
      <c r="F561">
        <v>85</v>
      </c>
      <c r="G561">
        <v>106</v>
      </c>
    </row>
    <row r="562" spans="1:7" x14ac:dyDescent="0.2">
      <c r="A562">
        <v>561</v>
      </c>
      <c r="B562">
        <v>0.2727</v>
      </c>
      <c r="C562">
        <v>0.56000000000000005</v>
      </c>
      <c r="D562">
        <v>0.1343</v>
      </c>
      <c r="E562">
        <v>21</v>
      </c>
      <c r="F562">
        <v>72</v>
      </c>
      <c r="G562">
        <v>93</v>
      </c>
    </row>
    <row r="563" spans="1:7" x14ac:dyDescent="0.2">
      <c r="A563">
        <v>562</v>
      </c>
      <c r="B563">
        <v>0.33329999999999999</v>
      </c>
      <c r="C563">
        <v>0.45</v>
      </c>
      <c r="D563">
        <v>0</v>
      </c>
      <c r="E563">
        <v>11</v>
      </c>
      <c r="F563">
        <v>57</v>
      </c>
      <c r="G563">
        <v>68</v>
      </c>
    </row>
    <row r="564" spans="1:7" x14ac:dyDescent="0.2">
      <c r="A564">
        <v>563</v>
      </c>
      <c r="B564">
        <v>0.34849999999999998</v>
      </c>
      <c r="C564">
        <v>0.42</v>
      </c>
      <c r="D564">
        <v>0</v>
      </c>
      <c r="E564">
        <v>21</v>
      </c>
      <c r="F564">
        <v>63</v>
      </c>
      <c r="G564">
        <v>84</v>
      </c>
    </row>
    <row r="565" spans="1:7" x14ac:dyDescent="0.2">
      <c r="A565">
        <v>564</v>
      </c>
      <c r="B565">
        <v>0.34849999999999998</v>
      </c>
      <c r="C565">
        <v>0.42</v>
      </c>
      <c r="D565">
        <v>0</v>
      </c>
      <c r="E565">
        <v>14</v>
      </c>
      <c r="F565">
        <v>102</v>
      </c>
      <c r="G565">
        <v>116</v>
      </c>
    </row>
    <row r="566" spans="1:7" x14ac:dyDescent="0.2">
      <c r="A566">
        <v>565</v>
      </c>
      <c r="B566">
        <v>0.33329999999999999</v>
      </c>
      <c r="C566">
        <v>0.45</v>
      </c>
      <c r="D566">
        <v>0</v>
      </c>
      <c r="E566">
        <v>14</v>
      </c>
      <c r="F566">
        <v>208</v>
      </c>
      <c r="G566">
        <v>222</v>
      </c>
    </row>
    <row r="567" spans="1:7" x14ac:dyDescent="0.2">
      <c r="A567">
        <v>566</v>
      </c>
      <c r="B567">
        <v>0.31819999999999998</v>
      </c>
      <c r="C567">
        <v>0.49</v>
      </c>
      <c r="D567">
        <v>8.9599999999999999E-2</v>
      </c>
      <c r="E567">
        <v>7</v>
      </c>
      <c r="F567">
        <v>218</v>
      </c>
      <c r="G567">
        <v>225</v>
      </c>
    </row>
    <row r="568" spans="1:7" x14ac:dyDescent="0.2">
      <c r="A568">
        <v>567</v>
      </c>
      <c r="B568">
        <v>0.2576</v>
      </c>
      <c r="C568">
        <v>0.65</v>
      </c>
      <c r="D568">
        <v>0.16420000000000001</v>
      </c>
      <c r="E568">
        <v>13</v>
      </c>
      <c r="F568">
        <v>133</v>
      </c>
      <c r="G568">
        <v>146</v>
      </c>
    </row>
    <row r="569" spans="1:7" x14ac:dyDescent="0.2">
      <c r="A569">
        <v>568</v>
      </c>
      <c r="B569">
        <v>0.2273</v>
      </c>
      <c r="C569">
        <v>0.65</v>
      </c>
      <c r="D569">
        <v>0.19400000000000001</v>
      </c>
      <c r="E569">
        <v>16</v>
      </c>
      <c r="F569">
        <v>103</v>
      </c>
      <c r="G569">
        <v>119</v>
      </c>
    </row>
    <row r="570" spans="1:7" x14ac:dyDescent="0.2">
      <c r="A570">
        <v>569</v>
      </c>
      <c r="B570">
        <v>0.2273</v>
      </c>
      <c r="C570">
        <v>0.65</v>
      </c>
      <c r="D570">
        <v>0.19400000000000001</v>
      </c>
      <c r="E570">
        <v>5</v>
      </c>
      <c r="F570">
        <v>40</v>
      </c>
      <c r="G570">
        <v>45</v>
      </c>
    </row>
    <row r="571" spans="1:7" x14ac:dyDescent="0.2">
      <c r="A571">
        <v>570</v>
      </c>
      <c r="B571">
        <v>0.2273</v>
      </c>
      <c r="C571">
        <v>0.64</v>
      </c>
      <c r="D571">
        <v>0.16420000000000001</v>
      </c>
      <c r="E571">
        <v>4</v>
      </c>
      <c r="F571">
        <v>49</v>
      </c>
      <c r="G571">
        <v>53</v>
      </c>
    </row>
    <row r="572" spans="1:7" x14ac:dyDescent="0.2">
      <c r="A572">
        <v>571</v>
      </c>
      <c r="B572">
        <v>0.2273</v>
      </c>
      <c r="C572">
        <v>0.64</v>
      </c>
      <c r="D572">
        <v>0.16420000000000001</v>
      </c>
      <c r="E572">
        <v>3</v>
      </c>
      <c r="F572">
        <v>37</v>
      </c>
      <c r="G572">
        <v>40</v>
      </c>
    </row>
    <row r="573" spans="1:7" x14ac:dyDescent="0.2">
      <c r="A573">
        <v>572</v>
      </c>
      <c r="B573">
        <v>0.2273</v>
      </c>
      <c r="C573">
        <v>0.69</v>
      </c>
      <c r="D573">
        <v>0.1343</v>
      </c>
      <c r="E573">
        <v>3</v>
      </c>
      <c r="F573">
        <v>14</v>
      </c>
      <c r="G573">
        <v>17</v>
      </c>
    </row>
    <row r="574" spans="1:7" x14ac:dyDescent="0.2">
      <c r="A574">
        <v>573</v>
      </c>
      <c r="B574">
        <v>0.2424</v>
      </c>
      <c r="C574">
        <v>0.65</v>
      </c>
      <c r="D574">
        <v>0.1343</v>
      </c>
      <c r="E574">
        <v>0</v>
      </c>
      <c r="F574">
        <v>5</v>
      </c>
      <c r="G574">
        <v>5</v>
      </c>
    </row>
    <row r="575" spans="1:7" x14ac:dyDescent="0.2">
      <c r="A575">
        <v>574</v>
      </c>
      <c r="B575">
        <v>0.2273</v>
      </c>
      <c r="C575">
        <v>0.69</v>
      </c>
      <c r="D575">
        <v>0.19400000000000001</v>
      </c>
      <c r="E575">
        <v>3</v>
      </c>
      <c r="F575">
        <v>7</v>
      </c>
      <c r="G575">
        <v>10</v>
      </c>
    </row>
    <row r="576" spans="1:7" x14ac:dyDescent="0.2">
      <c r="A576">
        <v>575</v>
      </c>
      <c r="B576">
        <v>0.18179999999999999</v>
      </c>
      <c r="C576">
        <v>0.86</v>
      </c>
      <c r="D576">
        <v>0.28360000000000002</v>
      </c>
      <c r="E576">
        <v>0</v>
      </c>
      <c r="F576">
        <v>1</v>
      </c>
      <c r="G576">
        <v>1</v>
      </c>
    </row>
    <row r="577" spans="1:7" x14ac:dyDescent="0.2">
      <c r="A577">
        <v>576</v>
      </c>
      <c r="B577">
        <v>0.18179999999999999</v>
      </c>
      <c r="C577">
        <v>0.86</v>
      </c>
      <c r="D577">
        <v>0.28360000000000002</v>
      </c>
      <c r="E577">
        <v>0</v>
      </c>
      <c r="F577">
        <v>8</v>
      </c>
      <c r="G577">
        <v>8</v>
      </c>
    </row>
    <row r="578" spans="1:7" x14ac:dyDescent="0.2">
      <c r="A578">
        <v>577</v>
      </c>
      <c r="B578">
        <v>0.21210000000000001</v>
      </c>
      <c r="C578">
        <v>0.87</v>
      </c>
      <c r="D578">
        <v>0.29849999999999999</v>
      </c>
      <c r="E578">
        <v>1</v>
      </c>
      <c r="F578">
        <v>29</v>
      </c>
      <c r="G578">
        <v>30</v>
      </c>
    </row>
    <row r="579" spans="1:7" x14ac:dyDescent="0.2">
      <c r="A579">
        <v>578</v>
      </c>
      <c r="B579">
        <v>0.21210000000000001</v>
      </c>
      <c r="C579">
        <v>0.87</v>
      </c>
      <c r="D579">
        <v>0.29849999999999999</v>
      </c>
      <c r="E579">
        <v>3</v>
      </c>
      <c r="F579">
        <v>69</v>
      </c>
      <c r="G579">
        <v>72</v>
      </c>
    </row>
    <row r="580" spans="1:7" x14ac:dyDescent="0.2">
      <c r="A580">
        <v>579</v>
      </c>
      <c r="B580">
        <v>0.21210000000000001</v>
      </c>
      <c r="C580">
        <v>0.87</v>
      </c>
      <c r="D580">
        <v>0.29849999999999999</v>
      </c>
      <c r="E580">
        <v>3</v>
      </c>
      <c r="F580">
        <v>55</v>
      </c>
      <c r="G580">
        <v>58</v>
      </c>
    </row>
    <row r="581" spans="1:7" x14ac:dyDescent="0.2">
      <c r="A581">
        <v>580</v>
      </c>
      <c r="B581">
        <v>0.21210000000000001</v>
      </c>
      <c r="C581">
        <v>0.93</v>
      </c>
      <c r="D581">
        <v>0.28360000000000002</v>
      </c>
      <c r="E581">
        <v>2</v>
      </c>
      <c r="F581">
        <v>26</v>
      </c>
      <c r="G581">
        <v>28</v>
      </c>
    </row>
    <row r="582" spans="1:7" x14ac:dyDescent="0.2">
      <c r="A582">
        <v>581</v>
      </c>
      <c r="B582">
        <v>0.19700000000000001</v>
      </c>
      <c r="C582">
        <v>0.93</v>
      </c>
      <c r="D582">
        <v>0.32840000000000003</v>
      </c>
      <c r="E582">
        <v>6</v>
      </c>
      <c r="F582">
        <v>35</v>
      </c>
      <c r="G582">
        <v>41</v>
      </c>
    </row>
    <row r="583" spans="1:7" x14ac:dyDescent="0.2">
      <c r="A583">
        <v>582</v>
      </c>
      <c r="B583">
        <v>0.19700000000000001</v>
      </c>
      <c r="C583">
        <v>0.93</v>
      </c>
      <c r="D583">
        <v>0.32840000000000003</v>
      </c>
      <c r="E583">
        <v>7</v>
      </c>
      <c r="F583">
        <v>41</v>
      </c>
      <c r="G583">
        <v>48</v>
      </c>
    </row>
    <row r="584" spans="1:7" x14ac:dyDescent="0.2">
      <c r="A584">
        <v>583</v>
      </c>
      <c r="B584">
        <v>0.19700000000000001</v>
      </c>
      <c r="C584">
        <v>0.93</v>
      </c>
      <c r="D584">
        <v>0.32840000000000003</v>
      </c>
      <c r="E584">
        <v>4</v>
      </c>
      <c r="F584">
        <v>43</v>
      </c>
      <c r="G584">
        <v>47</v>
      </c>
    </row>
    <row r="585" spans="1:7" x14ac:dyDescent="0.2">
      <c r="A585">
        <v>584</v>
      </c>
      <c r="B585">
        <v>0.19700000000000001</v>
      </c>
      <c r="C585">
        <v>0.93</v>
      </c>
      <c r="D585">
        <v>0.35820000000000002</v>
      </c>
      <c r="E585">
        <v>0</v>
      </c>
      <c r="F585">
        <v>36</v>
      </c>
      <c r="G585">
        <v>36</v>
      </c>
    </row>
    <row r="586" spans="1:7" x14ac:dyDescent="0.2">
      <c r="A586">
        <v>585</v>
      </c>
      <c r="B586">
        <v>0.18179999999999999</v>
      </c>
      <c r="C586">
        <v>0.93</v>
      </c>
      <c r="D586">
        <v>0.4627</v>
      </c>
      <c r="E586">
        <v>1</v>
      </c>
      <c r="F586">
        <v>42</v>
      </c>
      <c r="G586">
        <v>43</v>
      </c>
    </row>
    <row r="587" spans="1:7" x14ac:dyDescent="0.2">
      <c r="A587">
        <v>586</v>
      </c>
      <c r="B587">
        <v>0.19700000000000001</v>
      </c>
      <c r="C587">
        <v>0.93</v>
      </c>
      <c r="D587">
        <v>0.32840000000000003</v>
      </c>
      <c r="E587">
        <v>1</v>
      </c>
      <c r="F587">
        <v>35</v>
      </c>
      <c r="G587">
        <v>36</v>
      </c>
    </row>
    <row r="588" spans="1:7" x14ac:dyDescent="0.2">
      <c r="A588">
        <v>587</v>
      </c>
      <c r="B588">
        <v>0.18179999999999999</v>
      </c>
      <c r="C588">
        <v>0.93</v>
      </c>
      <c r="D588">
        <v>0.35820000000000002</v>
      </c>
      <c r="E588">
        <v>0</v>
      </c>
      <c r="F588">
        <v>26</v>
      </c>
      <c r="G588">
        <v>26</v>
      </c>
    </row>
    <row r="589" spans="1:7" x14ac:dyDescent="0.2">
      <c r="A589">
        <v>588</v>
      </c>
      <c r="B589">
        <v>0.2273</v>
      </c>
      <c r="C589">
        <v>0.55000000000000004</v>
      </c>
      <c r="D589">
        <v>0.19400000000000001</v>
      </c>
      <c r="E589">
        <v>1</v>
      </c>
      <c r="F589">
        <v>23</v>
      </c>
      <c r="G589">
        <v>24</v>
      </c>
    </row>
    <row r="590" spans="1:7" x14ac:dyDescent="0.2">
      <c r="A590">
        <v>589</v>
      </c>
      <c r="B590">
        <v>0.2424</v>
      </c>
      <c r="C590">
        <v>0.55000000000000004</v>
      </c>
      <c r="D590">
        <v>0.1045</v>
      </c>
      <c r="E590">
        <v>2</v>
      </c>
      <c r="F590">
        <v>82</v>
      </c>
      <c r="G590">
        <v>84</v>
      </c>
    </row>
    <row r="591" spans="1:7" x14ac:dyDescent="0.2">
      <c r="A591">
        <v>590</v>
      </c>
      <c r="B591">
        <v>0.2273</v>
      </c>
      <c r="C591">
        <v>0.69</v>
      </c>
      <c r="D591">
        <v>8.9599999999999999E-2</v>
      </c>
      <c r="E591">
        <v>3</v>
      </c>
      <c r="F591">
        <v>101</v>
      </c>
      <c r="G591">
        <v>104</v>
      </c>
    </row>
    <row r="592" spans="1:7" x14ac:dyDescent="0.2">
      <c r="A592">
        <v>591</v>
      </c>
      <c r="B592">
        <v>0.2273</v>
      </c>
      <c r="C592">
        <v>0.69</v>
      </c>
      <c r="D592">
        <v>8.9599999999999999E-2</v>
      </c>
      <c r="E592">
        <v>3</v>
      </c>
      <c r="F592">
        <v>76</v>
      </c>
      <c r="G592">
        <v>79</v>
      </c>
    </row>
    <row r="593" spans="1:7" x14ac:dyDescent="0.2">
      <c r="A593">
        <v>592</v>
      </c>
      <c r="B593">
        <v>0.21210000000000001</v>
      </c>
      <c r="C593">
        <v>0.74</v>
      </c>
      <c r="D593">
        <v>8.9599999999999999E-2</v>
      </c>
      <c r="E593">
        <v>4</v>
      </c>
      <c r="F593">
        <v>55</v>
      </c>
      <c r="G593">
        <v>59</v>
      </c>
    </row>
    <row r="594" spans="1:7" x14ac:dyDescent="0.2">
      <c r="A594">
        <v>593</v>
      </c>
      <c r="B594">
        <v>0.21210000000000001</v>
      </c>
      <c r="C594">
        <v>0.74</v>
      </c>
      <c r="D594">
        <v>8.9599999999999999E-2</v>
      </c>
      <c r="E594">
        <v>2</v>
      </c>
      <c r="F594">
        <v>36</v>
      </c>
      <c r="G594">
        <v>38</v>
      </c>
    </row>
    <row r="595" spans="1:7" x14ac:dyDescent="0.2">
      <c r="A595">
        <v>594</v>
      </c>
      <c r="B595">
        <v>0.21210000000000001</v>
      </c>
      <c r="C595">
        <v>0.74</v>
      </c>
      <c r="D595">
        <v>8.9599999999999999E-2</v>
      </c>
      <c r="E595">
        <v>0</v>
      </c>
      <c r="F595">
        <v>27</v>
      </c>
      <c r="G595">
        <v>27</v>
      </c>
    </row>
    <row r="596" spans="1:7" x14ac:dyDescent="0.2">
      <c r="A596">
        <v>595</v>
      </c>
      <c r="B596">
        <v>0.19700000000000001</v>
      </c>
      <c r="C596">
        <v>0.8</v>
      </c>
      <c r="D596">
        <v>0.16420000000000001</v>
      </c>
      <c r="E596">
        <v>0</v>
      </c>
      <c r="F596">
        <v>16</v>
      </c>
      <c r="G596">
        <v>16</v>
      </c>
    </row>
    <row r="597" spans="1:7" x14ac:dyDescent="0.2">
      <c r="A597">
        <v>596</v>
      </c>
      <c r="B597">
        <v>0.21210000000000001</v>
      </c>
      <c r="C597">
        <v>0.75</v>
      </c>
      <c r="D597">
        <v>0.1343</v>
      </c>
      <c r="E597">
        <v>0</v>
      </c>
      <c r="F597">
        <v>9</v>
      </c>
      <c r="G597">
        <v>9</v>
      </c>
    </row>
    <row r="598" spans="1:7" x14ac:dyDescent="0.2">
      <c r="A598">
        <v>597</v>
      </c>
      <c r="B598">
        <v>0.21210000000000001</v>
      </c>
      <c r="C598">
        <v>0.75</v>
      </c>
      <c r="D598">
        <v>0.1343</v>
      </c>
      <c r="E598">
        <v>1</v>
      </c>
      <c r="F598">
        <v>2</v>
      </c>
      <c r="G598">
        <v>3</v>
      </c>
    </row>
    <row r="599" spans="1:7" x14ac:dyDescent="0.2">
      <c r="A599">
        <v>598</v>
      </c>
      <c r="B599">
        <v>0.21210000000000001</v>
      </c>
      <c r="C599">
        <v>0.75</v>
      </c>
      <c r="D599">
        <v>0.16420000000000001</v>
      </c>
      <c r="E599">
        <v>0</v>
      </c>
      <c r="F599">
        <v>2</v>
      </c>
      <c r="G599">
        <v>2</v>
      </c>
    </row>
    <row r="600" spans="1:7" x14ac:dyDescent="0.2">
      <c r="A600">
        <v>599</v>
      </c>
      <c r="B600">
        <v>0.2273</v>
      </c>
      <c r="C600">
        <v>0.75</v>
      </c>
      <c r="D600">
        <v>0.1045</v>
      </c>
      <c r="E600">
        <v>1</v>
      </c>
      <c r="F600">
        <v>0</v>
      </c>
      <c r="G600">
        <v>1</v>
      </c>
    </row>
    <row r="601" spans="1:7" x14ac:dyDescent="0.2">
      <c r="A601">
        <v>600</v>
      </c>
      <c r="B601">
        <v>0.21210000000000001</v>
      </c>
      <c r="C601">
        <v>0.8</v>
      </c>
      <c r="D601">
        <v>0.1045</v>
      </c>
      <c r="E601">
        <v>0</v>
      </c>
      <c r="F601">
        <v>4</v>
      </c>
      <c r="G601">
        <v>4</v>
      </c>
    </row>
    <row r="602" spans="1:7" x14ac:dyDescent="0.2">
      <c r="A602">
        <v>601</v>
      </c>
      <c r="B602">
        <v>0.19700000000000001</v>
      </c>
      <c r="C602">
        <v>0.8</v>
      </c>
      <c r="D602">
        <v>0.1343</v>
      </c>
      <c r="E602">
        <v>0</v>
      </c>
      <c r="F602">
        <v>16</v>
      </c>
      <c r="G602">
        <v>16</v>
      </c>
    </row>
    <row r="603" spans="1:7" x14ac:dyDescent="0.2">
      <c r="A603">
        <v>602</v>
      </c>
      <c r="B603">
        <v>0.19700000000000001</v>
      </c>
      <c r="C603">
        <v>0.86</v>
      </c>
      <c r="D603">
        <v>8.9599999999999999E-2</v>
      </c>
      <c r="E603">
        <v>2</v>
      </c>
      <c r="F603">
        <v>58</v>
      </c>
      <c r="G603">
        <v>60</v>
      </c>
    </row>
    <row r="604" spans="1:7" x14ac:dyDescent="0.2">
      <c r="A604">
        <v>603</v>
      </c>
      <c r="B604">
        <v>0.19700000000000001</v>
      </c>
      <c r="C604">
        <v>0.86</v>
      </c>
      <c r="D604">
        <v>8.9599999999999999E-2</v>
      </c>
      <c r="E604">
        <v>2</v>
      </c>
      <c r="F604">
        <v>155</v>
      </c>
      <c r="G604">
        <v>157</v>
      </c>
    </row>
    <row r="605" spans="1:7" x14ac:dyDescent="0.2">
      <c r="A605">
        <v>604</v>
      </c>
      <c r="B605">
        <v>0.21210000000000001</v>
      </c>
      <c r="C605">
        <v>0.86</v>
      </c>
      <c r="D605">
        <v>8.9599999999999999E-2</v>
      </c>
      <c r="E605">
        <v>6</v>
      </c>
      <c r="F605">
        <v>95</v>
      </c>
      <c r="G605">
        <v>101</v>
      </c>
    </row>
    <row r="606" spans="1:7" x14ac:dyDescent="0.2">
      <c r="A606">
        <v>605</v>
      </c>
      <c r="B606">
        <v>0.21210000000000001</v>
      </c>
      <c r="C606">
        <v>0.86</v>
      </c>
      <c r="D606">
        <v>0.1045</v>
      </c>
      <c r="E606">
        <v>0</v>
      </c>
      <c r="F606">
        <v>49</v>
      </c>
      <c r="G606">
        <v>49</v>
      </c>
    </row>
    <row r="607" spans="1:7" x14ac:dyDescent="0.2">
      <c r="A607">
        <v>606</v>
      </c>
      <c r="B607">
        <v>0.21210000000000001</v>
      </c>
      <c r="C607">
        <v>0.93</v>
      </c>
      <c r="D607">
        <v>0.1045</v>
      </c>
      <c r="E607">
        <v>0</v>
      </c>
      <c r="F607">
        <v>30</v>
      </c>
      <c r="G607">
        <v>30</v>
      </c>
    </row>
    <row r="608" spans="1:7" x14ac:dyDescent="0.2">
      <c r="A608">
        <v>607</v>
      </c>
      <c r="B608">
        <v>0.21210000000000001</v>
      </c>
      <c r="C608">
        <v>0.93</v>
      </c>
      <c r="D608">
        <v>0.1045</v>
      </c>
      <c r="E608">
        <v>1</v>
      </c>
      <c r="F608">
        <v>28</v>
      </c>
      <c r="G608">
        <v>29</v>
      </c>
    </row>
    <row r="609" spans="1:7" x14ac:dyDescent="0.2">
      <c r="A609">
        <v>608</v>
      </c>
      <c r="B609">
        <v>0.21210000000000001</v>
      </c>
      <c r="C609">
        <v>0.93</v>
      </c>
      <c r="D609">
        <v>0.1045</v>
      </c>
      <c r="E609">
        <v>0</v>
      </c>
      <c r="F609">
        <v>31</v>
      </c>
      <c r="G609">
        <v>31</v>
      </c>
    </row>
    <row r="610" spans="1:7" x14ac:dyDescent="0.2">
      <c r="A610">
        <v>609</v>
      </c>
      <c r="B610">
        <v>0.2727</v>
      </c>
      <c r="C610">
        <v>0.8</v>
      </c>
      <c r="D610">
        <v>0</v>
      </c>
      <c r="E610">
        <v>2</v>
      </c>
      <c r="F610">
        <v>36</v>
      </c>
      <c r="G610">
        <v>38</v>
      </c>
    </row>
    <row r="611" spans="1:7" x14ac:dyDescent="0.2">
      <c r="A611">
        <v>610</v>
      </c>
      <c r="B611">
        <v>0.2576</v>
      </c>
      <c r="C611">
        <v>0.86</v>
      </c>
      <c r="D611">
        <v>0</v>
      </c>
      <c r="E611">
        <v>1</v>
      </c>
      <c r="F611">
        <v>40</v>
      </c>
      <c r="G611">
        <v>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BDEA-96F6-42BF-A465-956B41FD1DB8}">
  <dimension ref="A1:J611"/>
  <sheetViews>
    <sheetView workbookViewId="0">
      <selection activeCell="K18" sqref="K18"/>
    </sheetView>
  </sheetViews>
  <sheetFormatPr defaultRowHeight="12.75" x14ac:dyDescent="0.2"/>
  <cols>
    <col min="1" max="1" width="9.28515625" bestFit="1" customWidth="1"/>
    <col min="2" max="2" width="8.140625" bestFit="1" customWidth="1"/>
    <col min="3" max="3" width="10" bestFit="1" customWidth="1"/>
    <col min="4" max="4" width="7.42578125" bestFit="1" customWidth="1"/>
    <col min="5" max="5" width="8.85546875" bestFit="1" customWidth="1"/>
    <col min="6" max="6" width="5.28515625" bestFit="1" customWidth="1"/>
    <col min="7" max="7" width="10.140625" bestFit="1" customWidth="1"/>
    <col min="8" max="8" width="11.7109375" bestFit="1" customWidth="1"/>
    <col min="9" max="9" width="14" bestFit="1" customWidth="1"/>
    <col min="10" max="10" width="8.42578125" bestFit="1" customWidth="1"/>
    <col min="11" max="12" width="12.28515625" bestFit="1" customWidth="1"/>
  </cols>
  <sheetData>
    <row r="1" spans="1:10" x14ac:dyDescent="0.2">
      <c r="A1" t="s">
        <v>8</v>
      </c>
      <c r="B1" t="s">
        <v>9</v>
      </c>
      <c r="C1" t="s">
        <v>0</v>
      </c>
      <c r="D1" t="s">
        <v>1</v>
      </c>
      <c r="E1" t="s">
        <v>2</v>
      </c>
      <c r="F1" t="s">
        <v>3</v>
      </c>
      <c r="G1" t="s">
        <v>4</v>
      </c>
      <c r="H1" t="s">
        <v>5</v>
      </c>
      <c r="I1" t="s">
        <v>6</v>
      </c>
      <c r="J1" t="s">
        <v>7</v>
      </c>
    </row>
    <row r="2" spans="1:10" x14ac:dyDescent="0.2">
      <c r="A2">
        <v>1</v>
      </c>
      <c r="B2" s="3">
        <v>40544</v>
      </c>
      <c r="C2">
        <v>1</v>
      </c>
      <c r="D2">
        <v>2011</v>
      </c>
      <c r="E2" t="s">
        <v>10</v>
      </c>
      <c r="F2">
        <v>0</v>
      </c>
      <c r="G2" t="b">
        <v>0</v>
      </c>
      <c r="H2" t="s">
        <v>11</v>
      </c>
      <c r="I2">
        <v>1</v>
      </c>
      <c r="J2">
        <v>0.24</v>
      </c>
    </row>
    <row r="3" spans="1:10" x14ac:dyDescent="0.2">
      <c r="A3">
        <v>2</v>
      </c>
      <c r="B3" s="3">
        <v>40544</v>
      </c>
      <c r="C3">
        <v>1</v>
      </c>
      <c r="D3">
        <v>2011</v>
      </c>
      <c r="E3" t="s">
        <v>10</v>
      </c>
      <c r="F3">
        <v>1</v>
      </c>
      <c r="G3" t="b">
        <v>0</v>
      </c>
      <c r="H3" t="s">
        <v>11</v>
      </c>
      <c r="I3">
        <v>1</v>
      </c>
      <c r="J3">
        <v>0.22</v>
      </c>
    </row>
    <row r="4" spans="1:10" x14ac:dyDescent="0.2">
      <c r="A4">
        <v>3</v>
      </c>
      <c r="B4" s="3">
        <v>40544</v>
      </c>
      <c r="C4">
        <v>1</v>
      </c>
      <c r="D4">
        <v>2011</v>
      </c>
      <c r="E4" t="s">
        <v>10</v>
      </c>
      <c r="F4">
        <v>2</v>
      </c>
      <c r="G4" t="b">
        <v>0</v>
      </c>
      <c r="H4" t="s">
        <v>11</v>
      </c>
      <c r="I4">
        <v>1</v>
      </c>
      <c r="J4">
        <v>0.22</v>
      </c>
    </row>
    <row r="5" spans="1:10" x14ac:dyDescent="0.2">
      <c r="A5">
        <v>4</v>
      </c>
      <c r="B5" s="3">
        <v>40544</v>
      </c>
      <c r="C5">
        <v>1</v>
      </c>
      <c r="D5">
        <v>2011</v>
      </c>
      <c r="E5" t="s">
        <v>10</v>
      </c>
      <c r="F5">
        <v>3</v>
      </c>
      <c r="G5" t="b">
        <v>0</v>
      </c>
      <c r="H5" t="s">
        <v>11</v>
      </c>
      <c r="I5">
        <v>1</v>
      </c>
      <c r="J5">
        <v>0.24</v>
      </c>
    </row>
    <row r="6" spans="1:10" x14ac:dyDescent="0.2">
      <c r="A6">
        <v>5</v>
      </c>
      <c r="B6" s="3">
        <v>40544</v>
      </c>
      <c r="C6">
        <v>1</v>
      </c>
      <c r="D6">
        <v>2011</v>
      </c>
      <c r="E6" t="s">
        <v>10</v>
      </c>
      <c r="F6">
        <v>4</v>
      </c>
      <c r="G6" t="b">
        <v>0</v>
      </c>
      <c r="H6" t="s">
        <v>11</v>
      </c>
      <c r="I6">
        <v>1</v>
      </c>
      <c r="J6">
        <v>0.24</v>
      </c>
    </row>
    <row r="7" spans="1:10" x14ac:dyDescent="0.2">
      <c r="A7">
        <v>6</v>
      </c>
      <c r="B7" s="3">
        <v>40544</v>
      </c>
      <c r="C7">
        <v>1</v>
      </c>
      <c r="D7">
        <v>2011</v>
      </c>
      <c r="E7" t="s">
        <v>10</v>
      </c>
      <c r="F7">
        <v>5</v>
      </c>
      <c r="G7" t="b">
        <v>0</v>
      </c>
      <c r="H7" t="s">
        <v>11</v>
      </c>
      <c r="I7">
        <v>2</v>
      </c>
      <c r="J7">
        <v>0.24</v>
      </c>
    </row>
    <row r="8" spans="1:10" x14ac:dyDescent="0.2">
      <c r="A8">
        <v>7</v>
      </c>
      <c r="B8" s="3">
        <v>40544</v>
      </c>
      <c r="C8">
        <v>1</v>
      </c>
      <c r="D8">
        <v>2011</v>
      </c>
      <c r="E8" t="s">
        <v>10</v>
      </c>
      <c r="F8">
        <v>6</v>
      </c>
      <c r="G8" t="b">
        <v>0</v>
      </c>
      <c r="H8" t="s">
        <v>11</v>
      </c>
      <c r="I8">
        <v>1</v>
      </c>
      <c r="J8">
        <v>0.22</v>
      </c>
    </row>
    <row r="9" spans="1:10" x14ac:dyDescent="0.2">
      <c r="A9">
        <v>8</v>
      </c>
      <c r="B9" s="3">
        <v>40544</v>
      </c>
      <c r="C9">
        <v>1</v>
      </c>
      <c r="D9">
        <v>2011</v>
      </c>
      <c r="E9" t="s">
        <v>10</v>
      </c>
      <c r="F9">
        <v>7</v>
      </c>
      <c r="G9" t="b">
        <v>0</v>
      </c>
      <c r="H9" t="s">
        <v>11</v>
      </c>
      <c r="I9">
        <v>1</v>
      </c>
      <c r="J9">
        <v>0.2</v>
      </c>
    </row>
    <row r="10" spans="1:10" x14ac:dyDescent="0.2">
      <c r="A10">
        <v>9</v>
      </c>
      <c r="B10" s="3">
        <v>40544</v>
      </c>
      <c r="C10">
        <v>1</v>
      </c>
      <c r="D10">
        <v>2011</v>
      </c>
      <c r="E10" t="s">
        <v>10</v>
      </c>
      <c r="F10">
        <v>8</v>
      </c>
      <c r="G10" t="b">
        <v>0</v>
      </c>
      <c r="H10" t="s">
        <v>11</v>
      </c>
      <c r="I10">
        <v>1</v>
      </c>
      <c r="J10">
        <v>0.24</v>
      </c>
    </row>
    <row r="11" spans="1:10" x14ac:dyDescent="0.2">
      <c r="A11">
        <v>10</v>
      </c>
      <c r="B11" s="3">
        <v>40544</v>
      </c>
      <c r="C11">
        <v>1</v>
      </c>
      <c r="D11">
        <v>2011</v>
      </c>
      <c r="E11" t="s">
        <v>10</v>
      </c>
      <c r="F11">
        <v>9</v>
      </c>
      <c r="G11" t="b">
        <v>0</v>
      </c>
      <c r="H11" t="s">
        <v>11</v>
      </c>
      <c r="I11">
        <v>1</v>
      </c>
      <c r="J11">
        <v>0.32</v>
      </c>
    </row>
    <row r="12" spans="1:10" x14ac:dyDescent="0.2">
      <c r="A12">
        <v>11</v>
      </c>
      <c r="B12" s="3">
        <v>40544</v>
      </c>
      <c r="C12">
        <v>1</v>
      </c>
      <c r="D12">
        <v>2011</v>
      </c>
      <c r="E12" t="s">
        <v>10</v>
      </c>
      <c r="F12">
        <v>10</v>
      </c>
      <c r="G12" t="b">
        <v>0</v>
      </c>
      <c r="H12" t="s">
        <v>11</v>
      </c>
      <c r="I12">
        <v>1</v>
      </c>
      <c r="J12">
        <v>0.38</v>
      </c>
    </row>
    <row r="13" spans="1:10" x14ac:dyDescent="0.2">
      <c r="A13">
        <v>12</v>
      </c>
      <c r="B13" s="3">
        <v>40544</v>
      </c>
      <c r="C13">
        <v>1</v>
      </c>
      <c r="D13">
        <v>2011</v>
      </c>
      <c r="E13" t="s">
        <v>10</v>
      </c>
      <c r="F13">
        <v>11</v>
      </c>
      <c r="G13" t="b">
        <v>0</v>
      </c>
      <c r="H13" t="s">
        <v>11</v>
      </c>
      <c r="I13">
        <v>1</v>
      </c>
      <c r="J13">
        <v>0.36</v>
      </c>
    </row>
    <row r="14" spans="1:10" x14ac:dyDescent="0.2">
      <c r="A14">
        <v>13</v>
      </c>
      <c r="B14" s="3">
        <v>40544</v>
      </c>
      <c r="C14">
        <v>1</v>
      </c>
      <c r="D14">
        <v>2011</v>
      </c>
      <c r="E14" t="s">
        <v>10</v>
      </c>
      <c r="F14">
        <v>12</v>
      </c>
      <c r="G14" t="b">
        <v>0</v>
      </c>
      <c r="H14" t="s">
        <v>11</v>
      </c>
      <c r="I14">
        <v>1</v>
      </c>
      <c r="J14">
        <v>0.42</v>
      </c>
    </row>
    <row r="15" spans="1:10" x14ac:dyDescent="0.2">
      <c r="A15">
        <v>14</v>
      </c>
      <c r="B15" s="3">
        <v>40544</v>
      </c>
      <c r="C15">
        <v>1</v>
      </c>
      <c r="D15">
        <v>2011</v>
      </c>
      <c r="E15" t="s">
        <v>10</v>
      </c>
      <c r="F15">
        <v>13</v>
      </c>
      <c r="G15" t="b">
        <v>0</v>
      </c>
      <c r="H15" t="s">
        <v>11</v>
      </c>
      <c r="I15">
        <v>2</v>
      </c>
      <c r="J15">
        <v>0.46</v>
      </c>
    </row>
    <row r="16" spans="1:10" x14ac:dyDescent="0.2">
      <c r="A16">
        <v>15</v>
      </c>
      <c r="B16" s="3">
        <v>40544</v>
      </c>
      <c r="C16">
        <v>1</v>
      </c>
      <c r="D16">
        <v>2011</v>
      </c>
      <c r="E16" t="s">
        <v>10</v>
      </c>
      <c r="F16">
        <v>14</v>
      </c>
      <c r="G16" t="b">
        <v>0</v>
      </c>
      <c r="H16" t="s">
        <v>11</v>
      </c>
      <c r="I16">
        <v>2</v>
      </c>
      <c r="J16">
        <v>0.46</v>
      </c>
    </row>
    <row r="17" spans="1:10" x14ac:dyDescent="0.2">
      <c r="A17">
        <v>16</v>
      </c>
      <c r="B17" s="3">
        <v>40544</v>
      </c>
      <c r="C17">
        <v>1</v>
      </c>
      <c r="D17">
        <v>2011</v>
      </c>
      <c r="E17" t="s">
        <v>10</v>
      </c>
      <c r="F17">
        <v>15</v>
      </c>
      <c r="G17" t="b">
        <v>0</v>
      </c>
      <c r="H17" t="s">
        <v>11</v>
      </c>
      <c r="I17">
        <v>2</v>
      </c>
      <c r="J17">
        <v>0.44</v>
      </c>
    </row>
    <row r="18" spans="1:10" x14ac:dyDescent="0.2">
      <c r="A18">
        <v>17</v>
      </c>
      <c r="B18" s="3">
        <v>40544</v>
      </c>
      <c r="C18">
        <v>1</v>
      </c>
      <c r="D18">
        <v>2011</v>
      </c>
      <c r="E18" t="s">
        <v>10</v>
      </c>
      <c r="F18">
        <v>16</v>
      </c>
      <c r="G18" t="b">
        <v>0</v>
      </c>
      <c r="H18" t="s">
        <v>11</v>
      </c>
      <c r="I18">
        <v>2</v>
      </c>
      <c r="J18">
        <v>0.42</v>
      </c>
    </row>
    <row r="19" spans="1:10" x14ac:dyDescent="0.2">
      <c r="A19">
        <v>18</v>
      </c>
      <c r="B19" s="3">
        <v>40544</v>
      </c>
      <c r="C19">
        <v>1</v>
      </c>
      <c r="D19">
        <v>2011</v>
      </c>
      <c r="E19" t="s">
        <v>10</v>
      </c>
      <c r="F19">
        <v>17</v>
      </c>
      <c r="G19" t="b">
        <v>0</v>
      </c>
      <c r="H19" t="s">
        <v>11</v>
      </c>
      <c r="I19">
        <v>2</v>
      </c>
      <c r="J19">
        <v>0.44</v>
      </c>
    </row>
    <row r="20" spans="1:10" x14ac:dyDescent="0.2">
      <c r="A20">
        <v>19</v>
      </c>
      <c r="B20" s="3">
        <v>40544</v>
      </c>
      <c r="C20">
        <v>1</v>
      </c>
      <c r="D20">
        <v>2011</v>
      </c>
      <c r="E20" t="s">
        <v>10</v>
      </c>
      <c r="F20">
        <v>18</v>
      </c>
      <c r="G20" t="b">
        <v>0</v>
      </c>
      <c r="H20" t="s">
        <v>11</v>
      </c>
      <c r="I20">
        <v>3</v>
      </c>
      <c r="J20">
        <v>0.42</v>
      </c>
    </row>
    <row r="21" spans="1:10" x14ac:dyDescent="0.2">
      <c r="A21">
        <v>20</v>
      </c>
      <c r="B21" s="3">
        <v>40544</v>
      </c>
      <c r="C21">
        <v>1</v>
      </c>
      <c r="D21">
        <v>2011</v>
      </c>
      <c r="E21" t="s">
        <v>10</v>
      </c>
      <c r="F21">
        <v>19</v>
      </c>
      <c r="G21" t="b">
        <v>0</v>
      </c>
      <c r="H21" t="s">
        <v>11</v>
      </c>
      <c r="I21">
        <v>3</v>
      </c>
      <c r="J21">
        <v>0.42</v>
      </c>
    </row>
    <row r="22" spans="1:10" x14ac:dyDescent="0.2">
      <c r="A22">
        <v>21</v>
      </c>
      <c r="B22" s="3">
        <v>40544</v>
      </c>
      <c r="C22">
        <v>1</v>
      </c>
      <c r="D22">
        <v>2011</v>
      </c>
      <c r="E22" t="s">
        <v>10</v>
      </c>
      <c r="F22">
        <v>20</v>
      </c>
      <c r="G22" t="b">
        <v>0</v>
      </c>
      <c r="H22" t="s">
        <v>11</v>
      </c>
      <c r="I22">
        <v>2</v>
      </c>
      <c r="J22">
        <v>0.4</v>
      </c>
    </row>
    <row r="23" spans="1:10" x14ac:dyDescent="0.2">
      <c r="A23">
        <v>22</v>
      </c>
      <c r="B23" s="3">
        <v>40544</v>
      </c>
      <c r="C23">
        <v>1</v>
      </c>
      <c r="D23">
        <v>2011</v>
      </c>
      <c r="E23" t="s">
        <v>10</v>
      </c>
      <c r="F23">
        <v>21</v>
      </c>
      <c r="G23" t="b">
        <v>0</v>
      </c>
      <c r="H23" t="s">
        <v>11</v>
      </c>
      <c r="I23">
        <v>2</v>
      </c>
      <c r="J23">
        <v>0.4</v>
      </c>
    </row>
    <row r="24" spans="1:10" x14ac:dyDescent="0.2">
      <c r="A24">
        <v>23</v>
      </c>
      <c r="B24" s="3">
        <v>40544</v>
      </c>
      <c r="C24">
        <v>1</v>
      </c>
      <c r="D24">
        <v>2011</v>
      </c>
      <c r="E24" t="s">
        <v>10</v>
      </c>
      <c r="F24">
        <v>22</v>
      </c>
      <c r="G24" t="b">
        <v>0</v>
      </c>
      <c r="H24" t="s">
        <v>11</v>
      </c>
      <c r="I24">
        <v>2</v>
      </c>
      <c r="J24">
        <v>0.4</v>
      </c>
    </row>
    <row r="25" spans="1:10" x14ac:dyDescent="0.2">
      <c r="A25">
        <v>24</v>
      </c>
      <c r="B25" s="3">
        <v>40544</v>
      </c>
      <c r="C25">
        <v>1</v>
      </c>
      <c r="D25">
        <v>2011</v>
      </c>
      <c r="E25" t="s">
        <v>10</v>
      </c>
      <c r="F25">
        <v>23</v>
      </c>
      <c r="G25" t="b">
        <v>0</v>
      </c>
      <c r="H25" t="s">
        <v>11</v>
      </c>
      <c r="I25">
        <v>2</v>
      </c>
      <c r="J25">
        <v>0.46</v>
      </c>
    </row>
    <row r="26" spans="1:10" x14ac:dyDescent="0.2">
      <c r="A26">
        <v>25</v>
      </c>
      <c r="B26" s="3">
        <v>40545</v>
      </c>
      <c r="C26">
        <v>1</v>
      </c>
      <c r="D26">
        <v>2011</v>
      </c>
      <c r="E26" t="s">
        <v>10</v>
      </c>
      <c r="F26">
        <v>0</v>
      </c>
      <c r="G26" t="b">
        <v>1</v>
      </c>
      <c r="H26" t="s">
        <v>12</v>
      </c>
      <c r="I26">
        <v>2</v>
      </c>
      <c r="J26">
        <v>0.46</v>
      </c>
    </row>
    <row r="27" spans="1:10" x14ac:dyDescent="0.2">
      <c r="A27">
        <v>26</v>
      </c>
      <c r="B27" s="3">
        <v>40545</v>
      </c>
      <c r="C27">
        <v>1</v>
      </c>
      <c r="D27">
        <v>2011</v>
      </c>
      <c r="E27" t="s">
        <v>10</v>
      </c>
      <c r="F27">
        <v>1</v>
      </c>
      <c r="G27" t="b">
        <v>1</v>
      </c>
      <c r="H27" t="s">
        <v>12</v>
      </c>
      <c r="I27">
        <v>2</v>
      </c>
      <c r="J27">
        <v>0.44</v>
      </c>
    </row>
    <row r="28" spans="1:10" x14ac:dyDescent="0.2">
      <c r="A28">
        <v>27</v>
      </c>
      <c r="B28" s="3">
        <v>40545</v>
      </c>
      <c r="C28">
        <v>1</v>
      </c>
      <c r="D28">
        <v>2011</v>
      </c>
      <c r="E28" t="s">
        <v>10</v>
      </c>
      <c r="F28">
        <v>2</v>
      </c>
      <c r="G28" t="b">
        <v>1</v>
      </c>
      <c r="H28" t="s">
        <v>12</v>
      </c>
      <c r="I28">
        <v>2</v>
      </c>
      <c r="J28">
        <v>0.42</v>
      </c>
    </row>
    <row r="29" spans="1:10" x14ac:dyDescent="0.2">
      <c r="A29">
        <v>28</v>
      </c>
      <c r="B29" s="3">
        <v>40545</v>
      </c>
      <c r="C29">
        <v>1</v>
      </c>
      <c r="D29">
        <v>2011</v>
      </c>
      <c r="E29" t="s">
        <v>10</v>
      </c>
      <c r="F29">
        <v>3</v>
      </c>
      <c r="G29" t="b">
        <v>1</v>
      </c>
      <c r="H29" t="s">
        <v>12</v>
      </c>
      <c r="I29">
        <v>2</v>
      </c>
      <c r="J29">
        <v>0.46</v>
      </c>
    </row>
    <row r="30" spans="1:10" x14ac:dyDescent="0.2">
      <c r="A30">
        <v>29</v>
      </c>
      <c r="B30" s="3">
        <v>40545</v>
      </c>
      <c r="C30">
        <v>1</v>
      </c>
      <c r="D30">
        <v>2011</v>
      </c>
      <c r="E30" t="s">
        <v>10</v>
      </c>
      <c r="F30">
        <v>4</v>
      </c>
      <c r="G30" t="b">
        <v>1</v>
      </c>
      <c r="H30" t="s">
        <v>12</v>
      </c>
      <c r="I30">
        <v>2</v>
      </c>
      <c r="J30">
        <v>0.46</v>
      </c>
    </row>
    <row r="31" spans="1:10" x14ac:dyDescent="0.2">
      <c r="A31">
        <v>30</v>
      </c>
      <c r="B31" s="3">
        <v>40545</v>
      </c>
      <c r="C31">
        <v>1</v>
      </c>
      <c r="D31">
        <v>2011</v>
      </c>
      <c r="E31" t="s">
        <v>10</v>
      </c>
      <c r="F31">
        <v>6</v>
      </c>
      <c r="G31" t="b">
        <v>1</v>
      </c>
      <c r="H31" t="s">
        <v>12</v>
      </c>
      <c r="I31">
        <v>3</v>
      </c>
      <c r="J31">
        <v>0.42</v>
      </c>
    </row>
    <row r="32" spans="1:10" x14ac:dyDescent="0.2">
      <c r="A32">
        <v>31</v>
      </c>
      <c r="B32" s="3">
        <v>40545</v>
      </c>
      <c r="C32">
        <v>1</v>
      </c>
      <c r="D32">
        <v>2011</v>
      </c>
      <c r="E32" t="s">
        <v>10</v>
      </c>
      <c r="F32">
        <v>7</v>
      </c>
      <c r="G32" t="b">
        <v>1</v>
      </c>
      <c r="H32" t="s">
        <v>12</v>
      </c>
      <c r="I32">
        <v>2</v>
      </c>
      <c r="J32">
        <v>0.4</v>
      </c>
    </row>
    <row r="33" spans="1:10" x14ac:dyDescent="0.2">
      <c r="A33">
        <v>32</v>
      </c>
      <c r="B33" s="3">
        <v>40545</v>
      </c>
      <c r="C33">
        <v>1</v>
      </c>
      <c r="D33">
        <v>2011</v>
      </c>
      <c r="E33" t="s">
        <v>10</v>
      </c>
      <c r="F33">
        <v>8</v>
      </c>
      <c r="G33" t="b">
        <v>1</v>
      </c>
      <c r="H33" t="s">
        <v>12</v>
      </c>
      <c r="I33">
        <v>3</v>
      </c>
      <c r="J33">
        <v>0.4</v>
      </c>
    </row>
    <row r="34" spans="1:10" x14ac:dyDescent="0.2">
      <c r="A34">
        <v>33</v>
      </c>
      <c r="B34" s="3">
        <v>40545</v>
      </c>
      <c r="C34">
        <v>1</v>
      </c>
      <c r="D34">
        <v>2011</v>
      </c>
      <c r="E34" t="s">
        <v>10</v>
      </c>
      <c r="F34">
        <v>9</v>
      </c>
      <c r="G34" t="b">
        <v>1</v>
      </c>
      <c r="H34" t="s">
        <v>12</v>
      </c>
      <c r="I34">
        <v>2</v>
      </c>
      <c r="J34">
        <v>0.38</v>
      </c>
    </row>
    <row r="35" spans="1:10" x14ac:dyDescent="0.2">
      <c r="A35">
        <v>34</v>
      </c>
      <c r="B35" s="3">
        <v>40545</v>
      </c>
      <c r="C35">
        <v>1</v>
      </c>
      <c r="D35">
        <v>2011</v>
      </c>
      <c r="E35" t="s">
        <v>10</v>
      </c>
      <c r="F35">
        <v>10</v>
      </c>
      <c r="G35" t="b">
        <v>1</v>
      </c>
      <c r="H35" t="s">
        <v>12</v>
      </c>
      <c r="I35">
        <v>2</v>
      </c>
      <c r="J35">
        <v>0.36</v>
      </c>
    </row>
    <row r="36" spans="1:10" x14ac:dyDescent="0.2">
      <c r="A36">
        <v>35</v>
      </c>
      <c r="B36" s="3">
        <v>40545</v>
      </c>
      <c r="C36">
        <v>1</v>
      </c>
      <c r="D36">
        <v>2011</v>
      </c>
      <c r="E36" t="s">
        <v>10</v>
      </c>
      <c r="F36">
        <v>11</v>
      </c>
      <c r="G36" t="b">
        <v>1</v>
      </c>
      <c r="H36" t="s">
        <v>12</v>
      </c>
      <c r="I36">
        <v>2</v>
      </c>
      <c r="J36">
        <v>0.36</v>
      </c>
    </row>
    <row r="37" spans="1:10" x14ac:dyDescent="0.2">
      <c r="A37">
        <v>36</v>
      </c>
      <c r="B37" s="3">
        <v>40545</v>
      </c>
      <c r="C37">
        <v>1</v>
      </c>
      <c r="D37">
        <v>2011</v>
      </c>
      <c r="E37" t="s">
        <v>10</v>
      </c>
      <c r="F37">
        <v>12</v>
      </c>
      <c r="G37" t="b">
        <v>1</v>
      </c>
      <c r="H37" t="s">
        <v>12</v>
      </c>
      <c r="I37">
        <v>2</v>
      </c>
      <c r="J37">
        <v>0.36</v>
      </c>
    </row>
    <row r="38" spans="1:10" x14ac:dyDescent="0.2">
      <c r="A38">
        <v>37</v>
      </c>
      <c r="B38" s="3">
        <v>40545</v>
      </c>
      <c r="C38">
        <v>1</v>
      </c>
      <c r="D38">
        <v>2011</v>
      </c>
      <c r="E38" t="s">
        <v>10</v>
      </c>
      <c r="F38">
        <v>13</v>
      </c>
      <c r="G38" t="b">
        <v>1</v>
      </c>
      <c r="H38" t="s">
        <v>12</v>
      </c>
      <c r="I38">
        <v>2</v>
      </c>
      <c r="J38">
        <v>0.36</v>
      </c>
    </row>
    <row r="39" spans="1:10" x14ac:dyDescent="0.2">
      <c r="A39">
        <v>38</v>
      </c>
      <c r="B39" s="3">
        <v>40545</v>
      </c>
      <c r="C39">
        <v>1</v>
      </c>
      <c r="D39">
        <v>2011</v>
      </c>
      <c r="E39" t="s">
        <v>10</v>
      </c>
      <c r="F39">
        <v>14</v>
      </c>
      <c r="G39" t="b">
        <v>1</v>
      </c>
      <c r="H39" t="s">
        <v>12</v>
      </c>
      <c r="I39">
        <v>3</v>
      </c>
      <c r="J39">
        <v>0.36</v>
      </c>
    </row>
    <row r="40" spans="1:10" x14ac:dyDescent="0.2">
      <c r="A40">
        <v>39</v>
      </c>
      <c r="B40" s="3">
        <v>40545</v>
      </c>
      <c r="C40">
        <v>1</v>
      </c>
      <c r="D40">
        <v>2011</v>
      </c>
      <c r="E40" t="s">
        <v>10</v>
      </c>
      <c r="F40">
        <v>15</v>
      </c>
      <c r="G40" t="b">
        <v>1</v>
      </c>
      <c r="H40" t="s">
        <v>12</v>
      </c>
      <c r="I40">
        <v>3</v>
      </c>
      <c r="J40">
        <v>0.34</v>
      </c>
    </row>
    <row r="41" spans="1:10" x14ac:dyDescent="0.2">
      <c r="A41">
        <v>40</v>
      </c>
      <c r="B41" s="3">
        <v>40545</v>
      </c>
      <c r="C41">
        <v>1</v>
      </c>
      <c r="D41">
        <v>2011</v>
      </c>
      <c r="E41" t="s">
        <v>10</v>
      </c>
      <c r="F41">
        <v>16</v>
      </c>
      <c r="G41" t="b">
        <v>1</v>
      </c>
      <c r="H41" t="s">
        <v>12</v>
      </c>
      <c r="I41">
        <v>3</v>
      </c>
      <c r="J41">
        <v>0.34</v>
      </c>
    </row>
    <row r="42" spans="1:10" x14ac:dyDescent="0.2">
      <c r="A42">
        <v>41</v>
      </c>
      <c r="B42" s="3">
        <v>40545</v>
      </c>
      <c r="C42">
        <v>1</v>
      </c>
      <c r="D42">
        <v>2011</v>
      </c>
      <c r="E42" t="s">
        <v>10</v>
      </c>
      <c r="F42">
        <v>17</v>
      </c>
      <c r="G42" t="b">
        <v>1</v>
      </c>
      <c r="H42" t="s">
        <v>12</v>
      </c>
      <c r="I42">
        <v>1</v>
      </c>
      <c r="J42">
        <v>0.34</v>
      </c>
    </row>
    <row r="43" spans="1:10" x14ac:dyDescent="0.2">
      <c r="A43">
        <v>42</v>
      </c>
      <c r="B43" s="3">
        <v>40545</v>
      </c>
      <c r="C43">
        <v>1</v>
      </c>
      <c r="D43">
        <v>2011</v>
      </c>
      <c r="E43" t="s">
        <v>10</v>
      </c>
      <c r="F43">
        <v>18</v>
      </c>
      <c r="G43" t="b">
        <v>1</v>
      </c>
      <c r="H43" t="s">
        <v>12</v>
      </c>
      <c r="I43">
        <v>2</v>
      </c>
      <c r="J43">
        <v>0.36</v>
      </c>
    </row>
    <row r="44" spans="1:10" x14ac:dyDescent="0.2">
      <c r="A44">
        <v>43</v>
      </c>
      <c r="B44" s="3">
        <v>40545</v>
      </c>
      <c r="C44">
        <v>1</v>
      </c>
      <c r="D44">
        <v>2011</v>
      </c>
      <c r="E44" t="s">
        <v>10</v>
      </c>
      <c r="F44">
        <v>19</v>
      </c>
      <c r="G44" t="b">
        <v>1</v>
      </c>
      <c r="H44" t="s">
        <v>12</v>
      </c>
      <c r="I44">
        <v>1</v>
      </c>
      <c r="J44">
        <v>0.32</v>
      </c>
    </row>
    <row r="45" spans="1:10" x14ac:dyDescent="0.2">
      <c r="A45">
        <v>44</v>
      </c>
      <c r="B45" s="3">
        <v>40545</v>
      </c>
      <c r="C45">
        <v>1</v>
      </c>
      <c r="D45">
        <v>2011</v>
      </c>
      <c r="E45" t="s">
        <v>10</v>
      </c>
      <c r="F45">
        <v>20</v>
      </c>
      <c r="G45" t="b">
        <v>1</v>
      </c>
      <c r="H45" t="s">
        <v>12</v>
      </c>
      <c r="I45">
        <v>1</v>
      </c>
      <c r="J45">
        <v>0.3</v>
      </c>
    </row>
    <row r="46" spans="1:10" x14ac:dyDescent="0.2">
      <c r="A46">
        <v>45</v>
      </c>
      <c r="B46" s="3">
        <v>40545</v>
      </c>
      <c r="C46">
        <v>1</v>
      </c>
      <c r="D46">
        <v>2011</v>
      </c>
      <c r="E46" t="s">
        <v>10</v>
      </c>
      <c r="F46">
        <v>21</v>
      </c>
      <c r="G46" t="b">
        <v>1</v>
      </c>
      <c r="H46" t="s">
        <v>12</v>
      </c>
      <c r="I46">
        <v>1</v>
      </c>
      <c r="J46">
        <v>0.26</v>
      </c>
    </row>
    <row r="47" spans="1:10" x14ac:dyDescent="0.2">
      <c r="A47">
        <v>46</v>
      </c>
      <c r="B47" s="3">
        <v>40545</v>
      </c>
      <c r="C47">
        <v>1</v>
      </c>
      <c r="D47">
        <v>2011</v>
      </c>
      <c r="E47" t="s">
        <v>10</v>
      </c>
      <c r="F47">
        <v>22</v>
      </c>
      <c r="G47" t="b">
        <v>1</v>
      </c>
      <c r="H47" t="s">
        <v>12</v>
      </c>
      <c r="I47">
        <v>1</v>
      </c>
      <c r="J47">
        <v>0.24</v>
      </c>
    </row>
    <row r="48" spans="1:10" x14ac:dyDescent="0.2">
      <c r="A48">
        <v>47</v>
      </c>
      <c r="B48" s="3">
        <v>40545</v>
      </c>
      <c r="C48">
        <v>1</v>
      </c>
      <c r="D48">
        <v>2011</v>
      </c>
      <c r="E48" t="s">
        <v>10</v>
      </c>
      <c r="F48">
        <v>23</v>
      </c>
      <c r="G48" t="b">
        <v>1</v>
      </c>
      <c r="H48" t="s">
        <v>12</v>
      </c>
      <c r="I48">
        <v>1</v>
      </c>
      <c r="J48">
        <v>0.22</v>
      </c>
    </row>
    <row r="49" spans="1:10" x14ac:dyDescent="0.2">
      <c r="A49">
        <v>48</v>
      </c>
      <c r="B49" s="3">
        <v>40546</v>
      </c>
      <c r="C49">
        <v>1</v>
      </c>
      <c r="D49">
        <v>2011</v>
      </c>
      <c r="E49" t="s">
        <v>10</v>
      </c>
      <c r="F49">
        <v>0</v>
      </c>
      <c r="G49" t="b">
        <v>0</v>
      </c>
      <c r="H49" t="s">
        <v>13</v>
      </c>
      <c r="I49">
        <v>1</v>
      </c>
      <c r="J49">
        <v>0.22</v>
      </c>
    </row>
    <row r="50" spans="1:10" x14ac:dyDescent="0.2">
      <c r="A50">
        <v>49</v>
      </c>
      <c r="B50" s="3">
        <v>40546</v>
      </c>
      <c r="C50">
        <v>1</v>
      </c>
      <c r="D50">
        <v>2011</v>
      </c>
      <c r="E50" t="s">
        <v>10</v>
      </c>
      <c r="F50">
        <v>1</v>
      </c>
      <c r="G50" t="b">
        <v>0</v>
      </c>
      <c r="H50" t="s">
        <v>13</v>
      </c>
      <c r="I50">
        <v>1</v>
      </c>
      <c r="J50">
        <v>0.2</v>
      </c>
    </row>
    <row r="51" spans="1:10" x14ac:dyDescent="0.2">
      <c r="A51">
        <v>50</v>
      </c>
      <c r="B51" s="3">
        <v>40546</v>
      </c>
      <c r="C51">
        <v>1</v>
      </c>
      <c r="D51">
        <v>2011</v>
      </c>
      <c r="E51" t="s">
        <v>10</v>
      </c>
      <c r="F51">
        <v>4</v>
      </c>
      <c r="G51" t="b">
        <v>0</v>
      </c>
      <c r="H51" t="s">
        <v>13</v>
      </c>
      <c r="I51">
        <v>1</v>
      </c>
      <c r="J51">
        <v>0.16</v>
      </c>
    </row>
    <row r="52" spans="1:10" x14ac:dyDescent="0.2">
      <c r="A52">
        <v>51</v>
      </c>
      <c r="B52" s="3">
        <v>40546</v>
      </c>
      <c r="C52">
        <v>1</v>
      </c>
      <c r="D52">
        <v>2011</v>
      </c>
      <c r="E52" t="s">
        <v>10</v>
      </c>
      <c r="F52">
        <v>5</v>
      </c>
      <c r="G52" t="b">
        <v>0</v>
      </c>
      <c r="H52" t="s">
        <v>13</v>
      </c>
      <c r="I52">
        <v>1</v>
      </c>
      <c r="J52">
        <v>0.16</v>
      </c>
    </row>
    <row r="53" spans="1:10" x14ac:dyDescent="0.2">
      <c r="A53">
        <v>52</v>
      </c>
      <c r="B53" s="3">
        <v>40546</v>
      </c>
      <c r="C53">
        <v>1</v>
      </c>
      <c r="D53">
        <v>2011</v>
      </c>
      <c r="E53" t="s">
        <v>10</v>
      </c>
      <c r="F53">
        <v>6</v>
      </c>
      <c r="G53" t="b">
        <v>0</v>
      </c>
      <c r="H53" t="s">
        <v>13</v>
      </c>
      <c r="I53">
        <v>1</v>
      </c>
      <c r="J53">
        <v>0.14000000000000001</v>
      </c>
    </row>
    <row r="54" spans="1:10" x14ac:dyDescent="0.2">
      <c r="A54">
        <v>53</v>
      </c>
      <c r="B54" s="3">
        <v>40546</v>
      </c>
      <c r="C54">
        <v>1</v>
      </c>
      <c r="D54">
        <v>2011</v>
      </c>
      <c r="E54" t="s">
        <v>10</v>
      </c>
      <c r="F54">
        <v>7</v>
      </c>
      <c r="G54" t="b">
        <v>0</v>
      </c>
      <c r="H54" t="s">
        <v>13</v>
      </c>
      <c r="I54">
        <v>1</v>
      </c>
      <c r="J54">
        <v>0.14000000000000001</v>
      </c>
    </row>
    <row r="55" spans="1:10" x14ac:dyDescent="0.2">
      <c r="A55">
        <v>54</v>
      </c>
      <c r="B55" s="3">
        <v>40546</v>
      </c>
      <c r="C55">
        <v>1</v>
      </c>
      <c r="D55">
        <v>2011</v>
      </c>
      <c r="E55" t="s">
        <v>10</v>
      </c>
      <c r="F55">
        <v>8</v>
      </c>
      <c r="G55" t="b">
        <v>0</v>
      </c>
      <c r="H55" t="s">
        <v>13</v>
      </c>
      <c r="I55">
        <v>1</v>
      </c>
      <c r="J55">
        <v>0.14000000000000001</v>
      </c>
    </row>
    <row r="56" spans="1:10" x14ac:dyDescent="0.2">
      <c r="A56">
        <v>55</v>
      </c>
      <c r="B56" s="3">
        <v>40546</v>
      </c>
      <c r="C56">
        <v>1</v>
      </c>
      <c r="D56">
        <v>2011</v>
      </c>
      <c r="E56" t="s">
        <v>10</v>
      </c>
      <c r="F56">
        <v>9</v>
      </c>
      <c r="G56" t="b">
        <v>0</v>
      </c>
      <c r="H56" t="s">
        <v>13</v>
      </c>
      <c r="I56">
        <v>1</v>
      </c>
      <c r="J56">
        <v>0.16</v>
      </c>
    </row>
    <row r="57" spans="1:10" x14ac:dyDescent="0.2">
      <c r="A57">
        <v>56</v>
      </c>
      <c r="B57" s="3">
        <v>40546</v>
      </c>
      <c r="C57">
        <v>1</v>
      </c>
      <c r="D57">
        <v>2011</v>
      </c>
      <c r="E57" t="s">
        <v>10</v>
      </c>
      <c r="F57">
        <v>10</v>
      </c>
      <c r="G57" t="b">
        <v>0</v>
      </c>
      <c r="H57" t="s">
        <v>13</v>
      </c>
      <c r="I57">
        <v>1</v>
      </c>
      <c r="J57">
        <v>0.18</v>
      </c>
    </row>
    <row r="58" spans="1:10" x14ac:dyDescent="0.2">
      <c r="A58">
        <v>57</v>
      </c>
      <c r="B58" s="3">
        <v>40546</v>
      </c>
      <c r="C58">
        <v>1</v>
      </c>
      <c r="D58">
        <v>2011</v>
      </c>
      <c r="E58" t="s">
        <v>10</v>
      </c>
      <c r="F58">
        <v>11</v>
      </c>
      <c r="G58" t="b">
        <v>0</v>
      </c>
      <c r="H58" t="s">
        <v>13</v>
      </c>
      <c r="I58">
        <v>1</v>
      </c>
      <c r="J58">
        <v>0.2</v>
      </c>
    </row>
    <row r="59" spans="1:10" x14ac:dyDescent="0.2">
      <c r="A59">
        <v>58</v>
      </c>
      <c r="B59" s="3">
        <v>40546</v>
      </c>
      <c r="C59">
        <v>1</v>
      </c>
      <c r="D59">
        <v>2011</v>
      </c>
      <c r="E59" t="s">
        <v>10</v>
      </c>
      <c r="F59">
        <v>12</v>
      </c>
      <c r="G59" t="b">
        <v>0</v>
      </c>
      <c r="H59" t="s">
        <v>13</v>
      </c>
      <c r="I59">
        <v>1</v>
      </c>
      <c r="J59">
        <v>0.22</v>
      </c>
    </row>
    <row r="60" spans="1:10" x14ac:dyDescent="0.2">
      <c r="A60">
        <v>59</v>
      </c>
      <c r="B60" s="3">
        <v>40546</v>
      </c>
      <c r="C60">
        <v>1</v>
      </c>
      <c r="D60">
        <v>2011</v>
      </c>
      <c r="E60" t="s">
        <v>10</v>
      </c>
      <c r="F60">
        <v>13</v>
      </c>
      <c r="G60" t="b">
        <v>0</v>
      </c>
      <c r="H60" t="s">
        <v>13</v>
      </c>
      <c r="I60">
        <v>1</v>
      </c>
      <c r="J60">
        <v>0.24</v>
      </c>
    </row>
    <row r="61" spans="1:10" x14ac:dyDescent="0.2">
      <c r="A61">
        <v>60</v>
      </c>
      <c r="B61" s="3">
        <v>40546</v>
      </c>
      <c r="C61">
        <v>1</v>
      </c>
      <c r="D61">
        <v>2011</v>
      </c>
      <c r="E61" t="s">
        <v>10</v>
      </c>
      <c r="F61">
        <v>14</v>
      </c>
      <c r="G61" t="b">
        <v>0</v>
      </c>
      <c r="H61" t="s">
        <v>13</v>
      </c>
      <c r="I61">
        <v>1</v>
      </c>
      <c r="J61">
        <v>0.26</v>
      </c>
    </row>
    <row r="62" spans="1:10" x14ac:dyDescent="0.2">
      <c r="A62">
        <v>61</v>
      </c>
      <c r="B62" s="3">
        <v>40546</v>
      </c>
      <c r="C62">
        <v>1</v>
      </c>
      <c r="D62">
        <v>2011</v>
      </c>
      <c r="E62" t="s">
        <v>10</v>
      </c>
      <c r="F62">
        <v>15</v>
      </c>
      <c r="G62" t="b">
        <v>0</v>
      </c>
      <c r="H62" t="s">
        <v>13</v>
      </c>
      <c r="I62">
        <v>1</v>
      </c>
      <c r="J62">
        <v>0.26</v>
      </c>
    </row>
    <row r="63" spans="1:10" x14ac:dyDescent="0.2">
      <c r="A63">
        <v>62</v>
      </c>
      <c r="B63" s="3">
        <v>40546</v>
      </c>
      <c r="C63">
        <v>1</v>
      </c>
      <c r="D63">
        <v>2011</v>
      </c>
      <c r="E63" t="s">
        <v>10</v>
      </c>
      <c r="F63">
        <v>16</v>
      </c>
      <c r="G63" t="b">
        <v>0</v>
      </c>
      <c r="H63" t="s">
        <v>13</v>
      </c>
      <c r="I63">
        <v>1</v>
      </c>
      <c r="J63">
        <v>0.26</v>
      </c>
    </row>
    <row r="64" spans="1:10" x14ac:dyDescent="0.2">
      <c r="A64">
        <v>63</v>
      </c>
      <c r="B64" s="3">
        <v>40546</v>
      </c>
      <c r="C64">
        <v>1</v>
      </c>
      <c r="D64">
        <v>2011</v>
      </c>
      <c r="E64" t="s">
        <v>10</v>
      </c>
      <c r="F64">
        <v>17</v>
      </c>
      <c r="G64" t="b">
        <v>0</v>
      </c>
      <c r="H64" t="s">
        <v>13</v>
      </c>
      <c r="I64">
        <v>1</v>
      </c>
      <c r="J64">
        <v>0.24</v>
      </c>
    </row>
    <row r="65" spans="1:10" x14ac:dyDescent="0.2">
      <c r="A65">
        <v>64</v>
      </c>
      <c r="B65" s="3">
        <v>40546</v>
      </c>
      <c r="C65">
        <v>1</v>
      </c>
      <c r="D65">
        <v>2011</v>
      </c>
      <c r="E65" t="s">
        <v>10</v>
      </c>
      <c r="F65">
        <v>18</v>
      </c>
      <c r="G65" t="b">
        <v>0</v>
      </c>
      <c r="H65" t="s">
        <v>13</v>
      </c>
      <c r="I65">
        <v>1</v>
      </c>
      <c r="J65">
        <v>0.24</v>
      </c>
    </row>
    <row r="66" spans="1:10" x14ac:dyDescent="0.2">
      <c r="A66">
        <v>65</v>
      </c>
      <c r="B66" s="3">
        <v>40546</v>
      </c>
      <c r="C66">
        <v>1</v>
      </c>
      <c r="D66">
        <v>2011</v>
      </c>
      <c r="E66" t="s">
        <v>10</v>
      </c>
      <c r="F66">
        <v>19</v>
      </c>
      <c r="G66" t="b">
        <v>0</v>
      </c>
      <c r="H66" t="s">
        <v>13</v>
      </c>
      <c r="I66">
        <v>1</v>
      </c>
      <c r="J66">
        <v>0.2</v>
      </c>
    </row>
    <row r="67" spans="1:10" x14ac:dyDescent="0.2">
      <c r="A67">
        <v>66</v>
      </c>
      <c r="B67" s="3">
        <v>40546</v>
      </c>
      <c r="C67">
        <v>1</v>
      </c>
      <c r="D67">
        <v>2011</v>
      </c>
      <c r="E67" t="s">
        <v>10</v>
      </c>
      <c r="F67">
        <v>20</v>
      </c>
      <c r="G67" t="b">
        <v>0</v>
      </c>
      <c r="H67" t="s">
        <v>13</v>
      </c>
      <c r="I67">
        <v>1</v>
      </c>
      <c r="J67">
        <v>0.2</v>
      </c>
    </row>
    <row r="68" spans="1:10" x14ac:dyDescent="0.2">
      <c r="A68">
        <v>67</v>
      </c>
      <c r="B68" s="3">
        <v>40546</v>
      </c>
      <c r="C68">
        <v>1</v>
      </c>
      <c r="D68">
        <v>2011</v>
      </c>
      <c r="E68" t="s">
        <v>10</v>
      </c>
      <c r="F68">
        <v>21</v>
      </c>
      <c r="G68" t="b">
        <v>0</v>
      </c>
      <c r="H68" t="s">
        <v>13</v>
      </c>
      <c r="I68">
        <v>1</v>
      </c>
      <c r="J68">
        <v>0.18</v>
      </c>
    </row>
    <row r="69" spans="1:10" x14ac:dyDescent="0.2">
      <c r="A69">
        <v>68</v>
      </c>
      <c r="B69" s="3">
        <v>40546</v>
      </c>
      <c r="C69">
        <v>1</v>
      </c>
      <c r="D69">
        <v>2011</v>
      </c>
      <c r="E69" t="s">
        <v>10</v>
      </c>
      <c r="F69">
        <v>22</v>
      </c>
      <c r="G69" t="b">
        <v>0</v>
      </c>
      <c r="H69" t="s">
        <v>13</v>
      </c>
      <c r="I69">
        <v>1</v>
      </c>
      <c r="J69">
        <v>0.14000000000000001</v>
      </c>
    </row>
    <row r="70" spans="1:10" x14ac:dyDescent="0.2">
      <c r="A70">
        <v>69</v>
      </c>
      <c r="B70" s="3">
        <v>40546</v>
      </c>
      <c r="C70">
        <v>1</v>
      </c>
      <c r="D70">
        <v>2011</v>
      </c>
      <c r="E70" t="s">
        <v>10</v>
      </c>
      <c r="F70">
        <v>23</v>
      </c>
      <c r="G70" t="b">
        <v>0</v>
      </c>
      <c r="H70" t="s">
        <v>13</v>
      </c>
      <c r="I70">
        <v>1</v>
      </c>
      <c r="J70">
        <v>0.18</v>
      </c>
    </row>
    <row r="71" spans="1:10" x14ac:dyDescent="0.2">
      <c r="A71">
        <v>70</v>
      </c>
      <c r="B71" s="3">
        <v>40547</v>
      </c>
      <c r="C71">
        <v>1</v>
      </c>
      <c r="D71">
        <v>2011</v>
      </c>
      <c r="E71" t="s">
        <v>10</v>
      </c>
      <c r="F71">
        <v>0</v>
      </c>
      <c r="G71" t="b">
        <v>0</v>
      </c>
      <c r="H71" t="s">
        <v>14</v>
      </c>
      <c r="I71">
        <v>1</v>
      </c>
      <c r="J71">
        <v>0.16</v>
      </c>
    </row>
    <row r="72" spans="1:10" x14ac:dyDescent="0.2">
      <c r="A72">
        <v>71</v>
      </c>
      <c r="B72" s="3">
        <v>40547</v>
      </c>
      <c r="C72">
        <v>1</v>
      </c>
      <c r="D72">
        <v>2011</v>
      </c>
      <c r="E72" t="s">
        <v>10</v>
      </c>
      <c r="F72">
        <v>1</v>
      </c>
      <c r="G72" t="b">
        <v>0</v>
      </c>
      <c r="H72" t="s">
        <v>14</v>
      </c>
      <c r="I72">
        <v>1</v>
      </c>
      <c r="J72">
        <v>0.16</v>
      </c>
    </row>
    <row r="73" spans="1:10" x14ac:dyDescent="0.2">
      <c r="A73">
        <v>72</v>
      </c>
      <c r="B73" s="3">
        <v>40547</v>
      </c>
      <c r="C73">
        <v>1</v>
      </c>
      <c r="D73">
        <v>2011</v>
      </c>
      <c r="E73" t="s">
        <v>10</v>
      </c>
      <c r="F73">
        <v>2</v>
      </c>
      <c r="G73" t="b">
        <v>0</v>
      </c>
      <c r="H73" t="s">
        <v>14</v>
      </c>
      <c r="I73">
        <v>1</v>
      </c>
      <c r="J73">
        <v>0.14000000000000001</v>
      </c>
    </row>
    <row r="74" spans="1:10" x14ac:dyDescent="0.2">
      <c r="A74">
        <v>73</v>
      </c>
      <c r="B74" s="3">
        <v>40547</v>
      </c>
      <c r="C74">
        <v>1</v>
      </c>
      <c r="D74">
        <v>2011</v>
      </c>
      <c r="E74" t="s">
        <v>10</v>
      </c>
      <c r="F74">
        <v>4</v>
      </c>
      <c r="G74" t="b">
        <v>0</v>
      </c>
      <c r="H74" t="s">
        <v>14</v>
      </c>
      <c r="I74">
        <v>1</v>
      </c>
      <c r="J74">
        <v>0.14000000000000001</v>
      </c>
    </row>
    <row r="75" spans="1:10" x14ac:dyDescent="0.2">
      <c r="A75">
        <v>74</v>
      </c>
      <c r="B75" s="3">
        <v>40547</v>
      </c>
      <c r="C75">
        <v>1</v>
      </c>
      <c r="D75">
        <v>2011</v>
      </c>
      <c r="E75" t="s">
        <v>10</v>
      </c>
      <c r="F75">
        <v>5</v>
      </c>
      <c r="G75" t="b">
        <v>0</v>
      </c>
      <c r="H75" t="s">
        <v>14</v>
      </c>
      <c r="I75">
        <v>1</v>
      </c>
      <c r="J75">
        <v>0.12</v>
      </c>
    </row>
    <row r="76" spans="1:10" x14ac:dyDescent="0.2">
      <c r="A76">
        <v>75</v>
      </c>
      <c r="B76" s="3">
        <v>40547</v>
      </c>
      <c r="C76">
        <v>1</v>
      </c>
      <c r="D76">
        <v>2011</v>
      </c>
      <c r="E76" t="s">
        <v>10</v>
      </c>
      <c r="F76">
        <v>6</v>
      </c>
      <c r="G76" t="b">
        <v>0</v>
      </c>
      <c r="H76" t="s">
        <v>14</v>
      </c>
      <c r="I76">
        <v>1</v>
      </c>
      <c r="J76">
        <v>0.12</v>
      </c>
    </row>
    <row r="77" spans="1:10" x14ac:dyDescent="0.2">
      <c r="A77">
        <v>76</v>
      </c>
      <c r="B77" s="3">
        <v>40547</v>
      </c>
      <c r="C77">
        <v>1</v>
      </c>
      <c r="D77">
        <v>2011</v>
      </c>
      <c r="E77" t="s">
        <v>10</v>
      </c>
      <c r="F77">
        <v>7</v>
      </c>
      <c r="G77" t="b">
        <v>0</v>
      </c>
      <c r="H77" t="s">
        <v>14</v>
      </c>
      <c r="I77">
        <v>1</v>
      </c>
      <c r="J77">
        <v>0.12</v>
      </c>
    </row>
    <row r="78" spans="1:10" x14ac:dyDescent="0.2">
      <c r="A78">
        <v>77</v>
      </c>
      <c r="B78" s="3">
        <v>40547</v>
      </c>
      <c r="C78">
        <v>1</v>
      </c>
      <c r="D78">
        <v>2011</v>
      </c>
      <c r="E78" t="s">
        <v>10</v>
      </c>
      <c r="F78">
        <v>8</v>
      </c>
      <c r="G78" t="b">
        <v>0</v>
      </c>
      <c r="H78" t="s">
        <v>14</v>
      </c>
      <c r="I78">
        <v>1</v>
      </c>
      <c r="J78">
        <v>0.14000000000000001</v>
      </c>
    </row>
    <row r="79" spans="1:10" x14ac:dyDescent="0.2">
      <c r="A79">
        <v>78</v>
      </c>
      <c r="B79" s="3">
        <v>40547</v>
      </c>
      <c r="C79">
        <v>1</v>
      </c>
      <c r="D79">
        <v>2011</v>
      </c>
      <c r="E79" t="s">
        <v>10</v>
      </c>
      <c r="F79">
        <v>9</v>
      </c>
      <c r="G79" t="b">
        <v>0</v>
      </c>
      <c r="H79" t="s">
        <v>14</v>
      </c>
      <c r="I79">
        <v>1</v>
      </c>
      <c r="J79">
        <v>0.16</v>
      </c>
    </row>
    <row r="80" spans="1:10" x14ac:dyDescent="0.2">
      <c r="A80">
        <v>79</v>
      </c>
      <c r="B80" s="3">
        <v>40547</v>
      </c>
      <c r="C80">
        <v>1</v>
      </c>
      <c r="D80">
        <v>2011</v>
      </c>
      <c r="E80" t="s">
        <v>10</v>
      </c>
      <c r="F80">
        <v>10</v>
      </c>
      <c r="G80" t="b">
        <v>0</v>
      </c>
      <c r="H80" t="s">
        <v>14</v>
      </c>
      <c r="I80">
        <v>2</v>
      </c>
      <c r="J80">
        <v>0.16</v>
      </c>
    </row>
    <row r="81" spans="1:10" x14ac:dyDescent="0.2">
      <c r="A81">
        <v>80</v>
      </c>
      <c r="B81" s="3">
        <v>40547</v>
      </c>
      <c r="C81">
        <v>1</v>
      </c>
      <c r="D81">
        <v>2011</v>
      </c>
      <c r="E81" t="s">
        <v>10</v>
      </c>
      <c r="F81">
        <v>11</v>
      </c>
      <c r="G81" t="b">
        <v>0</v>
      </c>
      <c r="H81" t="s">
        <v>14</v>
      </c>
      <c r="I81">
        <v>1</v>
      </c>
      <c r="J81">
        <v>0.22</v>
      </c>
    </row>
    <row r="82" spans="1:10" x14ac:dyDescent="0.2">
      <c r="A82">
        <v>81</v>
      </c>
      <c r="B82" s="3">
        <v>40547</v>
      </c>
      <c r="C82">
        <v>1</v>
      </c>
      <c r="D82">
        <v>2011</v>
      </c>
      <c r="E82" t="s">
        <v>10</v>
      </c>
      <c r="F82">
        <v>12</v>
      </c>
      <c r="G82" t="b">
        <v>0</v>
      </c>
      <c r="H82" t="s">
        <v>14</v>
      </c>
      <c r="I82">
        <v>1</v>
      </c>
      <c r="J82">
        <v>0.22</v>
      </c>
    </row>
    <row r="83" spans="1:10" x14ac:dyDescent="0.2">
      <c r="A83">
        <v>82</v>
      </c>
      <c r="B83" s="3">
        <v>40547</v>
      </c>
      <c r="C83">
        <v>1</v>
      </c>
      <c r="D83">
        <v>2011</v>
      </c>
      <c r="E83" t="s">
        <v>10</v>
      </c>
      <c r="F83">
        <v>13</v>
      </c>
      <c r="G83" t="b">
        <v>0</v>
      </c>
      <c r="H83" t="s">
        <v>14</v>
      </c>
      <c r="I83">
        <v>1</v>
      </c>
      <c r="J83">
        <v>0.24</v>
      </c>
    </row>
    <row r="84" spans="1:10" x14ac:dyDescent="0.2">
      <c r="A84">
        <v>83</v>
      </c>
      <c r="B84" s="3">
        <v>40547</v>
      </c>
      <c r="C84">
        <v>1</v>
      </c>
      <c r="D84">
        <v>2011</v>
      </c>
      <c r="E84" t="s">
        <v>10</v>
      </c>
      <c r="F84">
        <v>14</v>
      </c>
      <c r="G84" t="b">
        <v>0</v>
      </c>
      <c r="H84" t="s">
        <v>14</v>
      </c>
      <c r="I84">
        <v>1</v>
      </c>
      <c r="J84">
        <v>0.26</v>
      </c>
    </row>
    <row r="85" spans="1:10" x14ac:dyDescent="0.2">
      <c r="A85">
        <v>84</v>
      </c>
      <c r="B85" s="3">
        <v>40547</v>
      </c>
      <c r="C85">
        <v>1</v>
      </c>
      <c r="D85">
        <v>2011</v>
      </c>
      <c r="E85" t="s">
        <v>10</v>
      </c>
      <c r="F85">
        <v>15</v>
      </c>
      <c r="G85" t="b">
        <v>0</v>
      </c>
      <c r="H85" t="s">
        <v>14</v>
      </c>
      <c r="I85">
        <v>1</v>
      </c>
      <c r="J85">
        <v>0.28000000000000003</v>
      </c>
    </row>
    <row r="86" spans="1:10" x14ac:dyDescent="0.2">
      <c r="A86">
        <v>85</v>
      </c>
      <c r="B86" s="3">
        <v>40547</v>
      </c>
      <c r="C86">
        <v>1</v>
      </c>
      <c r="D86">
        <v>2011</v>
      </c>
      <c r="E86" t="s">
        <v>10</v>
      </c>
      <c r="F86">
        <v>16</v>
      </c>
      <c r="G86" t="b">
        <v>0</v>
      </c>
      <c r="H86" t="s">
        <v>14</v>
      </c>
      <c r="I86">
        <v>1</v>
      </c>
      <c r="J86">
        <v>0.3</v>
      </c>
    </row>
    <row r="87" spans="1:10" x14ac:dyDescent="0.2">
      <c r="A87">
        <v>86</v>
      </c>
      <c r="B87" s="3">
        <v>40547</v>
      </c>
      <c r="C87">
        <v>1</v>
      </c>
      <c r="D87">
        <v>2011</v>
      </c>
      <c r="E87" t="s">
        <v>10</v>
      </c>
      <c r="F87">
        <v>17</v>
      </c>
      <c r="G87" t="b">
        <v>0</v>
      </c>
      <c r="H87" t="s">
        <v>14</v>
      </c>
      <c r="I87">
        <v>1</v>
      </c>
      <c r="J87">
        <v>0.28000000000000003</v>
      </c>
    </row>
    <row r="88" spans="1:10" x14ac:dyDescent="0.2">
      <c r="A88">
        <v>87</v>
      </c>
      <c r="B88" s="3">
        <v>40547</v>
      </c>
      <c r="C88">
        <v>1</v>
      </c>
      <c r="D88">
        <v>2011</v>
      </c>
      <c r="E88" t="s">
        <v>10</v>
      </c>
      <c r="F88">
        <v>18</v>
      </c>
      <c r="G88" t="b">
        <v>0</v>
      </c>
      <c r="H88" t="s">
        <v>14</v>
      </c>
      <c r="I88">
        <v>1</v>
      </c>
      <c r="J88">
        <v>0.26</v>
      </c>
    </row>
    <row r="89" spans="1:10" x14ac:dyDescent="0.2">
      <c r="A89">
        <v>88</v>
      </c>
      <c r="B89" s="3">
        <v>40547</v>
      </c>
      <c r="C89">
        <v>1</v>
      </c>
      <c r="D89">
        <v>2011</v>
      </c>
      <c r="E89" t="s">
        <v>10</v>
      </c>
      <c r="F89">
        <v>19</v>
      </c>
      <c r="G89" t="b">
        <v>0</v>
      </c>
      <c r="H89" t="s">
        <v>14</v>
      </c>
      <c r="I89">
        <v>1</v>
      </c>
      <c r="J89">
        <v>0.24</v>
      </c>
    </row>
    <row r="90" spans="1:10" x14ac:dyDescent="0.2">
      <c r="A90">
        <v>89</v>
      </c>
      <c r="B90" s="3">
        <v>40547</v>
      </c>
      <c r="C90">
        <v>1</v>
      </c>
      <c r="D90">
        <v>2011</v>
      </c>
      <c r="E90" t="s">
        <v>10</v>
      </c>
      <c r="F90">
        <v>20</v>
      </c>
      <c r="G90" t="b">
        <v>0</v>
      </c>
      <c r="H90" t="s">
        <v>14</v>
      </c>
      <c r="I90">
        <v>1</v>
      </c>
      <c r="J90">
        <v>0.24</v>
      </c>
    </row>
    <row r="91" spans="1:10" x14ac:dyDescent="0.2">
      <c r="A91">
        <v>90</v>
      </c>
      <c r="B91" s="3">
        <v>40547</v>
      </c>
      <c r="C91">
        <v>1</v>
      </c>
      <c r="D91">
        <v>2011</v>
      </c>
      <c r="E91" t="s">
        <v>10</v>
      </c>
      <c r="F91">
        <v>21</v>
      </c>
      <c r="G91" t="b">
        <v>0</v>
      </c>
      <c r="H91" t="s">
        <v>14</v>
      </c>
      <c r="I91">
        <v>1</v>
      </c>
      <c r="J91">
        <v>0.22</v>
      </c>
    </row>
    <row r="92" spans="1:10" x14ac:dyDescent="0.2">
      <c r="A92">
        <v>91</v>
      </c>
      <c r="B92" s="3">
        <v>40547</v>
      </c>
      <c r="C92">
        <v>1</v>
      </c>
      <c r="D92">
        <v>2011</v>
      </c>
      <c r="E92" t="s">
        <v>10</v>
      </c>
      <c r="F92">
        <v>22</v>
      </c>
      <c r="G92" t="b">
        <v>0</v>
      </c>
      <c r="H92" t="s">
        <v>14</v>
      </c>
      <c r="I92">
        <v>1</v>
      </c>
      <c r="J92">
        <v>0.22</v>
      </c>
    </row>
    <row r="93" spans="1:10" x14ac:dyDescent="0.2">
      <c r="A93">
        <v>92</v>
      </c>
      <c r="B93" s="3">
        <v>40547</v>
      </c>
      <c r="C93">
        <v>1</v>
      </c>
      <c r="D93">
        <v>2011</v>
      </c>
      <c r="E93" t="s">
        <v>10</v>
      </c>
      <c r="F93">
        <v>23</v>
      </c>
      <c r="G93" t="b">
        <v>0</v>
      </c>
      <c r="H93" t="s">
        <v>14</v>
      </c>
      <c r="I93">
        <v>1</v>
      </c>
      <c r="J93">
        <v>0.2</v>
      </c>
    </row>
    <row r="94" spans="1:10" x14ac:dyDescent="0.2">
      <c r="A94">
        <v>93</v>
      </c>
      <c r="B94" s="3">
        <v>40548</v>
      </c>
      <c r="C94">
        <v>1</v>
      </c>
      <c r="D94">
        <v>2011</v>
      </c>
      <c r="E94" t="s">
        <v>10</v>
      </c>
      <c r="F94">
        <v>0</v>
      </c>
      <c r="G94" t="b">
        <v>0</v>
      </c>
      <c r="H94" t="s">
        <v>15</v>
      </c>
      <c r="I94">
        <v>1</v>
      </c>
      <c r="J94">
        <v>0.2</v>
      </c>
    </row>
    <row r="95" spans="1:10" x14ac:dyDescent="0.2">
      <c r="A95">
        <v>94</v>
      </c>
      <c r="B95" s="3">
        <v>40548</v>
      </c>
      <c r="C95">
        <v>1</v>
      </c>
      <c r="D95">
        <v>2011</v>
      </c>
      <c r="E95" t="s">
        <v>10</v>
      </c>
      <c r="F95">
        <v>1</v>
      </c>
      <c r="G95" t="b">
        <v>0</v>
      </c>
      <c r="H95" t="s">
        <v>15</v>
      </c>
      <c r="I95">
        <v>1</v>
      </c>
      <c r="J95">
        <v>0.16</v>
      </c>
    </row>
    <row r="96" spans="1:10" x14ac:dyDescent="0.2">
      <c r="A96">
        <v>95</v>
      </c>
      <c r="B96" s="3">
        <v>40548</v>
      </c>
      <c r="C96">
        <v>1</v>
      </c>
      <c r="D96">
        <v>2011</v>
      </c>
      <c r="E96" t="s">
        <v>10</v>
      </c>
      <c r="F96">
        <v>2</v>
      </c>
      <c r="G96" t="b">
        <v>0</v>
      </c>
      <c r="H96" t="s">
        <v>15</v>
      </c>
      <c r="I96">
        <v>1</v>
      </c>
      <c r="J96">
        <v>0.16</v>
      </c>
    </row>
    <row r="97" spans="1:10" x14ac:dyDescent="0.2">
      <c r="A97">
        <v>96</v>
      </c>
      <c r="B97" s="3">
        <v>40548</v>
      </c>
      <c r="C97">
        <v>1</v>
      </c>
      <c r="D97">
        <v>2011</v>
      </c>
      <c r="E97" t="s">
        <v>10</v>
      </c>
      <c r="F97">
        <v>4</v>
      </c>
      <c r="G97" t="b">
        <v>0</v>
      </c>
      <c r="H97" t="s">
        <v>15</v>
      </c>
      <c r="I97">
        <v>1</v>
      </c>
      <c r="J97">
        <v>0.24</v>
      </c>
    </row>
    <row r="98" spans="1:10" x14ac:dyDescent="0.2">
      <c r="A98">
        <v>97</v>
      </c>
      <c r="B98" s="3">
        <v>40548</v>
      </c>
      <c r="C98">
        <v>1</v>
      </c>
      <c r="D98">
        <v>2011</v>
      </c>
      <c r="E98" t="s">
        <v>10</v>
      </c>
      <c r="F98">
        <v>5</v>
      </c>
      <c r="G98" t="b">
        <v>0</v>
      </c>
      <c r="H98" t="s">
        <v>15</v>
      </c>
      <c r="I98">
        <v>1</v>
      </c>
      <c r="J98">
        <v>0.22</v>
      </c>
    </row>
    <row r="99" spans="1:10" x14ac:dyDescent="0.2">
      <c r="A99">
        <v>98</v>
      </c>
      <c r="B99" s="3">
        <v>40548</v>
      </c>
      <c r="C99">
        <v>1</v>
      </c>
      <c r="D99">
        <v>2011</v>
      </c>
      <c r="E99" t="s">
        <v>10</v>
      </c>
      <c r="F99">
        <v>6</v>
      </c>
      <c r="G99" t="b">
        <v>0</v>
      </c>
      <c r="H99" t="s">
        <v>15</v>
      </c>
      <c r="I99">
        <v>1</v>
      </c>
      <c r="J99">
        <v>0.2</v>
      </c>
    </row>
    <row r="100" spans="1:10" x14ac:dyDescent="0.2">
      <c r="A100">
        <v>99</v>
      </c>
      <c r="B100" s="3">
        <v>40548</v>
      </c>
      <c r="C100">
        <v>1</v>
      </c>
      <c r="D100">
        <v>2011</v>
      </c>
      <c r="E100" t="s">
        <v>10</v>
      </c>
      <c r="F100">
        <v>7</v>
      </c>
      <c r="G100" t="b">
        <v>0</v>
      </c>
      <c r="H100" t="s">
        <v>15</v>
      </c>
      <c r="I100">
        <v>1</v>
      </c>
      <c r="J100">
        <v>0.18</v>
      </c>
    </row>
    <row r="101" spans="1:10" x14ac:dyDescent="0.2">
      <c r="A101">
        <v>100</v>
      </c>
      <c r="B101" s="3">
        <v>40548</v>
      </c>
      <c r="C101">
        <v>1</v>
      </c>
      <c r="D101">
        <v>2011</v>
      </c>
      <c r="E101" t="s">
        <v>10</v>
      </c>
      <c r="F101">
        <v>8</v>
      </c>
      <c r="G101" t="b">
        <v>0</v>
      </c>
      <c r="H101" t="s">
        <v>15</v>
      </c>
      <c r="I101">
        <v>1</v>
      </c>
      <c r="J101">
        <v>0.2</v>
      </c>
    </row>
    <row r="102" spans="1:10" x14ac:dyDescent="0.2">
      <c r="A102">
        <v>101</v>
      </c>
      <c r="B102" s="3">
        <v>40548</v>
      </c>
      <c r="C102">
        <v>1</v>
      </c>
      <c r="D102">
        <v>2011</v>
      </c>
      <c r="E102" t="s">
        <v>10</v>
      </c>
      <c r="F102">
        <v>9</v>
      </c>
      <c r="G102" t="b">
        <v>0</v>
      </c>
      <c r="H102" t="s">
        <v>15</v>
      </c>
      <c r="I102">
        <v>1</v>
      </c>
      <c r="J102">
        <v>0.22</v>
      </c>
    </row>
    <row r="103" spans="1:10" x14ac:dyDescent="0.2">
      <c r="A103">
        <v>102</v>
      </c>
      <c r="B103" s="3">
        <v>40548</v>
      </c>
      <c r="C103">
        <v>1</v>
      </c>
      <c r="D103">
        <v>2011</v>
      </c>
      <c r="E103" t="s">
        <v>10</v>
      </c>
      <c r="F103">
        <v>10</v>
      </c>
      <c r="G103" t="b">
        <v>0</v>
      </c>
      <c r="H103" t="s">
        <v>15</v>
      </c>
      <c r="I103">
        <v>1</v>
      </c>
      <c r="J103">
        <v>0.22</v>
      </c>
    </row>
    <row r="104" spans="1:10" x14ac:dyDescent="0.2">
      <c r="A104">
        <v>103</v>
      </c>
      <c r="B104" s="3">
        <v>40548</v>
      </c>
      <c r="C104">
        <v>1</v>
      </c>
      <c r="D104">
        <v>2011</v>
      </c>
      <c r="E104" t="s">
        <v>10</v>
      </c>
      <c r="F104">
        <v>11</v>
      </c>
      <c r="G104" t="b">
        <v>0</v>
      </c>
      <c r="H104" t="s">
        <v>15</v>
      </c>
      <c r="I104">
        <v>1</v>
      </c>
      <c r="J104">
        <v>0.26</v>
      </c>
    </row>
    <row r="105" spans="1:10" x14ac:dyDescent="0.2">
      <c r="A105">
        <v>104</v>
      </c>
      <c r="B105" s="3">
        <v>40548</v>
      </c>
      <c r="C105">
        <v>1</v>
      </c>
      <c r="D105">
        <v>2011</v>
      </c>
      <c r="E105" t="s">
        <v>10</v>
      </c>
      <c r="F105">
        <v>12</v>
      </c>
      <c r="G105" t="b">
        <v>0</v>
      </c>
      <c r="H105" t="s">
        <v>15</v>
      </c>
      <c r="I105">
        <v>1</v>
      </c>
      <c r="J105">
        <v>0.26</v>
      </c>
    </row>
    <row r="106" spans="1:10" x14ac:dyDescent="0.2">
      <c r="A106">
        <v>105</v>
      </c>
      <c r="B106" s="3">
        <v>40548</v>
      </c>
      <c r="C106">
        <v>1</v>
      </c>
      <c r="D106">
        <v>2011</v>
      </c>
      <c r="E106" t="s">
        <v>10</v>
      </c>
      <c r="F106">
        <v>13</v>
      </c>
      <c r="G106" t="b">
        <v>0</v>
      </c>
      <c r="H106" t="s">
        <v>15</v>
      </c>
      <c r="I106">
        <v>1</v>
      </c>
      <c r="J106">
        <v>0.28000000000000003</v>
      </c>
    </row>
    <row r="107" spans="1:10" x14ac:dyDescent="0.2">
      <c r="A107">
        <v>106</v>
      </c>
      <c r="B107" s="3">
        <v>40548</v>
      </c>
      <c r="C107">
        <v>1</v>
      </c>
      <c r="D107">
        <v>2011</v>
      </c>
      <c r="E107" t="s">
        <v>10</v>
      </c>
      <c r="F107">
        <v>14</v>
      </c>
      <c r="G107" t="b">
        <v>0</v>
      </c>
      <c r="H107" t="s">
        <v>15</v>
      </c>
      <c r="I107">
        <v>1</v>
      </c>
      <c r="J107">
        <v>0.3</v>
      </c>
    </row>
    <row r="108" spans="1:10" x14ac:dyDescent="0.2">
      <c r="A108">
        <v>107</v>
      </c>
      <c r="B108" s="3">
        <v>40548</v>
      </c>
      <c r="C108">
        <v>1</v>
      </c>
      <c r="D108">
        <v>2011</v>
      </c>
      <c r="E108" t="s">
        <v>10</v>
      </c>
      <c r="F108">
        <v>15</v>
      </c>
      <c r="G108" t="b">
        <v>0</v>
      </c>
      <c r="H108" t="s">
        <v>15</v>
      </c>
      <c r="I108">
        <v>1</v>
      </c>
      <c r="J108">
        <v>0.3</v>
      </c>
    </row>
    <row r="109" spans="1:10" x14ac:dyDescent="0.2">
      <c r="A109">
        <v>108</v>
      </c>
      <c r="B109" s="3">
        <v>40548</v>
      </c>
      <c r="C109">
        <v>1</v>
      </c>
      <c r="D109">
        <v>2011</v>
      </c>
      <c r="E109" t="s">
        <v>10</v>
      </c>
      <c r="F109">
        <v>16</v>
      </c>
      <c r="G109" t="b">
        <v>0</v>
      </c>
      <c r="H109" t="s">
        <v>15</v>
      </c>
      <c r="I109">
        <v>1</v>
      </c>
      <c r="J109">
        <v>0.3</v>
      </c>
    </row>
    <row r="110" spans="1:10" x14ac:dyDescent="0.2">
      <c r="A110">
        <v>109</v>
      </c>
      <c r="B110" s="3">
        <v>40548</v>
      </c>
      <c r="C110">
        <v>1</v>
      </c>
      <c r="D110">
        <v>2011</v>
      </c>
      <c r="E110" t="s">
        <v>10</v>
      </c>
      <c r="F110">
        <v>17</v>
      </c>
      <c r="G110" t="b">
        <v>0</v>
      </c>
      <c r="H110" t="s">
        <v>15</v>
      </c>
      <c r="I110">
        <v>1</v>
      </c>
      <c r="J110">
        <v>0.24</v>
      </c>
    </row>
    <row r="111" spans="1:10" x14ac:dyDescent="0.2">
      <c r="A111">
        <v>110</v>
      </c>
      <c r="B111" s="3">
        <v>40548</v>
      </c>
      <c r="C111">
        <v>1</v>
      </c>
      <c r="D111">
        <v>2011</v>
      </c>
      <c r="E111" t="s">
        <v>10</v>
      </c>
      <c r="F111">
        <v>18</v>
      </c>
      <c r="G111" t="b">
        <v>0</v>
      </c>
      <c r="H111" t="s">
        <v>15</v>
      </c>
      <c r="I111">
        <v>1</v>
      </c>
      <c r="J111">
        <v>0.24</v>
      </c>
    </row>
    <row r="112" spans="1:10" x14ac:dyDescent="0.2">
      <c r="A112">
        <v>111</v>
      </c>
      <c r="B112" s="3">
        <v>40548</v>
      </c>
      <c r="C112">
        <v>1</v>
      </c>
      <c r="D112">
        <v>2011</v>
      </c>
      <c r="E112" t="s">
        <v>10</v>
      </c>
      <c r="F112">
        <v>19</v>
      </c>
      <c r="G112" t="b">
        <v>0</v>
      </c>
      <c r="H112" t="s">
        <v>15</v>
      </c>
      <c r="I112">
        <v>1</v>
      </c>
      <c r="J112">
        <v>0.24</v>
      </c>
    </row>
    <row r="113" spans="1:10" x14ac:dyDescent="0.2">
      <c r="A113">
        <v>112</v>
      </c>
      <c r="B113" s="3">
        <v>40548</v>
      </c>
      <c r="C113">
        <v>1</v>
      </c>
      <c r="D113">
        <v>2011</v>
      </c>
      <c r="E113" t="s">
        <v>10</v>
      </c>
      <c r="F113">
        <v>20</v>
      </c>
      <c r="G113" t="b">
        <v>0</v>
      </c>
      <c r="H113" t="s">
        <v>15</v>
      </c>
      <c r="I113">
        <v>1</v>
      </c>
      <c r="J113">
        <v>0.22</v>
      </c>
    </row>
    <row r="114" spans="1:10" x14ac:dyDescent="0.2">
      <c r="A114">
        <v>113</v>
      </c>
      <c r="B114" s="3">
        <v>40548</v>
      </c>
      <c r="C114">
        <v>1</v>
      </c>
      <c r="D114">
        <v>2011</v>
      </c>
      <c r="E114" t="s">
        <v>10</v>
      </c>
      <c r="F114">
        <v>21</v>
      </c>
      <c r="G114" t="b">
        <v>0</v>
      </c>
      <c r="H114" t="s">
        <v>15</v>
      </c>
      <c r="I114">
        <v>1</v>
      </c>
      <c r="J114">
        <v>0.2</v>
      </c>
    </row>
    <row r="115" spans="1:10" x14ac:dyDescent="0.2">
      <c r="A115">
        <v>114</v>
      </c>
      <c r="B115" s="3">
        <v>40548</v>
      </c>
      <c r="C115">
        <v>1</v>
      </c>
      <c r="D115">
        <v>2011</v>
      </c>
      <c r="E115" t="s">
        <v>10</v>
      </c>
      <c r="F115">
        <v>22</v>
      </c>
      <c r="G115" t="b">
        <v>0</v>
      </c>
      <c r="H115" t="s">
        <v>15</v>
      </c>
      <c r="I115">
        <v>1</v>
      </c>
      <c r="J115">
        <v>0.18</v>
      </c>
    </row>
    <row r="116" spans="1:10" x14ac:dyDescent="0.2">
      <c r="A116">
        <v>115</v>
      </c>
      <c r="B116" s="3">
        <v>40548</v>
      </c>
      <c r="C116">
        <v>1</v>
      </c>
      <c r="D116">
        <v>2011</v>
      </c>
      <c r="E116" t="s">
        <v>10</v>
      </c>
      <c r="F116">
        <v>23</v>
      </c>
      <c r="G116" t="b">
        <v>0</v>
      </c>
      <c r="H116" t="s">
        <v>15</v>
      </c>
      <c r="I116">
        <v>1</v>
      </c>
      <c r="J116">
        <v>0.2</v>
      </c>
    </row>
    <row r="117" spans="1:10" x14ac:dyDescent="0.2">
      <c r="A117">
        <v>116</v>
      </c>
      <c r="B117" s="3">
        <v>40549</v>
      </c>
      <c r="C117">
        <v>1</v>
      </c>
      <c r="D117">
        <v>2011</v>
      </c>
      <c r="E117" t="s">
        <v>10</v>
      </c>
      <c r="F117">
        <v>0</v>
      </c>
      <c r="G117" t="b">
        <v>0</v>
      </c>
      <c r="H117" t="s">
        <v>16</v>
      </c>
      <c r="I117">
        <v>1</v>
      </c>
      <c r="J117">
        <v>0.18</v>
      </c>
    </row>
    <row r="118" spans="1:10" x14ac:dyDescent="0.2">
      <c r="A118">
        <v>117</v>
      </c>
      <c r="B118" s="3">
        <v>40549</v>
      </c>
      <c r="C118">
        <v>1</v>
      </c>
      <c r="D118">
        <v>2011</v>
      </c>
      <c r="E118" t="s">
        <v>10</v>
      </c>
      <c r="F118">
        <v>1</v>
      </c>
      <c r="G118" t="b">
        <v>0</v>
      </c>
      <c r="H118" t="s">
        <v>16</v>
      </c>
      <c r="I118">
        <v>1</v>
      </c>
      <c r="J118">
        <v>0.16</v>
      </c>
    </row>
    <row r="119" spans="1:10" x14ac:dyDescent="0.2">
      <c r="A119">
        <v>118</v>
      </c>
      <c r="B119" s="3">
        <v>40549</v>
      </c>
      <c r="C119">
        <v>1</v>
      </c>
      <c r="D119">
        <v>2011</v>
      </c>
      <c r="E119" t="s">
        <v>10</v>
      </c>
      <c r="F119">
        <v>2</v>
      </c>
      <c r="G119" t="b">
        <v>0</v>
      </c>
      <c r="H119" t="s">
        <v>16</v>
      </c>
      <c r="I119">
        <v>1</v>
      </c>
      <c r="J119">
        <v>0.16</v>
      </c>
    </row>
    <row r="120" spans="1:10" x14ac:dyDescent="0.2">
      <c r="A120">
        <v>119</v>
      </c>
      <c r="B120" s="3">
        <v>40549</v>
      </c>
      <c r="C120">
        <v>1</v>
      </c>
      <c r="D120">
        <v>2011</v>
      </c>
      <c r="E120" t="s">
        <v>10</v>
      </c>
      <c r="F120">
        <v>4</v>
      </c>
      <c r="G120" t="b">
        <v>0</v>
      </c>
      <c r="H120" t="s">
        <v>16</v>
      </c>
      <c r="I120">
        <v>2</v>
      </c>
      <c r="J120">
        <v>0.16</v>
      </c>
    </row>
    <row r="121" spans="1:10" x14ac:dyDescent="0.2">
      <c r="A121">
        <v>120</v>
      </c>
      <c r="B121" s="3">
        <v>40549</v>
      </c>
      <c r="C121">
        <v>1</v>
      </c>
      <c r="D121">
        <v>2011</v>
      </c>
      <c r="E121" t="s">
        <v>10</v>
      </c>
      <c r="F121">
        <v>5</v>
      </c>
      <c r="G121" t="b">
        <v>0</v>
      </c>
      <c r="H121" t="s">
        <v>16</v>
      </c>
      <c r="I121">
        <v>2</v>
      </c>
      <c r="J121">
        <v>0.14000000000000001</v>
      </c>
    </row>
    <row r="122" spans="1:10" x14ac:dyDescent="0.2">
      <c r="A122">
        <v>121</v>
      </c>
      <c r="B122" s="3">
        <v>40549</v>
      </c>
      <c r="C122">
        <v>1</v>
      </c>
      <c r="D122">
        <v>2011</v>
      </c>
      <c r="E122" t="s">
        <v>10</v>
      </c>
      <c r="F122">
        <v>6</v>
      </c>
      <c r="G122" t="b">
        <v>0</v>
      </c>
      <c r="H122" t="s">
        <v>16</v>
      </c>
      <c r="I122">
        <v>2</v>
      </c>
      <c r="J122">
        <v>0.14000000000000001</v>
      </c>
    </row>
    <row r="123" spans="1:10" x14ac:dyDescent="0.2">
      <c r="A123">
        <v>122</v>
      </c>
      <c r="B123" s="3">
        <v>40549</v>
      </c>
      <c r="C123">
        <v>1</v>
      </c>
      <c r="D123">
        <v>2011</v>
      </c>
      <c r="E123" t="s">
        <v>10</v>
      </c>
      <c r="F123">
        <v>7</v>
      </c>
      <c r="G123" t="b">
        <v>0</v>
      </c>
      <c r="H123" t="s">
        <v>16</v>
      </c>
      <c r="I123">
        <v>2</v>
      </c>
      <c r="J123">
        <v>0.16</v>
      </c>
    </row>
    <row r="124" spans="1:10" x14ac:dyDescent="0.2">
      <c r="A124">
        <v>123</v>
      </c>
      <c r="B124" s="3">
        <v>40549</v>
      </c>
      <c r="C124">
        <v>1</v>
      </c>
      <c r="D124">
        <v>2011</v>
      </c>
      <c r="E124" t="s">
        <v>10</v>
      </c>
      <c r="F124">
        <v>8</v>
      </c>
      <c r="G124" t="b">
        <v>0</v>
      </c>
      <c r="H124" t="s">
        <v>16</v>
      </c>
      <c r="I124">
        <v>1</v>
      </c>
      <c r="J124">
        <v>0.16</v>
      </c>
    </row>
    <row r="125" spans="1:10" x14ac:dyDescent="0.2">
      <c r="A125">
        <v>124</v>
      </c>
      <c r="B125" s="3">
        <v>40549</v>
      </c>
      <c r="C125">
        <v>1</v>
      </c>
      <c r="D125">
        <v>2011</v>
      </c>
      <c r="E125" t="s">
        <v>10</v>
      </c>
      <c r="F125">
        <v>9</v>
      </c>
      <c r="G125" t="b">
        <v>0</v>
      </c>
      <c r="H125" t="s">
        <v>16</v>
      </c>
      <c r="I125">
        <v>2</v>
      </c>
      <c r="J125">
        <v>0.18</v>
      </c>
    </row>
    <row r="126" spans="1:10" x14ac:dyDescent="0.2">
      <c r="A126">
        <v>125</v>
      </c>
      <c r="B126" s="3">
        <v>40549</v>
      </c>
      <c r="C126">
        <v>1</v>
      </c>
      <c r="D126">
        <v>2011</v>
      </c>
      <c r="E126" t="s">
        <v>10</v>
      </c>
      <c r="F126">
        <v>10</v>
      </c>
      <c r="G126" t="b">
        <v>0</v>
      </c>
      <c r="H126" t="s">
        <v>16</v>
      </c>
      <c r="I126">
        <v>1</v>
      </c>
      <c r="J126">
        <v>0.2</v>
      </c>
    </row>
    <row r="127" spans="1:10" x14ac:dyDescent="0.2">
      <c r="A127">
        <v>126</v>
      </c>
      <c r="B127" s="3">
        <v>40549</v>
      </c>
      <c r="C127">
        <v>1</v>
      </c>
      <c r="D127">
        <v>2011</v>
      </c>
      <c r="E127" t="s">
        <v>10</v>
      </c>
      <c r="F127">
        <v>11</v>
      </c>
      <c r="G127" t="b">
        <v>0</v>
      </c>
      <c r="H127" t="s">
        <v>16</v>
      </c>
      <c r="I127">
        <v>1</v>
      </c>
      <c r="J127">
        <v>0.22</v>
      </c>
    </row>
    <row r="128" spans="1:10" x14ac:dyDescent="0.2">
      <c r="A128">
        <v>127</v>
      </c>
      <c r="B128" s="3">
        <v>40549</v>
      </c>
      <c r="C128">
        <v>1</v>
      </c>
      <c r="D128">
        <v>2011</v>
      </c>
      <c r="E128" t="s">
        <v>10</v>
      </c>
      <c r="F128">
        <v>12</v>
      </c>
      <c r="G128" t="b">
        <v>0</v>
      </c>
      <c r="H128" t="s">
        <v>16</v>
      </c>
      <c r="I128">
        <v>1</v>
      </c>
      <c r="J128">
        <v>0.26</v>
      </c>
    </row>
    <row r="129" spans="1:10" x14ac:dyDescent="0.2">
      <c r="A129">
        <v>128</v>
      </c>
      <c r="B129" s="3">
        <v>40549</v>
      </c>
      <c r="C129">
        <v>1</v>
      </c>
      <c r="D129">
        <v>2011</v>
      </c>
      <c r="E129" t="s">
        <v>10</v>
      </c>
      <c r="F129">
        <v>13</v>
      </c>
      <c r="G129" t="b">
        <v>0</v>
      </c>
      <c r="H129" t="s">
        <v>16</v>
      </c>
      <c r="I129">
        <v>1</v>
      </c>
      <c r="J129">
        <v>0.26</v>
      </c>
    </row>
    <row r="130" spans="1:10" x14ac:dyDescent="0.2">
      <c r="A130">
        <v>129</v>
      </c>
      <c r="B130" s="3">
        <v>40549</v>
      </c>
      <c r="C130">
        <v>1</v>
      </c>
      <c r="D130">
        <v>2011</v>
      </c>
      <c r="E130" t="s">
        <v>10</v>
      </c>
      <c r="F130">
        <v>14</v>
      </c>
      <c r="G130" t="b">
        <v>0</v>
      </c>
      <c r="H130" t="s">
        <v>16</v>
      </c>
      <c r="I130">
        <v>1</v>
      </c>
      <c r="J130">
        <v>0.28000000000000003</v>
      </c>
    </row>
    <row r="131" spans="1:10" x14ac:dyDescent="0.2">
      <c r="A131">
        <v>130</v>
      </c>
      <c r="B131" s="3">
        <v>40549</v>
      </c>
      <c r="C131">
        <v>1</v>
      </c>
      <c r="D131">
        <v>2011</v>
      </c>
      <c r="E131" t="s">
        <v>10</v>
      </c>
      <c r="F131">
        <v>15</v>
      </c>
      <c r="G131" t="b">
        <v>0</v>
      </c>
      <c r="H131" t="s">
        <v>16</v>
      </c>
      <c r="I131">
        <v>1</v>
      </c>
      <c r="J131">
        <v>0.28000000000000003</v>
      </c>
    </row>
    <row r="132" spans="1:10" x14ac:dyDescent="0.2">
      <c r="A132">
        <v>131</v>
      </c>
      <c r="B132" s="3">
        <v>40549</v>
      </c>
      <c r="C132">
        <v>1</v>
      </c>
      <c r="D132">
        <v>2011</v>
      </c>
      <c r="E132" t="s">
        <v>10</v>
      </c>
      <c r="F132">
        <v>16</v>
      </c>
      <c r="G132" t="b">
        <v>0</v>
      </c>
      <c r="H132" t="s">
        <v>16</v>
      </c>
      <c r="I132">
        <v>1</v>
      </c>
      <c r="J132">
        <v>0.26</v>
      </c>
    </row>
    <row r="133" spans="1:10" x14ac:dyDescent="0.2">
      <c r="A133">
        <v>132</v>
      </c>
      <c r="B133" s="3">
        <v>40549</v>
      </c>
      <c r="C133">
        <v>1</v>
      </c>
      <c r="D133">
        <v>2011</v>
      </c>
      <c r="E133" t="s">
        <v>10</v>
      </c>
      <c r="F133">
        <v>17</v>
      </c>
      <c r="G133" t="b">
        <v>0</v>
      </c>
      <c r="H133" t="s">
        <v>16</v>
      </c>
      <c r="I133">
        <v>1</v>
      </c>
      <c r="J133">
        <v>0.22</v>
      </c>
    </row>
    <row r="134" spans="1:10" x14ac:dyDescent="0.2">
      <c r="A134">
        <v>133</v>
      </c>
      <c r="B134" s="3">
        <v>40549</v>
      </c>
      <c r="C134">
        <v>1</v>
      </c>
      <c r="D134">
        <v>2011</v>
      </c>
      <c r="E134" t="s">
        <v>10</v>
      </c>
      <c r="F134">
        <v>18</v>
      </c>
      <c r="G134" t="b">
        <v>0</v>
      </c>
      <c r="H134" t="s">
        <v>16</v>
      </c>
      <c r="I134">
        <v>1</v>
      </c>
      <c r="J134">
        <v>0.22</v>
      </c>
    </row>
    <row r="135" spans="1:10" x14ac:dyDescent="0.2">
      <c r="A135">
        <v>134</v>
      </c>
      <c r="B135" s="3">
        <v>40549</v>
      </c>
      <c r="C135">
        <v>1</v>
      </c>
      <c r="D135">
        <v>2011</v>
      </c>
      <c r="E135" t="s">
        <v>10</v>
      </c>
      <c r="F135">
        <v>19</v>
      </c>
      <c r="G135" t="b">
        <v>0</v>
      </c>
      <c r="H135" t="s">
        <v>16</v>
      </c>
      <c r="I135">
        <v>1</v>
      </c>
      <c r="J135">
        <v>0.22</v>
      </c>
    </row>
    <row r="136" spans="1:10" x14ac:dyDescent="0.2">
      <c r="A136">
        <v>135</v>
      </c>
      <c r="B136" s="3">
        <v>40549</v>
      </c>
      <c r="C136">
        <v>1</v>
      </c>
      <c r="D136">
        <v>2011</v>
      </c>
      <c r="E136" t="s">
        <v>10</v>
      </c>
      <c r="F136">
        <v>20</v>
      </c>
      <c r="G136" t="b">
        <v>0</v>
      </c>
      <c r="H136" t="s">
        <v>16</v>
      </c>
      <c r="I136">
        <v>1</v>
      </c>
      <c r="J136">
        <v>0.2</v>
      </c>
    </row>
    <row r="137" spans="1:10" x14ac:dyDescent="0.2">
      <c r="A137">
        <v>136</v>
      </c>
      <c r="B137" s="3">
        <v>40549</v>
      </c>
      <c r="C137">
        <v>1</v>
      </c>
      <c r="D137">
        <v>2011</v>
      </c>
      <c r="E137" t="s">
        <v>10</v>
      </c>
      <c r="F137">
        <v>21</v>
      </c>
      <c r="G137" t="b">
        <v>0</v>
      </c>
      <c r="H137" t="s">
        <v>16</v>
      </c>
      <c r="I137">
        <v>2</v>
      </c>
      <c r="J137">
        <v>0.22</v>
      </c>
    </row>
    <row r="138" spans="1:10" x14ac:dyDescent="0.2">
      <c r="A138">
        <v>137</v>
      </c>
      <c r="B138" s="3">
        <v>40549</v>
      </c>
      <c r="C138">
        <v>1</v>
      </c>
      <c r="D138">
        <v>2011</v>
      </c>
      <c r="E138" t="s">
        <v>10</v>
      </c>
      <c r="F138">
        <v>22</v>
      </c>
      <c r="G138" t="b">
        <v>0</v>
      </c>
      <c r="H138" t="s">
        <v>16</v>
      </c>
      <c r="I138">
        <v>2</v>
      </c>
      <c r="J138">
        <v>0.22</v>
      </c>
    </row>
    <row r="139" spans="1:10" x14ac:dyDescent="0.2">
      <c r="A139">
        <v>138</v>
      </c>
      <c r="B139" s="3">
        <v>40549</v>
      </c>
      <c r="C139">
        <v>1</v>
      </c>
      <c r="D139">
        <v>2011</v>
      </c>
      <c r="E139" t="s">
        <v>10</v>
      </c>
      <c r="F139">
        <v>23</v>
      </c>
      <c r="G139" t="b">
        <v>0</v>
      </c>
      <c r="H139" t="s">
        <v>16</v>
      </c>
      <c r="I139">
        <v>2</v>
      </c>
      <c r="J139">
        <v>0.2</v>
      </c>
    </row>
    <row r="140" spans="1:10" x14ac:dyDescent="0.2">
      <c r="A140">
        <v>139</v>
      </c>
      <c r="B140" s="3">
        <v>40550</v>
      </c>
      <c r="C140">
        <v>1</v>
      </c>
      <c r="D140">
        <v>2011</v>
      </c>
      <c r="E140" t="s">
        <v>10</v>
      </c>
      <c r="F140">
        <v>0</v>
      </c>
      <c r="G140" t="b">
        <v>0</v>
      </c>
      <c r="H140" t="s">
        <v>17</v>
      </c>
      <c r="I140">
        <v>2</v>
      </c>
      <c r="J140">
        <v>0.2</v>
      </c>
    </row>
    <row r="141" spans="1:10" x14ac:dyDescent="0.2">
      <c r="A141">
        <v>140</v>
      </c>
      <c r="B141" s="3">
        <v>40550</v>
      </c>
      <c r="C141">
        <v>1</v>
      </c>
      <c r="D141">
        <v>2011</v>
      </c>
      <c r="E141" t="s">
        <v>10</v>
      </c>
      <c r="F141">
        <v>1</v>
      </c>
      <c r="G141" t="b">
        <v>0</v>
      </c>
      <c r="H141" t="s">
        <v>17</v>
      </c>
      <c r="I141">
        <v>2</v>
      </c>
      <c r="J141">
        <v>0.2</v>
      </c>
    </row>
    <row r="142" spans="1:10" x14ac:dyDescent="0.2">
      <c r="A142">
        <v>141</v>
      </c>
      <c r="B142" s="3">
        <v>40550</v>
      </c>
      <c r="C142">
        <v>1</v>
      </c>
      <c r="D142">
        <v>2011</v>
      </c>
      <c r="E142" t="s">
        <v>10</v>
      </c>
      <c r="F142">
        <v>2</v>
      </c>
      <c r="G142" t="b">
        <v>0</v>
      </c>
      <c r="H142" t="s">
        <v>17</v>
      </c>
      <c r="I142">
        <v>2</v>
      </c>
      <c r="J142">
        <v>0.2</v>
      </c>
    </row>
    <row r="143" spans="1:10" x14ac:dyDescent="0.2">
      <c r="A143">
        <v>142</v>
      </c>
      <c r="B143" s="3">
        <v>40550</v>
      </c>
      <c r="C143">
        <v>1</v>
      </c>
      <c r="D143">
        <v>2011</v>
      </c>
      <c r="E143" t="s">
        <v>10</v>
      </c>
      <c r="F143">
        <v>4</v>
      </c>
      <c r="G143" t="b">
        <v>0</v>
      </c>
      <c r="H143" t="s">
        <v>17</v>
      </c>
      <c r="I143">
        <v>2</v>
      </c>
      <c r="J143">
        <v>0.2</v>
      </c>
    </row>
    <row r="144" spans="1:10" x14ac:dyDescent="0.2">
      <c r="A144">
        <v>143</v>
      </c>
      <c r="B144" s="3">
        <v>40550</v>
      </c>
      <c r="C144">
        <v>1</v>
      </c>
      <c r="D144">
        <v>2011</v>
      </c>
      <c r="E144" t="s">
        <v>10</v>
      </c>
      <c r="F144">
        <v>5</v>
      </c>
      <c r="G144" t="b">
        <v>0</v>
      </c>
      <c r="H144" t="s">
        <v>17</v>
      </c>
      <c r="I144">
        <v>3</v>
      </c>
      <c r="J144">
        <v>0.22</v>
      </c>
    </row>
    <row r="145" spans="1:10" x14ac:dyDescent="0.2">
      <c r="A145">
        <v>144</v>
      </c>
      <c r="B145" s="3">
        <v>40550</v>
      </c>
      <c r="C145">
        <v>1</v>
      </c>
      <c r="D145">
        <v>2011</v>
      </c>
      <c r="E145" t="s">
        <v>10</v>
      </c>
      <c r="F145">
        <v>6</v>
      </c>
      <c r="G145" t="b">
        <v>0</v>
      </c>
      <c r="H145" t="s">
        <v>17</v>
      </c>
      <c r="I145">
        <v>2</v>
      </c>
      <c r="J145">
        <v>0.2</v>
      </c>
    </row>
    <row r="146" spans="1:10" x14ac:dyDescent="0.2">
      <c r="A146">
        <v>145</v>
      </c>
      <c r="B146" s="3">
        <v>40550</v>
      </c>
      <c r="C146">
        <v>1</v>
      </c>
      <c r="D146">
        <v>2011</v>
      </c>
      <c r="E146" t="s">
        <v>10</v>
      </c>
      <c r="F146">
        <v>7</v>
      </c>
      <c r="G146" t="b">
        <v>0</v>
      </c>
      <c r="H146" t="s">
        <v>17</v>
      </c>
      <c r="I146">
        <v>1</v>
      </c>
      <c r="J146">
        <v>0.2</v>
      </c>
    </row>
    <row r="147" spans="1:10" x14ac:dyDescent="0.2">
      <c r="A147">
        <v>146</v>
      </c>
      <c r="B147" s="3">
        <v>40550</v>
      </c>
      <c r="C147">
        <v>1</v>
      </c>
      <c r="D147">
        <v>2011</v>
      </c>
      <c r="E147" t="s">
        <v>10</v>
      </c>
      <c r="F147">
        <v>8</v>
      </c>
      <c r="G147" t="b">
        <v>0</v>
      </c>
      <c r="H147" t="s">
        <v>17</v>
      </c>
      <c r="I147">
        <v>1</v>
      </c>
      <c r="J147">
        <v>0.2</v>
      </c>
    </row>
    <row r="148" spans="1:10" x14ac:dyDescent="0.2">
      <c r="A148">
        <v>147</v>
      </c>
      <c r="B148" s="3">
        <v>40550</v>
      </c>
      <c r="C148">
        <v>1</v>
      </c>
      <c r="D148">
        <v>2011</v>
      </c>
      <c r="E148" t="s">
        <v>10</v>
      </c>
      <c r="F148">
        <v>9</v>
      </c>
      <c r="G148" t="b">
        <v>0</v>
      </c>
      <c r="H148" t="s">
        <v>17</v>
      </c>
      <c r="I148">
        <v>1</v>
      </c>
      <c r="J148">
        <v>0.2</v>
      </c>
    </row>
    <row r="149" spans="1:10" x14ac:dyDescent="0.2">
      <c r="A149">
        <v>148</v>
      </c>
      <c r="B149" s="3">
        <v>40550</v>
      </c>
      <c r="C149">
        <v>1</v>
      </c>
      <c r="D149">
        <v>2011</v>
      </c>
      <c r="E149" t="s">
        <v>10</v>
      </c>
      <c r="F149">
        <v>10</v>
      </c>
      <c r="G149" t="b">
        <v>0</v>
      </c>
      <c r="H149" t="s">
        <v>17</v>
      </c>
      <c r="I149">
        <v>1</v>
      </c>
      <c r="J149">
        <v>0.22</v>
      </c>
    </row>
    <row r="150" spans="1:10" x14ac:dyDescent="0.2">
      <c r="A150">
        <v>149</v>
      </c>
      <c r="B150" s="3">
        <v>40550</v>
      </c>
      <c r="C150">
        <v>1</v>
      </c>
      <c r="D150">
        <v>2011</v>
      </c>
      <c r="E150" t="s">
        <v>10</v>
      </c>
      <c r="F150">
        <v>11</v>
      </c>
      <c r="G150" t="b">
        <v>0</v>
      </c>
      <c r="H150" t="s">
        <v>17</v>
      </c>
      <c r="I150">
        <v>2</v>
      </c>
      <c r="J150">
        <v>0.2</v>
      </c>
    </row>
    <row r="151" spans="1:10" x14ac:dyDescent="0.2">
      <c r="A151">
        <v>150</v>
      </c>
      <c r="B151" s="3">
        <v>40550</v>
      </c>
      <c r="C151">
        <v>1</v>
      </c>
      <c r="D151">
        <v>2011</v>
      </c>
      <c r="E151" t="s">
        <v>10</v>
      </c>
      <c r="F151">
        <v>12</v>
      </c>
      <c r="G151" t="b">
        <v>0</v>
      </c>
      <c r="H151" t="s">
        <v>17</v>
      </c>
      <c r="I151">
        <v>2</v>
      </c>
      <c r="J151">
        <v>0.2</v>
      </c>
    </row>
    <row r="152" spans="1:10" x14ac:dyDescent="0.2">
      <c r="A152">
        <v>151</v>
      </c>
      <c r="B152" s="3">
        <v>40550</v>
      </c>
      <c r="C152">
        <v>1</v>
      </c>
      <c r="D152">
        <v>2011</v>
      </c>
      <c r="E152" t="s">
        <v>10</v>
      </c>
      <c r="F152">
        <v>13</v>
      </c>
      <c r="G152" t="b">
        <v>0</v>
      </c>
      <c r="H152" t="s">
        <v>17</v>
      </c>
      <c r="I152">
        <v>2</v>
      </c>
      <c r="J152">
        <v>0.2</v>
      </c>
    </row>
    <row r="153" spans="1:10" x14ac:dyDescent="0.2">
      <c r="A153">
        <v>152</v>
      </c>
      <c r="B153" s="3">
        <v>40550</v>
      </c>
      <c r="C153">
        <v>1</v>
      </c>
      <c r="D153">
        <v>2011</v>
      </c>
      <c r="E153" t="s">
        <v>10</v>
      </c>
      <c r="F153">
        <v>14</v>
      </c>
      <c r="G153" t="b">
        <v>0</v>
      </c>
      <c r="H153" t="s">
        <v>17</v>
      </c>
      <c r="I153">
        <v>2</v>
      </c>
      <c r="J153">
        <v>0.2</v>
      </c>
    </row>
    <row r="154" spans="1:10" x14ac:dyDescent="0.2">
      <c r="A154">
        <v>153</v>
      </c>
      <c r="B154" s="3">
        <v>40550</v>
      </c>
      <c r="C154">
        <v>1</v>
      </c>
      <c r="D154">
        <v>2011</v>
      </c>
      <c r="E154" t="s">
        <v>10</v>
      </c>
      <c r="F154">
        <v>15</v>
      </c>
      <c r="G154" t="b">
        <v>0</v>
      </c>
      <c r="H154" t="s">
        <v>17</v>
      </c>
      <c r="I154">
        <v>2</v>
      </c>
      <c r="J154">
        <v>0.2</v>
      </c>
    </row>
    <row r="155" spans="1:10" x14ac:dyDescent="0.2">
      <c r="A155">
        <v>154</v>
      </c>
      <c r="B155" s="3">
        <v>40550</v>
      </c>
      <c r="C155">
        <v>1</v>
      </c>
      <c r="D155">
        <v>2011</v>
      </c>
      <c r="E155" t="s">
        <v>10</v>
      </c>
      <c r="F155">
        <v>16</v>
      </c>
      <c r="G155" t="b">
        <v>0</v>
      </c>
      <c r="H155" t="s">
        <v>17</v>
      </c>
      <c r="I155">
        <v>2</v>
      </c>
      <c r="J155">
        <v>0.2</v>
      </c>
    </row>
    <row r="156" spans="1:10" x14ac:dyDescent="0.2">
      <c r="A156">
        <v>155</v>
      </c>
      <c r="B156" s="3">
        <v>40550</v>
      </c>
      <c r="C156">
        <v>1</v>
      </c>
      <c r="D156">
        <v>2011</v>
      </c>
      <c r="E156" t="s">
        <v>10</v>
      </c>
      <c r="F156">
        <v>17</v>
      </c>
      <c r="G156" t="b">
        <v>0</v>
      </c>
      <c r="H156" t="s">
        <v>17</v>
      </c>
      <c r="I156">
        <v>2</v>
      </c>
      <c r="J156">
        <v>0.2</v>
      </c>
    </row>
    <row r="157" spans="1:10" x14ac:dyDescent="0.2">
      <c r="A157">
        <v>156</v>
      </c>
      <c r="B157" s="3">
        <v>40550</v>
      </c>
      <c r="C157">
        <v>1</v>
      </c>
      <c r="D157">
        <v>2011</v>
      </c>
      <c r="E157" t="s">
        <v>10</v>
      </c>
      <c r="F157">
        <v>18</v>
      </c>
      <c r="G157" t="b">
        <v>0</v>
      </c>
      <c r="H157" t="s">
        <v>17</v>
      </c>
      <c r="I157">
        <v>1</v>
      </c>
      <c r="J157">
        <v>0.2</v>
      </c>
    </row>
    <row r="158" spans="1:10" x14ac:dyDescent="0.2">
      <c r="A158">
        <v>157</v>
      </c>
      <c r="B158" s="3">
        <v>40550</v>
      </c>
      <c r="C158">
        <v>1</v>
      </c>
      <c r="D158">
        <v>2011</v>
      </c>
      <c r="E158" t="s">
        <v>10</v>
      </c>
      <c r="F158">
        <v>19</v>
      </c>
      <c r="G158" t="b">
        <v>0</v>
      </c>
      <c r="H158" t="s">
        <v>17</v>
      </c>
      <c r="I158">
        <v>1</v>
      </c>
      <c r="J158">
        <v>0.16</v>
      </c>
    </row>
    <row r="159" spans="1:10" x14ac:dyDescent="0.2">
      <c r="A159">
        <v>158</v>
      </c>
      <c r="B159" s="3">
        <v>40550</v>
      </c>
      <c r="C159">
        <v>1</v>
      </c>
      <c r="D159">
        <v>2011</v>
      </c>
      <c r="E159" t="s">
        <v>10</v>
      </c>
      <c r="F159">
        <v>20</v>
      </c>
      <c r="G159" t="b">
        <v>0</v>
      </c>
      <c r="H159" t="s">
        <v>17</v>
      </c>
      <c r="I159">
        <v>1</v>
      </c>
      <c r="J159">
        <v>0.18</v>
      </c>
    </row>
    <row r="160" spans="1:10" x14ac:dyDescent="0.2">
      <c r="A160">
        <v>159</v>
      </c>
      <c r="B160" s="3">
        <v>40550</v>
      </c>
      <c r="C160">
        <v>1</v>
      </c>
      <c r="D160">
        <v>2011</v>
      </c>
      <c r="E160" t="s">
        <v>10</v>
      </c>
      <c r="F160">
        <v>21</v>
      </c>
      <c r="G160" t="b">
        <v>0</v>
      </c>
      <c r="H160" t="s">
        <v>17</v>
      </c>
      <c r="I160">
        <v>1</v>
      </c>
      <c r="J160">
        <v>0.18</v>
      </c>
    </row>
    <row r="161" spans="1:10" x14ac:dyDescent="0.2">
      <c r="A161">
        <v>160</v>
      </c>
      <c r="B161" s="3">
        <v>40550</v>
      </c>
      <c r="C161">
        <v>1</v>
      </c>
      <c r="D161">
        <v>2011</v>
      </c>
      <c r="E161" t="s">
        <v>10</v>
      </c>
      <c r="F161">
        <v>22</v>
      </c>
      <c r="G161" t="b">
        <v>0</v>
      </c>
      <c r="H161" t="s">
        <v>17</v>
      </c>
      <c r="I161">
        <v>2</v>
      </c>
      <c r="J161">
        <v>0.18</v>
      </c>
    </row>
    <row r="162" spans="1:10" x14ac:dyDescent="0.2">
      <c r="A162">
        <v>161</v>
      </c>
      <c r="B162" s="3">
        <v>40550</v>
      </c>
      <c r="C162">
        <v>1</v>
      </c>
      <c r="D162">
        <v>2011</v>
      </c>
      <c r="E162" t="s">
        <v>10</v>
      </c>
      <c r="F162">
        <v>23</v>
      </c>
      <c r="G162" t="b">
        <v>0</v>
      </c>
      <c r="H162" t="s">
        <v>17</v>
      </c>
      <c r="I162">
        <v>2</v>
      </c>
      <c r="J162">
        <v>0.18</v>
      </c>
    </row>
    <row r="163" spans="1:10" x14ac:dyDescent="0.2">
      <c r="A163">
        <v>162</v>
      </c>
      <c r="B163" s="3">
        <v>40551</v>
      </c>
      <c r="C163">
        <v>1</v>
      </c>
      <c r="D163">
        <v>2011</v>
      </c>
      <c r="E163" t="s">
        <v>10</v>
      </c>
      <c r="F163">
        <v>0</v>
      </c>
      <c r="G163" t="b">
        <v>0</v>
      </c>
      <c r="H163" t="s">
        <v>11</v>
      </c>
      <c r="I163">
        <v>2</v>
      </c>
      <c r="J163">
        <v>0.18</v>
      </c>
    </row>
    <row r="164" spans="1:10" x14ac:dyDescent="0.2">
      <c r="A164">
        <v>163</v>
      </c>
      <c r="B164" s="3">
        <v>40551</v>
      </c>
      <c r="C164">
        <v>1</v>
      </c>
      <c r="D164">
        <v>2011</v>
      </c>
      <c r="E164" t="s">
        <v>10</v>
      </c>
      <c r="F164">
        <v>1</v>
      </c>
      <c r="G164" t="b">
        <v>0</v>
      </c>
      <c r="H164" t="s">
        <v>11</v>
      </c>
      <c r="I164">
        <v>2</v>
      </c>
      <c r="J164">
        <v>0.18</v>
      </c>
    </row>
    <row r="165" spans="1:10" x14ac:dyDescent="0.2">
      <c r="A165">
        <v>164</v>
      </c>
      <c r="B165" s="3">
        <v>40551</v>
      </c>
      <c r="C165">
        <v>1</v>
      </c>
      <c r="D165">
        <v>2011</v>
      </c>
      <c r="E165" t="s">
        <v>10</v>
      </c>
      <c r="F165">
        <v>2</v>
      </c>
      <c r="G165" t="b">
        <v>0</v>
      </c>
      <c r="H165" t="s">
        <v>11</v>
      </c>
      <c r="I165">
        <v>2</v>
      </c>
      <c r="J165">
        <v>0.18</v>
      </c>
    </row>
    <row r="166" spans="1:10" x14ac:dyDescent="0.2">
      <c r="A166">
        <v>165</v>
      </c>
      <c r="B166" s="3">
        <v>40551</v>
      </c>
      <c r="C166">
        <v>1</v>
      </c>
      <c r="D166">
        <v>2011</v>
      </c>
      <c r="E166" t="s">
        <v>10</v>
      </c>
      <c r="F166">
        <v>3</v>
      </c>
      <c r="G166" t="b">
        <v>0</v>
      </c>
      <c r="H166" t="s">
        <v>11</v>
      </c>
      <c r="I166">
        <v>3</v>
      </c>
      <c r="J166">
        <v>0.18</v>
      </c>
    </row>
    <row r="167" spans="1:10" x14ac:dyDescent="0.2">
      <c r="A167">
        <v>166</v>
      </c>
      <c r="B167" s="3">
        <v>40551</v>
      </c>
      <c r="C167">
        <v>1</v>
      </c>
      <c r="D167">
        <v>2011</v>
      </c>
      <c r="E167" t="s">
        <v>10</v>
      </c>
      <c r="F167">
        <v>4</v>
      </c>
      <c r="G167" t="b">
        <v>0</v>
      </c>
      <c r="H167" t="s">
        <v>11</v>
      </c>
      <c r="I167">
        <v>3</v>
      </c>
      <c r="J167">
        <v>0.18</v>
      </c>
    </row>
    <row r="168" spans="1:10" x14ac:dyDescent="0.2">
      <c r="A168">
        <v>167</v>
      </c>
      <c r="B168" s="3">
        <v>40551</v>
      </c>
      <c r="C168">
        <v>1</v>
      </c>
      <c r="D168">
        <v>2011</v>
      </c>
      <c r="E168" t="s">
        <v>10</v>
      </c>
      <c r="F168">
        <v>5</v>
      </c>
      <c r="G168" t="b">
        <v>0</v>
      </c>
      <c r="H168" t="s">
        <v>11</v>
      </c>
      <c r="I168">
        <v>2</v>
      </c>
      <c r="J168">
        <v>0.16</v>
      </c>
    </row>
    <row r="169" spans="1:10" x14ac:dyDescent="0.2">
      <c r="A169">
        <v>168</v>
      </c>
      <c r="B169" s="3">
        <v>40551</v>
      </c>
      <c r="C169">
        <v>1</v>
      </c>
      <c r="D169">
        <v>2011</v>
      </c>
      <c r="E169" t="s">
        <v>10</v>
      </c>
      <c r="F169">
        <v>6</v>
      </c>
      <c r="G169" t="b">
        <v>0</v>
      </c>
      <c r="H169" t="s">
        <v>11</v>
      </c>
      <c r="I169">
        <v>2</v>
      </c>
      <c r="J169">
        <v>0.16</v>
      </c>
    </row>
    <row r="170" spans="1:10" x14ac:dyDescent="0.2">
      <c r="A170">
        <v>169</v>
      </c>
      <c r="B170" s="3">
        <v>40551</v>
      </c>
      <c r="C170">
        <v>1</v>
      </c>
      <c r="D170">
        <v>2011</v>
      </c>
      <c r="E170" t="s">
        <v>10</v>
      </c>
      <c r="F170">
        <v>7</v>
      </c>
      <c r="G170" t="b">
        <v>0</v>
      </c>
      <c r="H170" t="s">
        <v>11</v>
      </c>
      <c r="I170">
        <v>2</v>
      </c>
      <c r="J170">
        <v>0.16</v>
      </c>
    </row>
    <row r="171" spans="1:10" x14ac:dyDescent="0.2">
      <c r="A171">
        <v>170</v>
      </c>
      <c r="B171" s="3">
        <v>40551</v>
      </c>
      <c r="C171">
        <v>1</v>
      </c>
      <c r="D171">
        <v>2011</v>
      </c>
      <c r="E171" t="s">
        <v>10</v>
      </c>
      <c r="F171">
        <v>8</v>
      </c>
      <c r="G171" t="b">
        <v>0</v>
      </c>
      <c r="H171" t="s">
        <v>11</v>
      </c>
      <c r="I171">
        <v>3</v>
      </c>
      <c r="J171">
        <v>0.16</v>
      </c>
    </row>
    <row r="172" spans="1:10" x14ac:dyDescent="0.2">
      <c r="A172">
        <v>171</v>
      </c>
      <c r="B172" s="3">
        <v>40551</v>
      </c>
      <c r="C172">
        <v>1</v>
      </c>
      <c r="D172">
        <v>2011</v>
      </c>
      <c r="E172" t="s">
        <v>10</v>
      </c>
      <c r="F172">
        <v>9</v>
      </c>
      <c r="G172" t="b">
        <v>0</v>
      </c>
      <c r="H172" t="s">
        <v>11</v>
      </c>
      <c r="I172">
        <v>3</v>
      </c>
      <c r="J172">
        <v>0.16</v>
      </c>
    </row>
    <row r="173" spans="1:10" x14ac:dyDescent="0.2">
      <c r="A173">
        <v>172</v>
      </c>
      <c r="B173" s="3">
        <v>40551</v>
      </c>
      <c r="C173">
        <v>1</v>
      </c>
      <c r="D173">
        <v>2011</v>
      </c>
      <c r="E173" t="s">
        <v>10</v>
      </c>
      <c r="F173">
        <v>10</v>
      </c>
      <c r="G173" t="b">
        <v>0</v>
      </c>
      <c r="H173" t="s">
        <v>11</v>
      </c>
      <c r="I173">
        <v>2</v>
      </c>
      <c r="J173">
        <v>0.18</v>
      </c>
    </row>
    <row r="174" spans="1:10" x14ac:dyDescent="0.2">
      <c r="A174">
        <v>173</v>
      </c>
      <c r="B174" s="3">
        <v>40551</v>
      </c>
      <c r="C174">
        <v>1</v>
      </c>
      <c r="D174">
        <v>2011</v>
      </c>
      <c r="E174" t="s">
        <v>10</v>
      </c>
      <c r="F174">
        <v>11</v>
      </c>
      <c r="G174" t="b">
        <v>0</v>
      </c>
      <c r="H174" t="s">
        <v>11</v>
      </c>
      <c r="I174">
        <v>2</v>
      </c>
      <c r="J174">
        <v>0.2</v>
      </c>
    </row>
    <row r="175" spans="1:10" x14ac:dyDescent="0.2">
      <c r="A175">
        <v>174</v>
      </c>
      <c r="B175" s="3">
        <v>40551</v>
      </c>
      <c r="C175">
        <v>1</v>
      </c>
      <c r="D175">
        <v>2011</v>
      </c>
      <c r="E175" t="s">
        <v>10</v>
      </c>
      <c r="F175">
        <v>12</v>
      </c>
      <c r="G175" t="b">
        <v>0</v>
      </c>
      <c r="H175" t="s">
        <v>11</v>
      </c>
      <c r="I175">
        <v>2</v>
      </c>
      <c r="J175">
        <v>0.2</v>
      </c>
    </row>
    <row r="176" spans="1:10" x14ac:dyDescent="0.2">
      <c r="A176">
        <v>175</v>
      </c>
      <c r="B176" s="3">
        <v>40551</v>
      </c>
      <c r="C176">
        <v>1</v>
      </c>
      <c r="D176">
        <v>2011</v>
      </c>
      <c r="E176" t="s">
        <v>10</v>
      </c>
      <c r="F176">
        <v>13</v>
      </c>
      <c r="G176" t="b">
        <v>0</v>
      </c>
      <c r="H176" t="s">
        <v>11</v>
      </c>
      <c r="I176">
        <v>1</v>
      </c>
      <c r="J176">
        <v>0.2</v>
      </c>
    </row>
    <row r="177" spans="1:10" x14ac:dyDescent="0.2">
      <c r="A177">
        <v>176</v>
      </c>
      <c r="B177" s="3">
        <v>40551</v>
      </c>
      <c r="C177">
        <v>1</v>
      </c>
      <c r="D177">
        <v>2011</v>
      </c>
      <c r="E177" t="s">
        <v>10</v>
      </c>
      <c r="F177">
        <v>14</v>
      </c>
      <c r="G177" t="b">
        <v>0</v>
      </c>
      <c r="H177" t="s">
        <v>11</v>
      </c>
      <c r="I177">
        <v>1</v>
      </c>
      <c r="J177">
        <v>0.2</v>
      </c>
    </row>
    <row r="178" spans="1:10" x14ac:dyDescent="0.2">
      <c r="A178">
        <v>177</v>
      </c>
      <c r="B178" s="3">
        <v>40551</v>
      </c>
      <c r="C178">
        <v>1</v>
      </c>
      <c r="D178">
        <v>2011</v>
      </c>
      <c r="E178" t="s">
        <v>10</v>
      </c>
      <c r="F178">
        <v>15</v>
      </c>
      <c r="G178" t="b">
        <v>0</v>
      </c>
      <c r="H178" t="s">
        <v>11</v>
      </c>
      <c r="I178">
        <v>1</v>
      </c>
      <c r="J178">
        <v>0.2</v>
      </c>
    </row>
    <row r="179" spans="1:10" x14ac:dyDescent="0.2">
      <c r="A179">
        <v>178</v>
      </c>
      <c r="B179" s="3">
        <v>40551</v>
      </c>
      <c r="C179">
        <v>1</v>
      </c>
      <c r="D179">
        <v>2011</v>
      </c>
      <c r="E179" t="s">
        <v>10</v>
      </c>
      <c r="F179">
        <v>16</v>
      </c>
      <c r="G179" t="b">
        <v>0</v>
      </c>
      <c r="H179" t="s">
        <v>11</v>
      </c>
      <c r="I179">
        <v>1</v>
      </c>
      <c r="J179">
        <v>0.18</v>
      </c>
    </row>
    <row r="180" spans="1:10" x14ac:dyDescent="0.2">
      <c r="A180">
        <v>179</v>
      </c>
      <c r="B180" s="3">
        <v>40551</v>
      </c>
      <c r="C180">
        <v>1</v>
      </c>
      <c r="D180">
        <v>2011</v>
      </c>
      <c r="E180" t="s">
        <v>10</v>
      </c>
      <c r="F180">
        <v>17</v>
      </c>
      <c r="G180" t="b">
        <v>0</v>
      </c>
      <c r="H180" t="s">
        <v>11</v>
      </c>
      <c r="I180">
        <v>1</v>
      </c>
      <c r="J180">
        <v>0.16</v>
      </c>
    </row>
    <row r="181" spans="1:10" x14ac:dyDescent="0.2">
      <c r="A181">
        <v>180</v>
      </c>
      <c r="B181" s="3">
        <v>40551</v>
      </c>
      <c r="C181">
        <v>1</v>
      </c>
      <c r="D181">
        <v>2011</v>
      </c>
      <c r="E181" t="s">
        <v>10</v>
      </c>
      <c r="F181">
        <v>18</v>
      </c>
      <c r="G181" t="b">
        <v>0</v>
      </c>
      <c r="H181" t="s">
        <v>11</v>
      </c>
      <c r="I181">
        <v>1</v>
      </c>
      <c r="J181">
        <v>0.14000000000000001</v>
      </c>
    </row>
    <row r="182" spans="1:10" x14ac:dyDescent="0.2">
      <c r="A182">
        <v>181</v>
      </c>
      <c r="B182" s="3">
        <v>40551</v>
      </c>
      <c r="C182">
        <v>1</v>
      </c>
      <c r="D182">
        <v>2011</v>
      </c>
      <c r="E182" t="s">
        <v>10</v>
      </c>
      <c r="F182">
        <v>19</v>
      </c>
      <c r="G182" t="b">
        <v>0</v>
      </c>
      <c r="H182" t="s">
        <v>11</v>
      </c>
      <c r="I182">
        <v>1</v>
      </c>
      <c r="J182">
        <v>0.14000000000000001</v>
      </c>
    </row>
    <row r="183" spans="1:10" x14ac:dyDescent="0.2">
      <c r="A183">
        <v>182</v>
      </c>
      <c r="B183" s="3">
        <v>40551</v>
      </c>
      <c r="C183">
        <v>1</v>
      </c>
      <c r="D183">
        <v>2011</v>
      </c>
      <c r="E183" t="s">
        <v>10</v>
      </c>
      <c r="F183">
        <v>20</v>
      </c>
      <c r="G183" t="b">
        <v>0</v>
      </c>
      <c r="H183" t="s">
        <v>11</v>
      </c>
      <c r="I183">
        <v>1</v>
      </c>
      <c r="J183">
        <v>0.12</v>
      </c>
    </row>
    <row r="184" spans="1:10" x14ac:dyDescent="0.2">
      <c r="A184">
        <v>183</v>
      </c>
      <c r="B184" s="3">
        <v>40551</v>
      </c>
      <c r="C184">
        <v>1</v>
      </c>
      <c r="D184">
        <v>2011</v>
      </c>
      <c r="E184" t="s">
        <v>10</v>
      </c>
      <c r="F184">
        <v>21</v>
      </c>
      <c r="G184" t="b">
        <v>0</v>
      </c>
      <c r="H184" t="s">
        <v>11</v>
      </c>
      <c r="I184">
        <v>1</v>
      </c>
      <c r="J184">
        <v>0.12</v>
      </c>
    </row>
    <row r="185" spans="1:10" x14ac:dyDescent="0.2">
      <c r="A185">
        <v>184</v>
      </c>
      <c r="B185" s="3">
        <v>40551</v>
      </c>
      <c r="C185">
        <v>1</v>
      </c>
      <c r="D185">
        <v>2011</v>
      </c>
      <c r="E185" t="s">
        <v>10</v>
      </c>
      <c r="F185">
        <v>22</v>
      </c>
      <c r="G185" t="b">
        <v>0</v>
      </c>
      <c r="H185" t="s">
        <v>11</v>
      </c>
      <c r="I185">
        <v>1</v>
      </c>
      <c r="J185">
        <v>0.12</v>
      </c>
    </row>
    <row r="186" spans="1:10" x14ac:dyDescent="0.2">
      <c r="A186">
        <v>185</v>
      </c>
      <c r="B186" s="3">
        <v>40551</v>
      </c>
      <c r="C186">
        <v>1</v>
      </c>
      <c r="D186">
        <v>2011</v>
      </c>
      <c r="E186" t="s">
        <v>10</v>
      </c>
      <c r="F186">
        <v>23</v>
      </c>
      <c r="G186" t="b">
        <v>0</v>
      </c>
      <c r="H186" t="s">
        <v>11</v>
      </c>
      <c r="I186">
        <v>1</v>
      </c>
      <c r="J186">
        <v>0.1</v>
      </c>
    </row>
    <row r="187" spans="1:10" x14ac:dyDescent="0.2">
      <c r="A187">
        <v>186</v>
      </c>
      <c r="B187" s="3">
        <v>40552</v>
      </c>
      <c r="C187">
        <v>1</v>
      </c>
      <c r="D187">
        <v>2011</v>
      </c>
      <c r="E187" t="s">
        <v>10</v>
      </c>
      <c r="F187">
        <v>0</v>
      </c>
      <c r="G187" t="b">
        <v>1</v>
      </c>
      <c r="H187" t="s">
        <v>12</v>
      </c>
      <c r="I187">
        <v>1</v>
      </c>
      <c r="J187">
        <v>0.1</v>
      </c>
    </row>
    <row r="188" spans="1:10" x14ac:dyDescent="0.2">
      <c r="A188">
        <v>187</v>
      </c>
      <c r="B188" s="3">
        <v>40552</v>
      </c>
      <c r="C188">
        <v>1</v>
      </c>
      <c r="D188">
        <v>2011</v>
      </c>
      <c r="E188" t="s">
        <v>10</v>
      </c>
      <c r="F188">
        <v>1</v>
      </c>
      <c r="G188" t="b">
        <v>1</v>
      </c>
      <c r="H188" t="s">
        <v>12</v>
      </c>
      <c r="I188">
        <v>1</v>
      </c>
      <c r="J188">
        <v>0.1</v>
      </c>
    </row>
    <row r="189" spans="1:10" x14ac:dyDescent="0.2">
      <c r="A189">
        <v>188</v>
      </c>
      <c r="B189" s="3">
        <v>40552</v>
      </c>
      <c r="C189">
        <v>1</v>
      </c>
      <c r="D189">
        <v>2011</v>
      </c>
      <c r="E189" t="s">
        <v>10</v>
      </c>
      <c r="F189">
        <v>2</v>
      </c>
      <c r="G189" t="b">
        <v>1</v>
      </c>
      <c r="H189" t="s">
        <v>12</v>
      </c>
      <c r="I189">
        <v>1</v>
      </c>
      <c r="J189">
        <v>0.1</v>
      </c>
    </row>
    <row r="190" spans="1:10" x14ac:dyDescent="0.2">
      <c r="A190">
        <v>189</v>
      </c>
      <c r="B190" s="3">
        <v>40552</v>
      </c>
      <c r="C190">
        <v>1</v>
      </c>
      <c r="D190">
        <v>2011</v>
      </c>
      <c r="E190" t="s">
        <v>10</v>
      </c>
      <c r="F190">
        <v>3</v>
      </c>
      <c r="G190" t="b">
        <v>1</v>
      </c>
      <c r="H190" t="s">
        <v>12</v>
      </c>
      <c r="I190">
        <v>1</v>
      </c>
      <c r="J190">
        <v>0.1</v>
      </c>
    </row>
    <row r="191" spans="1:10" x14ac:dyDescent="0.2">
      <c r="A191">
        <v>190</v>
      </c>
      <c r="B191" s="3">
        <v>40552</v>
      </c>
      <c r="C191">
        <v>1</v>
      </c>
      <c r="D191">
        <v>2011</v>
      </c>
      <c r="E191" t="s">
        <v>10</v>
      </c>
      <c r="F191">
        <v>4</v>
      </c>
      <c r="G191" t="b">
        <v>1</v>
      </c>
      <c r="H191" t="s">
        <v>12</v>
      </c>
      <c r="I191">
        <v>1</v>
      </c>
      <c r="J191">
        <v>0.08</v>
      </c>
    </row>
    <row r="192" spans="1:10" x14ac:dyDescent="0.2">
      <c r="A192">
        <v>191</v>
      </c>
      <c r="B192" s="3">
        <v>40552</v>
      </c>
      <c r="C192">
        <v>1</v>
      </c>
      <c r="D192">
        <v>2011</v>
      </c>
      <c r="E192" t="s">
        <v>10</v>
      </c>
      <c r="F192">
        <v>5</v>
      </c>
      <c r="G192" t="b">
        <v>1</v>
      </c>
      <c r="H192" t="s">
        <v>12</v>
      </c>
      <c r="I192">
        <v>1</v>
      </c>
      <c r="J192">
        <v>0.08</v>
      </c>
    </row>
    <row r="193" spans="1:10" x14ac:dyDescent="0.2">
      <c r="A193">
        <v>192</v>
      </c>
      <c r="B193" s="3">
        <v>40552</v>
      </c>
      <c r="C193">
        <v>1</v>
      </c>
      <c r="D193">
        <v>2011</v>
      </c>
      <c r="E193" t="s">
        <v>10</v>
      </c>
      <c r="F193">
        <v>6</v>
      </c>
      <c r="G193" t="b">
        <v>1</v>
      </c>
      <c r="H193" t="s">
        <v>12</v>
      </c>
      <c r="I193">
        <v>1</v>
      </c>
      <c r="J193">
        <v>0.1</v>
      </c>
    </row>
    <row r="194" spans="1:10" x14ac:dyDescent="0.2">
      <c r="A194">
        <v>193</v>
      </c>
      <c r="B194" s="3">
        <v>40552</v>
      </c>
      <c r="C194">
        <v>1</v>
      </c>
      <c r="D194">
        <v>2011</v>
      </c>
      <c r="E194" t="s">
        <v>10</v>
      </c>
      <c r="F194">
        <v>7</v>
      </c>
      <c r="G194" t="b">
        <v>1</v>
      </c>
      <c r="H194" t="s">
        <v>12</v>
      </c>
      <c r="I194">
        <v>1</v>
      </c>
      <c r="J194">
        <v>0.08</v>
      </c>
    </row>
    <row r="195" spans="1:10" x14ac:dyDescent="0.2">
      <c r="A195">
        <v>194</v>
      </c>
      <c r="B195" s="3">
        <v>40552</v>
      </c>
      <c r="C195">
        <v>1</v>
      </c>
      <c r="D195">
        <v>2011</v>
      </c>
      <c r="E195" t="s">
        <v>10</v>
      </c>
      <c r="F195">
        <v>8</v>
      </c>
      <c r="G195" t="b">
        <v>1</v>
      </c>
      <c r="H195" t="s">
        <v>12</v>
      </c>
      <c r="I195">
        <v>1</v>
      </c>
      <c r="J195">
        <v>0.1</v>
      </c>
    </row>
    <row r="196" spans="1:10" x14ac:dyDescent="0.2">
      <c r="A196">
        <v>195</v>
      </c>
      <c r="B196" s="3">
        <v>40552</v>
      </c>
      <c r="C196">
        <v>1</v>
      </c>
      <c r="D196">
        <v>2011</v>
      </c>
      <c r="E196" t="s">
        <v>10</v>
      </c>
      <c r="F196">
        <v>9</v>
      </c>
      <c r="G196" t="b">
        <v>1</v>
      </c>
      <c r="H196" t="s">
        <v>12</v>
      </c>
      <c r="I196">
        <v>1</v>
      </c>
      <c r="J196">
        <v>0.12</v>
      </c>
    </row>
    <row r="197" spans="1:10" x14ac:dyDescent="0.2">
      <c r="A197">
        <v>196</v>
      </c>
      <c r="B197" s="3">
        <v>40552</v>
      </c>
      <c r="C197">
        <v>1</v>
      </c>
      <c r="D197">
        <v>2011</v>
      </c>
      <c r="E197" t="s">
        <v>10</v>
      </c>
      <c r="F197">
        <v>10</v>
      </c>
      <c r="G197" t="b">
        <v>1</v>
      </c>
      <c r="H197" t="s">
        <v>12</v>
      </c>
      <c r="I197">
        <v>1</v>
      </c>
      <c r="J197">
        <v>0.14000000000000001</v>
      </c>
    </row>
    <row r="198" spans="1:10" x14ac:dyDescent="0.2">
      <c r="A198">
        <v>197</v>
      </c>
      <c r="B198" s="3">
        <v>40552</v>
      </c>
      <c r="C198">
        <v>1</v>
      </c>
      <c r="D198">
        <v>2011</v>
      </c>
      <c r="E198" t="s">
        <v>10</v>
      </c>
      <c r="F198">
        <v>11</v>
      </c>
      <c r="G198" t="b">
        <v>1</v>
      </c>
      <c r="H198" t="s">
        <v>12</v>
      </c>
      <c r="I198">
        <v>1</v>
      </c>
      <c r="J198">
        <v>0.16</v>
      </c>
    </row>
    <row r="199" spans="1:10" x14ac:dyDescent="0.2">
      <c r="A199">
        <v>198</v>
      </c>
      <c r="B199" s="3">
        <v>40552</v>
      </c>
      <c r="C199">
        <v>1</v>
      </c>
      <c r="D199">
        <v>2011</v>
      </c>
      <c r="E199" t="s">
        <v>10</v>
      </c>
      <c r="F199">
        <v>12</v>
      </c>
      <c r="G199" t="b">
        <v>1</v>
      </c>
      <c r="H199" t="s">
        <v>12</v>
      </c>
      <c r="I199">
        <v>1</v>
      </c>
      <c r="J199">
        <v>0.18</v>
      </c>
    </row>
    <row r="200" spans="1:10" x14ac:dyDescent="0.2">
      <c r="A200">
        <v>199</v>
      </c>
      <c r="B200" s="3">
        <v>40552</v>
      </c>
      <c r="C200">
        <v>1</v>
      </c>
      <c r="D200">
        <v>2011</v>
      </c>
      <c r="E200" t="s">
        <v>10</v>
      </c>
      <c r="F200">
        <v>13</v>
      </c>
      <c r="G200" t="b">
        <v>1</v>
      </c>
      <c r="H200" t="s">
        <v>12</v>
      </c>
      <c r="I200">
        <v>1</v>
      </c>
      <c r="J200">
        <v>0.2</v>
      </c>
    </row>
    <row r="201" spans="1:10" x14ac:dyDescent="0.2">
      <c r="A201">
        <v>200</v>
      </c>
      <c r="B201" s="3">
        <v>40552</v>
      </c>
      <c r="C201">
        <v>1</v>
      </c>
      <c r="D201">
        <v>2011</v>
      </c>
      <c r="E201" t="s">
        <v>10</v>
      </c>
      <c r="F201">
        <v>14</v>
      </c>
      <c r="G201" t="b">
        <v>1</v>
      </c>
      <c r="H201" t="s">
        <v>12</v>
      </c>
      <c r="I201">
        <v>1</v>
      </c>
      <c r="J201">
        <v>0.22</v>
      </c>
    </row>
    <row r="202" spans="1:10" x14ac:dyDescent="0.2">
      <c r="A202">
        <v>201</v>
      </c>
      <c r="B202" s="3">
        <v>40552</v>
      </c>
      <c r="C202">
        <v>1</v>
      </c>
      <c r="D202">
        <v>2011</v>
      </c>
      <c r="E202" t="s">
        <v>10</v>
      </c>
      <c r="F202">
        <v>15</v>
      </c>
      <c r="G202" t="b">
        <v>1</v>
      </c>
      <c r="H202" t="s">
        <v>12</v>
      </c>
      <c r="I202">
        <v>1</v>
      </c>
      <c r="J202">
        <v>0.22</v>
      </c>
    </row>
    <row r="203" spans="1:10" x14ac:dyDescent="0.2">
      <c r="A203">
        <v>202</v>
      </c>
      <c r="B203" s="3">
        <v>40552</v>
      </c>
      <c r="C203">
        <v>1</v>
      </c>
      <c r="D203">
        <v>2011</v>
      </c>
      <c r="E203" t="s">
        <v>10</v>
      </c>
      <c r="F203">
        <v>16</v>
      </c>
      <c r="G203" t="b">
        <v>1</v>
      </c>
      <c r="H203" t="s">
        <v>12</v>
      </c>
      <c r="I203">
        <v>1</v>
      </c>
      <c r="J203">
        <v>0.2</v>
      </c>
    </row>
    <row r="204" spans="1:10" x14ac:dyDescent="0.2">
      <c r="A204">
        <v>203</v>
      </c>
      <c r="B204" s="3">
        <v>40552</v>
      </c>
      <c r="C204">
        <v>1</v>
      </c>
      <c r="D204">
        <v>2011</v>
      </c>
      <c r="E204" t="s">
        <v>10</v>
      </c>
      <c r="F204">
        <v>17</v>
      </c>
      <c r="G204" t="b">
        <v>1</v>
      </c>
      <c r="H204" t="s">
        <v>12</v>
      </c>
      <c r="I204">
        <v>1</v>
      </c>
      <c r="J204">
        <v>0.18</v>
      </c>
    </row>
    <row r="205" spans="1:10" x14ac:dyDescent="0.2">
      <c r="A205">
        <v>204</v>
      </c>
      <c r="B205" s="3">
        <v>40552</v>
      </c>
      <c r="C205">
        <v>1</v>
      </c>
      <c r="D205">
        <v>2011</v>
      </c>
      <c r="E205" t="s">
        <v>10</v>
      </c>
      <c r="F205">
        <v>18</v>
      </c>
      <c r="G205" t="b">
        <v>1</v>
      </c>
      <c r="H205" t="s">
        <v>12</v>
      </c>
      <c r="I205">
        <v>1</v>
      </c>
      <c r="J205">
        <v>0.16</v>
      </c>
    </row>
    <row r="206" spans="1:10" x14ac:dyDescent="0.2">
      <c r="A206">
        <v>205</v>
      </c>
      <c r="B206" s="3">
        <v>40552</v>
      </c>
      <c r="C206">
        <v>1</v>
      </c>
      <c r="D206">
        <v>2011</v>
      </c>
      <c r="E206" t="s">
        <v>10</v>
      </c>
      <c r="F206">
        <v>19</v>
      </c>
      <c r="G206" t="b">
        <v>1</v>
      </c>
      <c r="H206" t="s">
        <v>12</v>
      </c>
      <c r="I206">
        <v>1</v>
      </c>
      <c r="J206">
        <v>0.16</v>
      </c>
    </row>
    <row r="207" spans="1:10" x14ac:dyDescent="0.2">
      <c r="A207">
        <v>206</v>
      </c>
      <c r="B207" s="3">
        <v>40552</v>
      </c>
      <c r="C207">
        <v>1</v>
      </c>
      <c r="D207">
        <v>2011</v>
      </c>
      <c r="E207" t="s">
        <v>10</v>
      </c>
      <c r="F207">
        <v>20</v>
      </c>
      <c r="G207" t="b">
        <v>1</v>
      </c>
      <c r="H207" t="s">
        <v>12</v>
      </c>
      <c r="I207">
        <v>1</v>
      </c>
      <c r="J207">
        <v>0.14000000000000001</v>
      </c>
    </row>
    <row r="208" spans="1:10" x14ac:dyDescent="0.2">
      <c r="A208">
        <v>207</v>
      </c>
      <c r="B208" s="3">
        <v>40552</v>
      </c>
      <c r="C208">
        <v>1</v>
      </c>
      <c r="D208">
        <v>2011</v>
      </c>
      <c r="E208" t="s">
        <v>10</v>
      </c>
      <c r="F208">
        <v>21</v>
      </c>
      <c r="G208" t="b">
        <v>1</v>
      </c>
      <c r="H208" t="s">
        <v>12</v>
      </c>
      <c r="I208">
        <v>1</v>
      </c>
      <c r="J208">
        <v>0.14000000000000001</v>
      </c>
    </row>
    <row r="209" spans="1:10" x14ac:dyDescent="0.2">
      <c r="A209">
        <v>208</v>
      </c>
      <c r="B209" s="3">
        <v>40552</v>
      </c>
      <c r="C209">
        <v>1</v>
      </c>
      <c r="D209">
        <v>2011</v>
      </c>
      <c r="E209" t="s">
        <v>10</v>
      </c>
      <c r="F209">
        <v>22</v>
      </c>
      <c r="G209" t="b">
        <v>1</v>
      </c>
      <c r="H209" t="s">
        <v>12</v>
      </c>
      <c r="I209">
        <v>1</v>
      </c>
      <c r="J209">
        <v>0.14000000000000001</v>
      </c>
    </row>
    <row r="210" spans="1:10" x14ac:dyDescent="0.2">
      <c r="A210">
        <v>209</v>
      </c>
      <c r="B210" s="3">
        <v>40552</v>
      </c>
      <c r="C210">
        <v>1</v>
      </c>
      <c r="D210">
        <v>2011</v>
      </c>
      <c r="E210" t="s">
        <v>10</v>
      </c>
      <c r="F210">
        <v>23</v>
      </c>
      <c r="G210" t="b">
        <v>1</v>
      </c>
      <c r="H210" t="s">
        <v>12</v>
      </c>
      <c r="I210">
        <v>1</v>
      </c>
      <c r="J210">
        <v>0.12</v>
      </c>
    </row>
    <row r="211" spans="1:10" x14ac:dyDescent="0.2">
      <c r="A211">
        <v>210</v>
      </c>
      <c r="B211" s="3">
        <v>40553</v>
      </c>
      <c r="C211">
        <v>1</v>
      </c>
      <c r="D211">
        <v>2011</v>
      </c>
      <c r="E211" t="s">
        <v>10</v>
      </c>
      <c r="F211">
        <v>0</v>
      </c>
      <c r="G211" t="b">
        <v>0</v>
      </c>
      <c r="H211" t="s">
        <v>13</v>
      </c>
      <c r="I211">
        <v>1</v>
      </c>
      <c r="J211">
        <v>0.12</v>
      </c>
    </row>
    <row r="212" spans="1:10" x14ac:dyDescent="0.2">
      <c r="A212">
        <v>211</v>
      </c>
      <c r="B212" s="3">
        <v>40553</v>
      </c>
      <c r="C212">
        <v>1</v>
      </c>
      <c r="D212">
        <v>2011</v>
      </c>
      <c r="E212" t="s">
        <v>10</v>
      </c>
      <c r="F212">
        <v>1</v>
      </c>
      <c r="G212" t="b">
        <v>0</v>
      </c>
      <c r="H212" t="s">
        <v>13</v>
      </c>
      <c r="I212">
        <v>1</v>
      </c>
      <c r="J212">
        <v>0.12</v>
      </c>
    </row>
    <row r="213" spans="1:10" x14ac:dyDescent="0.2">
      <c r="A213">
        <v>212</v>
      </c>
      <c r="B213" s="3">
        <v>40553</v>
      </c>
      <c r="C213">
        <v>1</v>
      </c>
      <c r="D213">
        <v>2011</v>
      </c>
      <c r="E213" t="s">
        <v>10</v>
      </c>
      <c r="F213">
        <v>2</v>
      </c>
      <c r="G213" t="b">
        <v>0</v>
      </c>
      <c r="H213" t="s">
        <v>13</v>
      </c>
      <c r="I213">
        <v>1</v>
      </c>
      <c r="J213">
        <v>0.12</v>
      </c>
    </row>
    <row r="214" spans="1:10" x14ac:dyDescent="0.2">
      <c r="A214">
        <v>213</v>
      </c>
      <c r="B214" s="3">
        <v>40553</v>
      </c>
      <c r="C214">
        <v>1</v>
      </c>
      <c r="D214">
        <v>2011</v>
      </c>
      <c r="E214" t="s">
        <v>10</v>
      </c>
      <c r="F214">
        <v>3</v>
      </c>
      <c r="G214" t="b">
        <v>0</v>
      </c>
      <c r="H214" t="s">
        <v>13</v>
      </c>
      <c r="I214">
        <v>1</v>
      </c>
      <c r="J214">
        <v>0.12</v>
      </c>
    </row>
    <row r="215" spans="1:10" x14ac:dyDescent="0.2">
      <c r="A215">
        <v>214</v>
      </c>
      <c r="B215" s="3">
        <v>40553</v>
      </c>
      <c r="C215">
        <v>1</v>
      </c>
      <c r="D215">
        <v>2011</v>
      </c>
      <c r="E215" t="s">
        <v>10</v>
      </c>
      <c r="F215">
        <v>4</v>
      </c>
      <c r="G215" t="b">
        <v>0</v>
      </c>
      <c r="H215" t="s">
        <v>13</v>
      </c>
      <c r="I215">
        <v>1</v>
      </c>
      <c r="J215">
        <v>0.1</v>
      </c>
    </row>
    <row r="216" spans="1:10" x14ac:dyDescent="0.2">
      <c r="A216">
        <v>215</v>
      </c>
      <c r="B216" s="3">
        <v>40553</v>
      </c>
      <c r="C216">
        <v>1</v>
      </c>
      <c r="D216">
        <v>2011</v>
      </c>
      <c r="E216" t="s">
        <v>10</v>
      </c>
      <c r="F216">
        <v>5</v>
      </c>
      <c r="G216" t="b">
        <v>0</v>
      </c>
      <c r="H216" t="s">
        <v>13</v>
      </c>
      <c r="I216">
        <v>1</v>
      </c>
      <c r="J216">
        <v>0.1</v>
      </c>
    </row>
    <row r="217" spans="1:10" x14ac:dyDescent="0.2">
      <c r="A217">
        <v>216</v>
      </c>
      <c r="B217" s="3">
        <v>40553</v>
      </c>
      <c r="C217">
        <v>1</v>
      </c>
      <c r="D217">
        <v>2011</v>
      </c>
      <c r="E217" t="s">
        <v>10</v>
      </c>
      <c r="F217">
        <v>6</v>
      </c>
      <c r="G217" t="b">
        <v>0</v>
      </c>
      <c r="H217" t="s">
        <v>13</v>
      </c>
      <c r="I217">
        <v>1</v>
      </c>
      <c r="J217">
        <v>0.12</v>
      </c>
    </row>
    <row r="218" spans="1:10" x14ac:dyDescent="0.2">
      <c r="A218">
        <v>217</v>
      </c>
      <c r="B218" s="3">
        <v>40553</v>
      </c>
      <c r="C218">
        <v>1</v>
      </c>
      <c r="D218">
        <v>2011</v>
      </c>
      <c r="E218" t="s">
        <v>10</v>
      </c>
      <c r="F218">
        <v>7</v>
      </c>
      <c r="G218" t="b">
        <v>0</v>
      </c>
      <c r="H218" t="s">
        <v>13</v>
      </c>
      <c r="I218">
        <v>1</v>
      </c>
      <c r="J218">
        <v>0.12</v>
      </c>
    </row>
    <row r="219" spans="1:10" x14ac:dyDescent="0.2">
      <c r="A219">
        <v>218</v>
      </c>
      <c r="B219" s="3">
        <v>40553</v>
      </c>
      <c r="C219">
        <v>1</v>
      </c>
      <c r="D219">
        <v>2011</v>
      </c>
      <c r="E219" t="s">
        <v>10</v>
      </c>
      <c r="F219">
        <v>8</v>
      </c>
      <c r="G219" t="b">
        <v>0</v>
      </c>
      <c r="H219" t="s">
        <v>13</v>
      </c>
      <c r="I219">
        <v>2</v>
      </c>
      <c r="J219">
        <v>0.12</v>
      </c>
    </row>
    <row r="220" spans="1:10" x14ac:dyDescent="0.2">
      <c r="A220">
        <v>219</v>
      </c>
      <c r="B220" s="3">
        <v>40553</v>
      </c>
      <c r="C220">
        <v>1</v>
      </c>
      <c r="D220">
        <v>2011</v>
      </c>
      <c r="E220" t="s">
        <v>10</v>
      </c>
      <c r="F220">
        <v>9</v>
      </c>
      <c r="G220" t="b">
        <v>0</v>
      </c>
      <c r="H220" t="s">
        <v>13</v>
      </c>
      <c r="I220">
        <v>2</v>
      </c>
      <c r="J220">
        <v>0.14000000000000001</v>
      </c>
    </row>
    <row r="221" spans="1:10" x14ac:dyDescent="0.2">
      <c r="A221">
        <v>220</v>
      </c>
      <c r="B221" s="3">
        <v>40553</v>
      </c>
      <c r="C221">
        <v>1</v>
      </c>
      <c r="D221">
        <v>2011</v>
      </c>
      <c r="E221" t="s">
        <v>10</v>
      </c>
      <c r="F221">
        <v>10</v>
      </c>
      <c r="G221" t="b">
        <v>0</v>
      </c>
      <c r="H221" t="s">
        <v>13</v>
      </c>
      <c r="I221">
        <v>2</v>
      </c>
      <c r="J221">
        <v>0.14000000000000001</v>
      </c>
    </row>
    <row r="222" spans="1:10" x14ac:dyDescent="0.2">
      <c r="A222">
        <v>221</v>
      </c>
      <c r="B222" s="3">
        <v>40553</v>
      </c>
      <c r="C222">
        <v>1</v>
      </c>
      <c r="D222">
        <v>2011</v>
      </c>
      <c r="E222" t="s">
        <v>10</v>
      </c>
      <c r="F222">
        <v>11</v>
      </c>
      <c r="G222" t="b">
        <v>0</v>
      </c>
      <c r="H222" t="s">
        <v>13</v>
      </c>
      <c r="I222">
        <v>2</v>
      </c>
      <c r="J222">
        <v>0.16</v>
      </c>
    </row>
    <row r="223" spans="1:10" x14ac:dyDescent="0.2">
      <c r="A223">
        <v>222</v>
      </c>
      <c r="B223" s="3">
        <v>40553</v>
      </c>
      <c r="C223">
        <v>1</v>
      </c>
      <c r="D223">
        <v>2011</v>
      </c>
      <c r="E223" t="s">
        <v>10</v>
      </c>
      <c r="F223">
        <v>12</v>
      </c>
      <c r="G223" t="b">
        <v>0</v>
      </c>
      <c r="H223" t="s">
        <v>13</v>
      </c>
      <c r="I223">
        <v>2</v>
      </c>
      <c r="J223">
        <v>0.2</v>
      </c>
    </row>
    <row r="224" spans="1:10" x14ac:dyDescent="0.2">
      <c r="A224">
        <v>223</v>
      </c>
      <c r="B224" s="3">
        <v>40553</v>
      </c>
      <c r="C224">
        <v>1</v>
      </c>
      <c r="D224">
        <v>2011</v>
      </c>
      <c r="E224" t="s">
        <v>10</v>
      </c>
      <c r="F224">
        <v>13</v>
      </c>
      <c r="G224" t="b">
        <v>0</v>
      </c>
      <c r="H224" t="s">
        <v>13</v>
      </c>
      <c r="I224">
        <v>2</v>
      </c>
      <c r="J224">
        <v>0.2</v>
      </c>
    </row>
    <row r="225" spans="1:10" x14ac:dyDescent="0.2">
      <c r="A225">
        <v>224</v>
      </c>
      <c r="B225" s="3">
        <v>40553</v>
      </c>
      <c r="C225">
        <v>1</v>
      </c>
      <c r="D225">
        <v>2011</v>
      </c>
      <c r="E225" t="s">
        <v>10</v>
      </c>
      <c r="F225">
        <v>14</v>
      </c>
      <c r="G225" t="b">
        <v>0</v>
      </c>
      <c r="H225" t="s">
        <v>13</v>
      </c>
      <c r="I225">
        <v>2</v>
      </c>
      <c r="J225">
        <v>0.2</v>
      </c>
    </row>
    <row r="226" spans="1:10" x14ac:dyDescent="0.2">
      <c r="A226">
        <v>225</v>
      </c>
      <c r="B226" s="3">
        <v>40553</v>
      </c>
      <c r="C226">
        <v>1</v>
      </c>
      <c r="D226">
        <v>2011</v>
      </c>
      <c r="E226" t="s">
        <v>10</v>
      </c>
      <c r="F226">
        <v>15</v>
      </c>
      <c r="G226" t="b">
        <v>0</v>
      </c>
      <c r="H226" t="s">
        <v>13</v>
      </c>
      <c r="I226">
        <v>2</v>
      </c>
      <c r="J226">
        <v>0.2</v>
      </c>
    </row>
    <row r="227" spans="1:10" x14ac:dyDescent="0.2">
      <c r="A227">
        <v>226</v>
      </c>
      <c r="B227" s="3">
        <v>40553</v>
      </c>
      <c r="C227">
        <v>1</v>
      </c>
      <c r="D227">
        <v>2011</v>
      </c>
      <c r="E227" t="s">
        <v>10</v>
      </c>
      <c r="F227">
        <v>16</v>
      </c>
      <c r="G227" t="b">
        <v>0</v>
      </c>
      <c r="H227" t="s">
        <v>13</v>
      </c>
      <c r="I227">
        <v>1</v>
      </c>
      <c r="J227">
        <v>0.2</v>
      </c>
    </row>
    <row r="228" spans="1:10" x14ac:dyDescent="0.2">
      <c r="A228">
        <v>227</v>
      </c>
      <c r="B228" s="3">
        <v>40553</v>
      </c>
      <c r="C228">
        <v>1</v>
      </c>
      <c r="D228">
        <v>2011</v>
      </c>
      <c r="E228" t="s">
        <v>10</v>
      </c>
      <c r="F228">
        <v>17</v>
      </c>
      <c r="G228" t="b">
        <v>0</v>
      </c>
      <c r="H228" t="s">
        <v>13</v>
      </c>
      <c r="I228">
        <v>1</v>
      </c>
      <c r="J228">
        <v>0.2</v>
      </c>
    </row>
    <row r="229" spans="1:10" x14ac:dyDescent="0.2">
      <c r="A229">
        <v>228</v>
      </c>
      <c r="B229" s="3">
        <v>40553</v>
      </c>
      <c r="C229">
        <v>1</v>
      </c>
      <c r="D229">
        <v>2011</v>
      </c>
      <c r="E229" t="s">
        <v>10</v>
      </c>
      <c r="F229">
        <v>18</v>
      </c>
      <c r="G229" t="b">
        <v>0</v>
      </c>
      <c r="H229" t="s">
        <v>13</v>
      </c>
      <c r="I229">
        <v>1</v>
      </c>
      <c r="J229">
        <v>0.2</v>
      </c>
    </row>
    <row r="230" spans="1:10" x14ac:dyDescent="0.2">
      <c r="A230">
        <v>229</v>
      </c>
      <c r="B230" s="3">
        <v>40553</v>
      </c>
      <c r="C230">
        <v>1</v>
      </c>
      <c r="D230">
        <v>2011</v>
      </c>
      <c r="E230" t="s">
        <v>10</v>
      </c>
      <c r="F230">
        <v>19</v>
      </c>
      <c r="G230" t="b">
        <v>0</v>
      </c>
      <c r="H230" t="s">
        <v>13</v>
      </c>
      <c r="I230">
        <v>1</v>
      </c>
      <c r="J230">
        <v>0.16</v>
      </c>
    </row>
    <row r="231" spans="1:10" x14ac:dyDescent="0.2">
      <c r="A231">
        <v>230</v>
      </c>
      <c r="B231" s="3">
        <v>40553</v>
      </c>
      <c r="C231">
        <v>1</v>
      </c>
      <c r="D231">
        <v>2011</v>
      </c>
      <c r="E231" t="s">
        <v>10</v>
      </c>
      <c r="F231">
        <v>20</v>
      </c>
      <c r="G231" t="b">
        <v>0</v>
      </c>
      <c r="H231" t="s">
        <v>13</v>
      </c>
      <c r="I231">
        <v>1</v>
      </c>
      <c r="J231">
        <v>0.16</v>
      </c>
    </row>
    <row r="232" spans="1:10" x14ac:dyDescent="0.2">
      <c r="A232">
        <v>231</v>
      </c>
      <c r="B232" s="3">
        <v>40553</v>
      </c>
      <c r="C232">
        <v>1</v>
      </c>
      <c r="D232">
        <v>2011</v>
      </c>
      <c r="E232" t="s">
        <v>10</v>
      </c>
      <c r="F232">
        <v>21</v>
      </c>
      <c r="G232" t="b">
        <v>0</v>
      </c>
      <c r="H232" t="s">
        <v>13</v>
      </c>
      <c r="I232">
        <v>1</v>
      </c>
      <c r="J232">
        <v>0.14000000000000001</v>
      </c>
    </row>
    <row r="233" spans="1:10" x14ac:dyDescent="0.2">
      <c r="A233">
        <v>232</v>
      </c>
      <c r="B233" s="3">
        <v>40553</v>
      </c>
      <c r="C233">
        <v>1</v>
      </c>
      <c r="D233">
        <v>2011</v>
      </c>
      <c r="E233" t="s">
        <v>10</v>
      </c>
      <c r="F233">
        <v>22</v>
      </c>
      <c r="G233" t="b">
        <v>0</v>
      </c>
      <c r="H233" t="s">
        <v>13</v>
      </c>
      <c r="I233">
        <v>1</v>
      </c>
      <c r="J233">
        <v>0.14000000000000001</v>
      </c>
    </row>
    <row r="234" spans="1:10" x14ac:dyDescent="0.2">
      <c r="A234">
        <v>233</v>
      </c>
      <c r="B234" s="3">
        <v>40553</v>
      </c>
      <c r="C234">
        <v>1</v>
      </c>
      <c r="D234">
        <v>2011</v>
      </c>
      <c r="E234" t="s">
        <v>10</v>
      </c>
      <c r="F234">
        <v>23</v>
      </c>
      <c r="G234" t="b">
        <v>0</v>
      </c>
      <c r="H234" t="s">
        <v>13</v>
      </c>
      <c r="I234">
        <v>1</v>
      </c>
      <c r="J234">
        <v>0.14000000000000001</v>
      </c>
    </row>
    <row r="235" spans="1:10" x14ac:dyDescent="0.2">
      <c r="A235">
        <v>234</v>
      </c>
      <c r="B235" s="3">
        <v>40554</v>
      </c>
      <c r="C235">
        <v>1</v>
      </c>
      <c r="D235">
        <v>2011</v>
      </c>
      <c r="E235" t="s">
        <v>10</v>
      </c>
      <c r="F235">
        <v>0</v>
      </c>
      <c r="G235" t="b">
        <v>0</v>
      </c>
      <c r="H235" t="s">
        <v>14</v>
      </c>
      <c r="I235">
        <v>1</v>
      </c>
      <c r="J235">
        <v>0.14000000000000001</v>
      </c>
    </row>
    <row r="236" spans="1:10" x14ac:dyDescent="0.2">
      <c r="A236">
        <v>235</v>
      </c>
      <c r="B236" s="3">
        <v>40554</v>
      </c>
      <c r="C236">
        <v>1</v>
      </c>
      <c r="D236">
        <v>2011</v>
      </c>
      <c r="E236" t="s">
        <v>10</v>
      </c>
      <c r="F236">
        <v>1</v>
      </c>
      <c r="G236" t="b">
        <v>0</v>
      </c>
      <c r="H236" t="s">
        <v>14</v>
      </c>
      <c r="I236">
        <v>1</v>
      </c>
      <c r="J236">
        <v>0.14000000000000001</v>
      </c>
    </row>
    <row r="237" spans="1:10" x14ac:dyDescent="0.2">
      <c r="A237">
        <v>236</v>
      </c>
      <c r="B237" s="3">
        <v>40554</v>
      </c>
      <c r="C237">
        <v>1</v>
      </c>
      <c r="D237">
        <v>2011</v>
      </c>
      <c r="E237" t="s">
        <v>10</v>
      </c>
      <c r="F237">
        <v>2</v>
      </c>
      <c r="G237" t="b">
        <v>0</v>
      </c>
      <c r="H237" t="s">
        <v>14</v>
      </c>
      <c r="I237">
        <v>2</v>
      </c>
      <c r="J237">
        <v>0.16</v>
      </c>
    </row>
    <row r="238" spans="1:10" x14ac:dyDescent="0.2">
      <c r="A238">
        <v>237</v>
      </c>
      <c r="B238" s="3">
        <v>40554</v>
      </c>
      <c r="C238">
        <v>1</v>
      </c>
      <c r="D238">
        <v>2011</v>
      </c>
      <c r="E238" t="s">
        <v>10</v>
      </c>
      <c r="F238">
        <v>5</v>
      </c>
      <c r="G238" t="b">
        <v>0</v>
      </c>
      <c r="H238" t="s">
        <v>14</v>
      </c>
      <c r="I238">
        <v>2</v>
      </c>
      <c r="J238">
        <v>0.16</v>
      </c>
    </row>
    <row r="239" spans="1:10" x14ac:dyDescent="0.2">
      <c r="A239">
        <v>238</v>
      </c>
      <c r="B239" s="3">
        <v>40554</v>
      </c>
      <c r="C239">
        <v>1</v>
      </c>
      <c r="D239">
        <v>2011</v>
      </c>
      <c r="E239" t="s">
        <v>10</v>
      </c>
      <c r="F239">
        <v>6</v>
      </c>
      <c r="G239" t="b">
        <v>0</v>
      </c>
      <c r="H239" t="s">
        <v>14</v>
      </c>
      <c r="I239">
        <v>2</v>
      </c>
      <c r="J239">
        <v>0.16</v>
      </c>
    </row>
    <row r="240" spans="1:10" x14ac:dyDescent="0.2">
      <c r="A240">
        <v>239</v>
      </c>
      <c r="B240" s="3">
        <v>40554</v>
      </c>
      <c r="C240">
        <v>1</v>
      </c>
      <c r="D240">
        <v>2011</v>
      </c>
      <c r="E240" t="s">
        <v>10</v>
      </c>
      <c r="F240">
        <v>7</v>
      </c>
      <c r="G240" t="b">
        <v>0</v>
      </c>
      <c r="H240" t="s">
        <v>14</v>
      </c>
      <c r="I240">
        <v>2</v>
      </c>
      <c r="J240">
        <v>0.16</v>
      </c>
    </row>
    <row r="241" spans="1:10" x14ac:dyDescent="0.2">
      <c r="A241">
        <v>240</v>
      </c>
      <c r="B241" s="3">
        <v>40554</v>
      </c>
      <c r="C241">
        <v>1</v>
      </c>
      <c r="D241">
        <v>2011</v>
      </c>
      <c r="E241" t="s">
        <v>10</v>
      </c>
      <c r="F241">
        <v>8</v>
      </c>
      <c r="G241" t="b">
        <v>0</v>
      </c>
      <c r="H241" t="s">
        <v>14</v>
      </c>
      <c r="I241">
        <v>2</v>
      </c>
      <c r="J241">
        <v>0.18</v>
      </c>
    </row>
    <row r="242" spans="1:10" x14ac:dyDescent="0.2">
      <c r="A242">
        <v>241</v>
      </c>
      <c r="B242" s="3">
        <v>40554</v>
      </c>
      <c r="C242">
        <v>1</v>
      </c>
      <c r="D242">
        <v>2011</v>
      </c>
      <c r="E242" t="s">
        <v>10</v>
      </c>
      <c r="F242">
        <v>9</v>
      </c>
      <c r="G242" t="b">
        <v>0</v>
      </c>
      <c r="H242" t="s">
        <v>14</v>
      </c>
      <c r="I242">
        <v>2</v>
      </c>
      <c r="J242">
        <v>0.18</v>
      </c>
    </row>
    <row r="243" spans="1:10" x14ac:dyDescent="0.2">
      <c r="A243">
        <v>242</v>
      </c>
      <c r="B243" s="3">
        <v>40554</v>
      </c>
      <c r="C243">
        <v>1</v>
      </c>
      <c r="D243">
        <v>2011</v>
      </c>
      <c r="E243" t="s">
        <v>10</v>
      </c>
      <c r="F243">
        <v>10</v>
      </c>
      <c r="G243" t="b">
        <v>0</v>
      </c>
      <c r="H243" t="s">
        <v>14</v>
      </c>
      <c r="I243">
        <v>2</v>
      </c>
      <c r="J243">
        <v>0.2</v>
      </c>
    </row>
    <row r="244" spans="1:10" x14ac:dyDescent="0.2">
      <c r="A244">
        <v>243</v>
      </c>
      <c r="B244" s="3">
        <v>40554</v>
      </c>
      <c r="C244">
        <v>1</v>
      </c>
      <c r="D244">
        <v>2011</v>
      </c>
      <c r="E244" t="s">
        <v>10</v>
      </c>
      <c r="F244">
        <v>11</v>
      </c>
      <c r="G244" t="b">
        <v>0</v>
      </c>
      <c r="H244" t="s">
        <v>14</v>
      </c>
      <c r="I244">
        <v>2</v>
      </c>
      <c r="J244">
        <v>0.2</v>
      </c>
    </row>
    <row r="245" spans="1:10" x14ac:dyDescent="0.2">
      <c r="A245">
        <v>244</v>
      </c>
      <c r="B245" s="3">
        <v>40554</v>
      </c>
      <c r="C245">
        <v>1</v>
      </c>
      <c r="D245">
        <v>2011</v>
      </c>
      <c r="E245" t="s">
        <v>10</v>
      </c>
      <c r="F245">
        <v>12</v>
      </c>
      <c r="G245" t="b">
        <v>0</v>
      </c>
      <c r="H245" t="s">
        <v>14</v>
      </c>
      <c r="I245">
        <v>2</v>
      </c>
      <c r="J245">
        <v>0.2</v>
      </c>
    </row>
    <row r="246" spans="1:10" x14ac:dyDescent="0.2">
      <c r="A246">
        <v>245</v>
      </c>
      <c r="B246" s="3">
        <v>40554</v>
      </c>
      <c r="C246">
        <v>1</v>
      </c>
      <c r="D246">
        <v>2011</v>
      </c>
      <c r="E246" t="s">
        <v>10</v>
      </c>
      <c r="F246">
        <v>13</v>
      </c>
      <c r="G246" t="b">
        <v>0</v>
      </c>
      <c r="H246" t="s">
        <v>14</v>
      </c>
      <c r="I246">
        <v>2</v>
      </c>
      <c r="J246">
        <v>0.2</v>
      </c>
    </row>
    <row r="247" spans="1:10" x14ac:dyDescent="0.2">
      <c r="A247">
        <v>246</v>
      </c>
      <c r="B247" s="3">
        <v>40554</v>
      </c>
      <c r="C247">
        <v>1</v>
      </c>
      <c r="D247">
        <v>2011</v>
      </c>
      <c r="E247" t="s">
        <v>10</v>
      </c>
      <c r="F247">
        <v>14</v>
      </c>
      <c r="G247" t="b">
        <v>0</v>
      </c>
      <c r="H247" t="s">
        <v>14</v>
      </c>
      <c r="I247">
        <v>2</v>
      </c>
      <c r="J247">
        <v>0.2</v>
      </c>
    </row>
    <row r="248" spans="1:10" x14ac:dyDescent="0.2">
      <c r="A248">
        <v>247</v>
      </c>
      <c r="B248" s="3">
        <v>40554</v>
      </c>
      <c r="C248">
        <v>1</v>
      </c>
      <c r="D248">
        <v>2011</v>
      </c>
      <c r="E248" t="s">
        <v>10</v>
      </c>
      <c r="F248">
        <v>15</v>
      </c>
      <c r="G248" t="b">
        <v>0</v>
      </c>
      <c r="H248" t="s">
        <v>14</v>
      </c>
      <c r="I248">
        <v>2</v>
      </c>
      <c r="J248">
        <v>0.16</v>
      </c>
    </row>
    <row r="249" spans="1:10" x14ac:dyDescent="0.2">
      <c r="A249">
        <v>248</v>
      </c>
      <c r="B249" s="3">
        <v>40554</v>
      </c>
      <c r="C249">
        <v>1</v>
      </c>
      <c r="D249">
        <v>2011</v>
      </c>
      <c r="E249" t="s">
        <v>10</v>
      </c>
      <c r="F249">
        <v>16</v>
      </c>
      <c r="G249" t="b">
        <v>0</v>
      </c>
      <c r="H249" t="s">
        <v>14</v>
      </c>
      <c r="I249">
        <v>2</v>
      </c>
      <c r="J249">
        <v>0.16</v>
      </c>
    </row>
    <row r="250" spans="1:10" x14ac:dyDescent="0.2">
      <c r="A250">
        <v>249</v>
      </c>
      <c r="B250" s="3">
        <v>40554</v>
      </c>
      <c r="C250">
        <v>1</v>
      </c>
      <c r="D250">
        <v>2011</v>
      </c>
      <c r="E250" t="s">
        <v>10</v>
      </c>
      <c r="F250">
        <v>17</v>
      </c>
      <c r="G250" t="b">
        <v>0</v>
      </c>
      <c r="H250" t="s">
        <v>14</v>
      </c>
      <c r="I250">
        <v>2</v>
      </c>
      <c r="J250">
        <v>0.16</v>
      </c>
    </row>
    <row r="251" spans="1:10" x14ac:dyDescent="0.2">
      <c r="A251">
        <v>250</v>
      </c>
      <c r="B251" s="3">
        <v>40554</v>
      </c>
      <c r="C251">
        <v>1</v>
      </c>
      <c r="D251">
        <v>2011</v>
      </c>
      <c r="E251" t="s">
        <v>10</v>
      </c>
      <c r="F251">
        <v>18</v>
      </c>
      <c r="G251" t="b">
        <v>0</v>
      </c>
      <c r="H251" t="s">
        <v>14</v>
      </c>
      <c r="I251">
        <v>3</v>
      </c>
      <c r="J251">
        <v>0.16</v>
      </c>
    </row>
    <row r="252" spans="1:10" x14ac:dyDescent="0.2">
      <c r="A252">
        <v>251</v>
      </c>
      <c r="B252" s="3">
        <v>40554</v>
      </c>
      <c r="C252">
        <v>1</v>
      </c>
      <c r="D252">
        <v>2011</v>
      </c>
      <c r="E252" t="s">
        <v>10</v>
      </c>
      <c r="F252">
        <v>19</v>
      </c>
      <c r="G252" t="b">
        <v>0</v>
      </c>
      <c r="H252" t="s">
        <v>14</v>
      </c>
      <c r="I252">
        <v>3</v>
      </c>
      <c r="J252">
        <v>0.16</v>
      </c>
    </row>
    <row r="253" spans="1:10" x14ac:dyDescent="0.2">
      <c r="A253">
        <v>252</v>
      </c>
      <c r="B253" s="3">
        <v>40554</v>
      </c>
      <c r="C253">
        <v>1</v>
      </c>
      <c r="D253">
        <v>2011</v>
      </c>
      <c r="E253" t="s">
        <v>10</v>
      </c>
      <c r="F253">
        <v>20</v>
      </c>
      <c r="G253" t="b">
        <v>0</v>
      </c>
      <c r="H253" t="s">
        <v>14</v>
      </c>
      <c r="I253">
        <v>3</v>
      </c>
      <c r="J253">
        <v>0.16</v>
      </c>
    </row>
    <row r="254" spans="1:10" x14ac:dyDescent="0.2">
      <c r="A254">
        <v>253</v>
      </c>
      <c r="B254" s="3">
        <v>40554</v>
      </c>
      <c r="C254">
        <v>1</v>
      </c>
      <c r="D254">
        <v>2011</v>
      </c>
      <c r="E254" t="s">
        <v>10</v>
      </c>
      <c r="F254">
        <v>21</v>
      </c>
      <c r="G254" t="b">
        <v>0</v>
      </c>
      <c r="H254" t="s">
        <v>14</v>
      </c>
      <c r="I254">
        <v>3</v>
      </c>
      <c r="J254">
        <v>0.16</v>
      </c>
    </row>
    <row r="255" spans="1:10" x14ac:dyDescent="0.2">
      <c r="A255">
        <v>254</v>
      </c>
      <c r="B255" s="3">
        <v>40554</v>
      </c>
      <c r="C255">
        <v>1</v>
      </c>
      <c r="D255">
        <v>2011</v>
      </c>
      <c r="E255" t="s">
        <v>10</v>
      </c>
      <c r="F255">
        <v>22</v>
      </c>
      <c r="G255" t="b">
        <v>0</v>
      </c>
      <c r="H255" t="s">
        <v>14</v>
      </c>
      <c r="I255">
        <v>3</v>
      </c>
      <c r="J255">
        <v>0.16</v>
      </c>
    </row>
    <row r="256" spans="1:10" x14ac:dyDescent="0.2">
      <c r="A256">
        <v>255</v>
      </c>
      <c r="B256" s="3">
        <v>40554</v>
      </c>
      <c r="C256">
        <v>1</v>
      </c>
      <c r="D256">
        <v>2011</v>
      </c>
      <c r="E256" t="s">
        <v>10</v>
      </c>
      <c r="F256">
        <v>23</v>
      </c>
      <c r="G256" t="b">
        <v>0</v>
      </c>
      <c r="H256" t="s">
        <v>14</v>
      </c>
      <c r="I256">
        <v>3</v>
      </c>
      <c r="J256">
        <v>0.16</v>
      </c>
    </row>
    <row r="257" spans="1:10" x14ac:dyDescent="0.2">
      <c r="A257">
        <v>256</v>
      </c>
      <c r="B257" s="3">
        <v>40555</v>
      </c>
      <c r="C257">
        <v>1</v>
      </c>
      <c r="D257">
        <v>2011</v>
      </c>
      <c r="E257" t="s">
        <v>10</v>
      </c>
      <c r="F257">
        <v>0</v>
      </c>
      <c r="G257" t="b">
        <v>0</v>
      </c>
      <c r="H257" t="s">
        <v>15</v>
      </c>
      <c r="I257">
        <v>2</v>
      </c>
      <c r="J257">
        <v>0.16</v>
      </c>
    </row>
    <row r="258" spans="1:10" x14ac:dyDescent="0.2">
      <c r="A258">
        <v>257</v>
      </c>
      <c r="B258" s="3">
        <v>40555</v>
      </c>
      <c r="C258">
        <v>1</v>
      </c>
      <c r="D258">
        <v>2011</v>
      </c>
      <c r="E258" t="s">
        <v>10</v>
      </c>
      <c r="F258">
        <v>1</v>
      </c>
      <c r="G258" t="b">
        <v>0</v>
      </c>
      <c r="H258" t="s">
        <v>15</v>
      </c>
      <c r="I258">
        <v>2</v>
      </c>
      <c r="J258">
        <v>0.16</v>
      </c>
    </row>
    <row r="259" spans="1:10" x14ac:dyDescent="0.2">
      <c r="A259">
        <v>258</v>
      </c>
      <c r="B259" s="3">
        <v>40555</v>
      </c>
      <c r="C259">
        <v>1</v>
      </c>
      <c r="D259">
        <v>2011</v>
      </c>
      <c r="E259" t="s">
        <v>10</v>
      </c>
      <c r="F259">
        <v>2</v>
      </c>
      <c r="G259" t="b">
        <v>0</v>
      </c>
      <c r="H259" t="s">
        <v>15</v>
      </c>
      <c r="I259">
        <v>1</v>
      </c>
      <c r="J259">
        <v>0.14000000000000001</v>
      </c>
    </row>
    <row r="260" spans="1:10" x14ac:dyDescent="0.2">
      <c r="A260">
        <v>259</v>
      </c>
      <c r="B260" s="3">
        <v>40555</v>
      </c>
      <c r="C260">
        <v>1</v>
      </c>
      <c r="D260">
        <v>2011</v>
      </c>
      <c r="E260" t="s">
        <v>10</v>
      </c>
      <c r="F260">
        <v>5</v>
      </c>
      <c r="G260" t="b">
        <v>0</v>
      </c>
      <c r="H260" t="s">
        <v>15</v>
      </c>
      <c r="I260">
        <v>1</v>
      </c>
      <c r="J260">
        <v>0.14000000000000001</v>
      </c>
    </row>
    <row r="261" spans="1:10" x14ac:dyDescent="0.2">
      <c r="A261">
        <v>260</v>
      </c>
      <c r="B261" s="3">
        <v>40555</v>
      </c>
      <c r="C261">
        <v>1</v>
      </c>
      <c r="D261">
        <v>2011</v>
      </c>
      <c r="E261" t="s">
        <v>10</v>
      </c>
      <c r="F261">
        <v>6</v>
      </c>
      <c r="G261" t="b">
        <v>0</v>
      </c>
      <c r="H261" t="s">
        <v>15</v>
      </c>
      <c r="I261">
        <v>1</v>
      </c>
      <c r="J261">
        <v>0.12</v>
      </c>
    </row>
    <row r="262" spans="1:10" x14ac:dyDescent="0.2">
      <c r="A262">
        <v>261</v>
      </c>
      <c r="B262" s="3">
        <v>40555</v>
      </c>
      <c r="C262">
        <v>1</v>
      </c>
      <c r="D262">
        <v>2011</v>
      </c>
      <c r="E262" t="s">
        <v>10</v>
      </c>
      <c r="F262">
        <v>7</v>
      </c>
      <c r="G262" t="b">
        <v>0</v>
      </c>
      <c r="H262" t="s">
        <v>15</v>
      </c>
      <c r="I262">
        <v>1</v>
      </c>
      <c r="J262">
        <v>0.14000000000000001</v>
      </c>
    </row>
    <row r="263" spans="1:10" x14ac:dyDescent="0.2">
      <c r="A263">
        <v>262</v>
      </c>
      <c r="B263" s="3">
        <v>40555</v>
      </c>
      <c r="C263">
        <v>1</v>
      </c>
      <c r="D263">
        <v>2011</v>
      </c>
      <c r="E263" t="s">
        <v>10</v>
      </c>
      <c r="F263">
        <v>8</v>
      </c>
      <c r="G263" t="b">
        <v>0</v>
      </c>
      <c r="H263" t="s">
        <v>15</v>
      </c>
      <c r="I263">
        <v>1</v>
      </c>
      <c r="J263">
        <v>0.16</v>
      </c>
    </row>
    <row r="264" spans="1:10" x14ac:dyDescent="0.2">
      <c r="A264">
        <v>263</v>
      </c>
      <c r="B264" s="3">
        <v>40555</v>
      </c>
      <c r="C264">
        <v>1</v>
      </c>
      <c r="D264">
        <v>2011</v>
      </c>
      <c r="E264" t="s">
        <v>10</v>
      </c>
      <c r="F264">
        <v>9</v>
      </c>
      <c r="G264" t="b">
        <v>0</v>
      </c>
      <c r="H264" t="s">
        <v>15</v>
      </c>
      <c r="I264">
        <v>1</v>
      </c>
      <c r="J264">
        <v>0.16</v>
      </c>
    </row>
    <row r="265" spans="1:10" x14ac:dyDescent="0.2">
      <c r="A265">
        <v>264</v>
      </c>
      <c r="B265" s="3">
        <v>40555</v>
      </c>
      <c r="C265">
        <v>1</v>
      </c>
      <c r="D265">
        <v>2011</v>
      </c>
      <c r="E265" t="s">
        <v>10</v>
      </c>
      <c r="F265">
        <v>10</v>
      </c>
      <c r="G265" t="b">
        <v>0</v>
      </c>
      <c r="H265" t="s">
        <v>15</v>
      </c>
      <c r="I265">
        <v>1</v>
      </c>
      <c r="J265">
        <v>0.18</v>
      </c>
    </row>
    <row r="266" spans="1:10" x14ac:dyDescent="0.2">
      <c r="A266">
        <v>265</v>
      </c>
      <c r="B266" s="3">
        <v>40555</v>
      </c>
      <c r="C266">
        <v>1</v>
      </c>
      <c r="D266">
        <v>2011</v>
      </c>
      <c r="E266" t="s">
        <v>10</v>
      </c>
      <c r="F266">
        <v>11</v>
      </c>
      <c r="G266" t="b">
        <v>0</v>
      </c>
      <c r="H266" t="s">
        <v>15</v>
      </c>
      <c r="I266">
        <v>1</v>
      </c>
      <c r="J266">
        <v>0.2</v>
      </c>
    </row>
    <row r="267" spans="1:10" x14ac:dyDescent="0.2">
      <c r="A267">
        <v>266</v>
      </c>
      <c r="B267" s="3">
        <v>40555</v>
      </c>
      <c r="C267">
        <v>1</v>
      </c>
      <c r="D267">
        <v>2011</v>
      </c>
      <c r="E267" t="s">
        <v>10</v>
      </c>
      <c r="F267">
        <v>12</v>
      </c>
      <c r="G267" t="b">
        <v>0</v>
      </c>
      <c r="H267" t="s">
        <v>15</v>
      </c>
      <c r="I267">
        <v>1</v>
      </c>
      <c r="J267">
        <v>0.2</v>
      </c>
    </row>
    <row r="268" spans="1:10" x14ac:dyDescent="0.2">
      <c r="A268">
        <v>267</v>
      </c>
      <c r="B268" s="3">
        <v>40555</v>
      </c>
      <c r="C268">
        <v>1</v>
      </c>
      <c r="D268">
        <v>2011</v>
      </c>
      <c r="E268" t="s">
        <v>10</v>
      </c>
      <c r="F268">
        <v>13</v>
      </c>
      <c r="G268" t="b">
        <v>0</v>
      </c>
      <c r="H268" t="s">
        <v>15</v>
      </c>
      <c r="I268">
        <v>1</v>
      </c>
      <c r="J268">
        <v>0.22</v>
      </c>
    </row>
    <row r="269" spans="1:10" x14ac:dyDescent="0.2">
      <c r="A269">
        <v>268</v>
      </c>
      <c r="B269" s="3">
        <v>40555</v>
      </c>
      <c r="C269">
        <v>1</v>
      </c>
      <c r="D269">
        <v>2011</v>
      </c>
      <c r="E269" t="s">
        <v>10</v>
      </c>
      <c r="F269">
        <v>14</v>
      </c>
      <c r="G269" t="b">
        <v>0</v>
      </c>
      <c r="H269" t="s">
        <v>15</v>
      </c>
      <c r="I269">
        <v>1</v>
      </c>
      <c r="J269">
        <v>0.2</v>
      </c>
    </row>
    <row r="270" spans="1:10" x14ac:dyDescent="0.2">
      <c r="A270">
        <v>269</v>
      </c>
      <c r="B270" s="3">
        <v>40555</v>
      </c>
      <c r="C270">
        <v>1</v>
      </c>
      <c r="D270">
        <v>2011</v>
      </c>
      <c r="E270" t="s">
        <v>10</v>
      </c>
      <c r="F270">
        <v>15</v>
      </c>
      <c r="G270" t="b">
        <v>0</v>
      </c>
      <c r="H270" t="s">
        <v>15</v>
      </c>
      <c r="I270">
        <v>1</v>
      </c>
      <c r="J270">
        <v>0.2</v>
      </c>
    </row>
    <row r="271" spans="1:10" x14ac:dyDescent="0.2">
      <c r="A271">
        <v>270</v>
      </c>
      <c r="B271" s="3">
        <v>40555</v>
      </c>
      <c r="C271">
        <v>1</v>
      </c>
      <c r="D271">
        <v>2011</v>
      </c>
      <c r="E271" t="s">
        <v>10</v>
      </c>
      <c r="F271">
        <v>16</v>
      </c>
      <c r="G271" t="b">
        <v>0</v>
      </c>
      <c r="H271" t="s">
        <v>15</v>
      </c>
      <c r="I271">
        <v>1</v>
      </c>
      <c r="J271">
        <v>0.22</v>
      </c>
    </row>
    <row r="272" spans="1:10" x14ac:dyDescent="0.2">
      <c r="A272">
        <v>271</v>
      </c>
      <c r="B272" s="3">
        <v>40555</v>
      </c>
      <c r="C272">
        <v>1</v>
      </c>
      <c r="D272">
        <v>2011</v>
      </c>
      <c r="E272" t="s">
        <v>10</v>
      </c>
      <c r="F272">
        <v>17</v>
      </c>
      <c r="G272" t="b">
        <v>0</v>
      </c>
      <c r="H272" t="s">
        <v>15</v>
      </c>
      <c r="I272">
        <v>1</v>
      </c>
      <c r="J272">
        <v>0.2</v>
      </c>
    </row>
    <row r="273" spans="1:10" x14ac:dyDescent="0.2">
      <c r="A273">
        <v>272</v>
      </c>
      <c r="B273" s="3">
        <v>40555</v>
      </c>
      <c r="C273">
        <v>1</v>
      </c>
      <c r="D273">
        <v>2011</v>
      </c>
      <c r="E273" t="s">
        <v>10</v>
      </c>
      <c r="F273">
        <v>18</v>
      </c>
      <c r="G273" t="b">
        <v>0</v>
      </c>
      <c r="H273" t="s">
        <v>15</v>
      </c>
      <c r="I273">
        <v>1</v>
      </c>
      <c r="J273">
        <v>0.2</v>
      </c>
    </row>
    <row r="274" spans="1:10" x14ac:dyDescent="0.2">
      <c r="A274">
        <v>273</v>
      </c>
      <c r="B274" s="3">
        <v>40555</v>
      </c>
      <c r="C274">
        <v>1</v>
      </c>
      <c r="D274">
        <v>2011</v>
      </c>
      <c r="E274" t="s">
        <v>10</v>
      </c>
      <c r="F274">
        <v>19</v>
      </c>
      <c r="G274" t="b">
        <v>0</v>
      </c>
      <c r="H274" t="s">
        <v>15</v>
      </c>
      <c r="I274">
        <v>1</v>
      </c>
      <c r="J274">
        <v>0.18</v>
      </c>
    </row>
    <row r="275" spans="1:10" x14ac:dyDescent="0.2">
      <c r="A275">
        <v>274</v>
      </c>
      <c r="B275" s="3">
        <v>40555</v>
      </c>
      <c r="C275">
        <v>1</v>
      </c>
      <c r="D275">
        <v>2011</v>
      </c>
      <c r="E275" t="s">
        <v>10</v>
      </c>
      <c r="F275">
        <v>20</v>
      </c>
      <c r="G275" t="b">
        <v>0</v>
      </c>
      <c r="H275" t="s">
        <v>15</v>
      </c>
      <c r="I275">
        <v>1</v>
      </c>
      <c r="J275">
        <v>0.16</v>
      </c>
    </row>
    <row r="276" spans="1:10" x14ac:dyDescent="0.2">
      <c r="A276">
        <v>275</v>
      </c>
      <c r="B276" s="3">
        <v>40555</v>
      </c>
      <c r="C276">
        <v>1</v>
      </c>
      <c r="D276">
        <v>2011</v>
      </c>
      <c r="E276" t="s">
        <v>10</v>
      </c>
      <c r="F276">
        <v>21</v>
      </c>
      <c r="G276" t="b">
        <v>0</v>
      </c>
      <c r="H276" t="s">
        <v>15</v>
      </c>
      <c r="I276">
        <v>1</v>
      </c>
      <c r="J276">
        <v>0.16</v>
      </c>
    </row>
    <row r="277" spans="1:10" x14ac:dyDescent="0.2">
      <c r="A277">
        <v>276</v>
      </c>
      <c r="B277" s="3">
        <v>40555</v>
      </c>
      <c r="C277">
        <v>1</v>
      </c>
      <c r="D277">
        <v>2011</v>
      </c>
      <c r="E277" t="s">
        <v>10</v>
      </c>
      <c r="F277">
        <v>22</v>
      </c>
      <c r="G277" t="b">
        <v>0</v>
      </c>
      <c r="H277" t="s">
        <v>15</v>
      </c>
      <c r="I277">
        <v>1</v>
      </c>
      <c r="J277">
        <v>0.16</v>
      </c>
    </row>
    <row r="278" spans="1:10" x14ac:dyDescent="0.2">
      <c r="A278">
        <v>277</v>
      </c>
      <c r="B278" s="3">
        <v>40555</v>
      </c>
      <c r="C278">
        <v>1</v>
      </c>
      <c r="D278">
        <v>2011</v>
      </c>
      <c r="E278" t="s">
        <v>10</v>
      </c>
      <c r="F278">
        <v>23</v>
      </c>
      <c r="G278" t="b">
        <v>0</v>
      </c>
      <c r="H278" t="s">
        <v>15</v>
      </c>
      <c r="I278">
        <v>1</v>
      </c>
      <c r="J278">
        <v>0.14000000000000001</v>
      </c>
    </row>
    <row r="279" spans="1:10" x14ac:dyDescent="0.2">
      <c r="A279">
        <v>278</v>
      </c>
      <c r="B279" s="3">
        <v>40556</v>
      </c>
      <c r="C279">
        <v>1</v>
      </c>
      <c r="D279">
        <v>2011</v>
      </c>
      <c r="E279" t="s">
        <v>10</v>
      </c>
      <c r="F279">
        <v>0</v>
      </c>
      <c r="G279" t="b">
        <v>0</v>
      </c>
      <c r="H279" t="s">
        <v>16</v>
      </c>
      <c r="I279">
        <v>1</v>
      </c>
      <c r="J279">
        <v>0.14000000000000001</v>
      </c>
    </row>
    <row r="280" spans="1:10" x14ac:dyDescent="0.2">
      <c r="A280">
        <v>279</v>
      </c>
      <c r="B280" s="3">
        <v>40556</v>
      </c>
      <c r="C280">
        <v>1</v>
      </c>
      <c r="D280">
        <v>2011</v>
      </c>
      <c r="E280" t="s">
        <v>10</v>
      </c>
      <c r="F280">
        <v>1</v>
      </c>
      <c r="G280" t="b">
        <v>0</v>
      </c>
      <c r="H280" t="s">
        <v>16</v>
      </c>
      <c r="I280">
        <v>1</v>
      </c>
      <c r="J280">
        <v>0.14000000000000001</v>
      </c>
    </row>
    <row r="281" spans="1:10" x14ac:dyDescent="0.2">
      <c r="A281">
        <v>280</v>
      </c>
      <c r="B281" s="3">
        <v>40556</v>
      </c>
      <c r="C281">
        <v>1</v>
      </c>
      <c r="D281">
        <v>2011</v>
      </c>
      <c r="E281" t="s">
        <v>10</v>
      </c>
      <c r="F281">
        <v>2</v>
      </c>
      <c r="G281" t="b">
        <v>0</v>
      </c>
      <c r="H281" t="s">
        <v>16</v>
      </c>
      <c r="I281">
        <v>1</v>
      </c>
      <c r="J281">
        <v>0.14000000000000001</v>
      </c>
    </row>
    <row r="282" spans="1:10" x14ac:dyDescent="0.2">
      <c r="A282">
        <v>281</v>
      </c>
      <c r="B282" s="3">
        <v>40556</v>
      </c>
      <c r="C282">
        <v>1</v>
      </c>
      <c r="D282">
        <v>2011</v>
      </c>
      <c r="E282" t="s">
        <v>10</v>
      </c>
      <c r="F282">
        <v>3</v>
      </c>
      <c r="G282" t="b">
        <v>0</v>
      </c>
      <c r="H282" t="s">
        <v>16</v>
      </c>
      <c r="I282">
        <v>1</v>
      </c>
      <c r="J282">
        <v>0.14000000000000001</v>
      </c>
    </row>
    <row r="283" spans="1:10" x14ac:dyDescent="0.2">
      <c r="A283">
        <v>282</v>
      </c>
      <c r="B283" s="3">
        <v>40556</v>
      </c>
      <c r="C283">
        <v>1</v>
      </c>
      <c r="D283">
        <v>2011</v>
      </c>
      <c r="E283" t="s">
        <v>10</v>
      </c>
      <c r="F283">
        <v>4</v>
      </c>
      <c r="G283" t="b">
        <v>0</v>
      </c>
      <c r="H283" t="s">
        <v>16</v>
      </c>
      <c r="I283">
        <v>1</v>
      </c>
      <c r="J283">
        <v>0.14000000000000001</v>
      </c>
    </row>
    <row r="284" spans="1:10" x14ac:dyDescent="0.2">
      <c r="A284">
        <v>283</v>
      </c>
      <c r="B284" s="3">
        <v>40556</v>
      </c>
      <c r="C284">
        <v>1</v>
      </c>
      <c r="D284">
        <v>2011</v>
      </c>
      <c r="E284" t="s">
        <v>10</v>
      </c>
      <c r="F284">
        <v>5</v>
      </c>
      <c r="G284" t="b">
        <v>0</v>
      </c>
      <c r="H284" t="s">
        <v>16</v>
      </c>
      <c r="I284">
        <v>1</v>
      </c>
      <c r="J284">
        <v>0.14000000000000001</v>
      </c>
    </row>
    <row r="285" spans="1:10" x14ac:dyDescent="0.2">
      <c r="A285">
        <v>284</v>
      </c>
      <c r="B285" s="3">
        <v>40556</v>
      </c>
      <c r="C285">
        <v>1</v>
      </c>
      <c r="D285">
        <v>2011</v>
      </c>
      <c r="E285" t="s">
        <v>10</v>
      </c>
      <c r="F285">
        <v>6</v>
      </c>
      <c r="G285" t="b">
        <v>0</v>
      </c>
      <c r="H285" t="s">
        <v>16</v>
      </c>
      <c r="I285">
        <v>1</v>
      </c>
      <c r="J285">
        <v>0.12</v>
      </c>
    </row>
    <row r="286" spans="1:10" x14ac:dyDescent="0.2">
      <c r="A286">
        <v>285</v>
      </c>
      <c r="B286" s="3">
        <v>40556</v>
      </c>
      <c r="C286">
        <v>1</v>
      </c>
      <c r="D286">
        <v>2011</v>
      </c>
      <c r="E286" t="s">
        <v>10</v>
      </c>
      <c r="F286">
        <v>7</v>
      </c>
      <c r="G286" t="b">
        <v>0</v>
      </c>
      <c r="H286" t="s">
        <v>16</v>
      </c>
      <c r="I286">
        <v>1</v>
      </c>
      <c r="J286">
        <v>0.12</v>
      </c>
    </row>
    <row r="287" spans="1:10" x14ac:dyDescent="0.2">
      <c r="A287">
        <v>286</v>
      </c>
      <c r="B287" s="3">
        <v>40556</v>
      </c>
      <c r="C287">
        <v>1</v>
      </c>
      <c r="D287">
        <v>2011</v>
      </c>
      <c r="E287" t="s">
        <v>10</v>
      </c>
      <c r="F287">
        <v>8</v>
      </c>
      <c r="G287" t="b">
        <v>0</v>
      </c>
      <c r="H287" t="s">
        <v>16</v>
      </c>
      <c r="I287">
        <v>1</v>
      </c>
      <c r="J287">
        <v>0.14000000000000001</v>
      </c>
    </row>
    <row r="288" spans="1:10" x14ac:dyDescent="0.2">
      <c r="A288">
        <v>287</v>
      </c>
      <c r="B288" s="3">
        <v>40556</v>
      </c>
      <c r="C288">
        <v>1</v>
      </c>
      <c r="D288">
        <v>2011</v>
      </c>
      <c r="E288" t="s">
        <v>10</v>
      </c>
      <c r="F288">
        <v>9</v>
      </c>
      <c r="G288" t="b">
        <v>0</v>
      </c>
      <c r="H288" t="s">
        <v>16</v>
      </c>
      <c r="I288">
        <v>1</v>
      </c>
      <c r="J288">
        <v>0.14000000000000001</v>
      </c>
    </row>
    <row r="289" spans="1:10" x14ac:dyDescent="0.2">
      <c r="A289">
        <v>288</v>
      </c>
      <c r="B289" s="3">
        <v>40556</v>
      </c>
      <c r="C289">
        <v>1</v>
      </c>
      <c r="D289">
        <v>2011</v>
      </c>
      <c r="E289" t="s">
        <v>10</v>
      </c>
      <c r="F289">
        <v>10</v>
      </c>
      <c r="G289" t="b">
        <v>0</v>
      </c>
      <c r="H289" t="s">
        <v>16</v>
      </c>
      <c r="I289">
        <v>2</v>
      </c>
      <c r="J289">
        <v>0.16</v>
      </c>
    </row>
    <row r="290" spans="1:10" x14ac:dyDescent="0.2">
      <c r="A290">
        <v>289</v>
      </c>
      <c r="B290" s="3">
        <v>40556</v>
      </c>
      <c r="C290">
        <v>1</v>
      </c>
      <c r="D290">
        <v>2011</v>
      </c>
      <c r="E290" t="s">
        <v>10</v>
      </c>
      <c r="F290">
        <v>11</v>
      </c>
      <c r="G290" t="b">
        <v>0</v>
      </c>
      <c r="H290" t="s">
        <v>16</v>
      </c>
      <c r="I290">
        <v>2</v>
      </c>
      <c r="J290">
        <v>0.2</v>
      </c>
    </row>
    <row r="291" spans="1:10" x14ac:dyDescent="0.2">
      <c r="A291">
        <v>290</v>
      </c>
      <c r="B291" s="3">
        <v>40556</v>
      </c>
      <c r="C291">
        <v>1</v>
      </c>
      <c r="D291">
        <v>2011</v>
      </c>
      <c r="E291" t="s">
        <v>10</v>
      </c>
      <c r="F291">
        <v>12</v>
      </c>
      <c r="G291" t="b">
        <v>0</v>
      </c>
      <c r="H291" t="s">
        <v>16</v>
      </c>
      <c r="I291">
        <v>1</v>
      </c>
      <c r="J291">
        <v>0.2</v>
      </c>
    </row>
    <row r="292" spans="1:10" x14ac:dyDescent="0.2">
      <c r="A292">
        <v>291</v>
      </c>
      <c r="B292" s="3">
        <v>40556</v>
      </c>
      <c r="C292">
        <v>1</v>
      </c>
      <c r="D292">
        <v>2011</v>
      </c>
      <c r="E292" t="s">
        <v>10</v>
      </c>
      <c r="F292">
        <v>13</v>
      </c>
      <c r="G292" t="b">
        <v>0</v>
      </c>
      <c r="H292" t="s">
        <v>16</v>
      </c>
      <c r="I292">
        <v>1</v>
      </c>
      <c r="J292">
        <v>0.22</v>
      </c>
    </row>
    <row r="293" spans="1:10" x14ac:dyDescent="0.2">
      <c r="A293">
        <v>292</v>
      </c>
      <c r="B293" s="3">
        <v>40556</v>
      </c>
      <c r="C293">
        <v>1</v>
      </c>
      <c r="D293">
        <v>2011</v>
      </c>
      <c r="E293" t="s">
        <v>10</v>
      </c>
      <c r="F293">
        <v>14</v>
      </c>
      <c r="G293" t="b">
        <v>0</v>
      </c>
      <c r="H293" t="s">
        <v>16</v>
      </c>
      <c r="I293">
        <v>1</v>
      </c>
      <c r="J293">
        <v>0.22</v>
      </c>
    </row>
    <row r="294" spans="1:10" x14ac:dyDescent="0.2">
      <c r="A294">
        <v>293</v>
      </c>
      <c r="B294" s="3">
        <v>40556</v>
      </c>
      <c r="C294">
        <v>1</v>
      </c>
      <c r="D294">
        <v>2011</v>
      </c>
      <c r="E294" t="s">
        <v>10</v>
      </c>
      <c r="F294">
        <v>15</v>
      </c>
      <c r="G294" t="b">
        <v>0</v>
      </c>
      <c r="H294" t="s">
        <v>16</v>
      </c>
      <c r="I294">
        <v>1</v>
      </c>
      <c r="J294">
        <v>0.24</v>
      </c>
    </row>
    <row r="295" spans="1:10" x14ac:dyDescent="0.2">
      <c r="A295">
        <v>294</v>
      </c>
      <c r="B295" s="3">
        <v>40556</v>
      </c>
      <c r="C295">
        <v>1</v>
      </c>
      <c r="D295">
        <v>2011</v>
      </c>
      <c r="E295" t="s">
        <v>10</v>
      </c>
      <c r="F295">
        <v>16</v>
      </c>
      <c r="G295" t="b">
        <v>0</v>
      </c>
      <c r="H295" t="s">
        <v>16</v>
      </c>
      <c r="I295">
        <v>1</v>
      </c>
      <c r="J295">
        <v>0.24</v>
      </c>
    </row>
    <row r="296" spans="1:10" x14ac:dyDescent="0.2">
      <c r="A296">
        <v>295</v>
      </c>
      <c r="B296" s="3">
        <v>40556</v>
      </c>
      <c r="C296">
        <v>1</v>
      </c>
      <c r="D296">
        <v>2011</v>
      </c>
      <c r="E296" t="s">
        <v>10</v>
      </c>
      <c r="F296">
        <v>17</v>
      </c>
      <c r="G296" t="b">
        <v>0</v>
      </c>
      <c r="H296" t="s">
        <v>16</v>
      </c>
      <c r="I296">
        <v>1</v>
      </c>
      <c r="J296">
        <v>0.2</v>
      </c>
    </row>
    <row r="297" spans="1:10" x14ac:dyDescent="0.2">
      <c r="A297">
        <v>296</v>
      </c>
      <c r="B297" s="3">
        <v>40556</v>
      </c>
      <c r="C297">
        <v>1</v>
      </c>
      <c r="D297">
        <v>2011</v>
      </c>
      <c r="E297" t="s">
        <v>10</v>
      </c>
      <c r="F297">
        <v>18</v>
      </c>
      <c r="G297" t="b">
        <v>0</v>
      </c>
      <c r="H297" t="s">
        <v>16</v>
      </c>
      <c r="I297">
        <v>1</v>
      </c>
      <c r="J297">
        <v>0.2</v>
      </c>
    </row>
    <row r="298" spans="1:10" x14ac:dyDescent="0.2">
      <c r="A298">
        <v>297</v>
      </c>
      <c r="B298" s="3">
        <v>40556</v>
      </c>
      <c r="C298">
        <v>1</v>
      </c>
      <c r="D298">
        <v>2011</v>
      </c>
      <c r="E298" t="s">
        <v>10</v>
      </c>
      <c r="F298">
        <v>19</v>
      </c>
      <c r="G298" t="b">
        <v>0</v>
      </c>
      <c r="H298" t="s">
        <v>16</v>
      </c>
      <c r="I298">
        <v>1</v>
      </c>
      <c r="J298">
        <v>0.16</v>
      </c>
    </row>
    <row r="299" spans="1:10" x14ac:dyDescent="0.2">
      <c r="A299">
        <v>298</v>
      </c>
      <c r="B299" s="3">
        <v>40556</v>
      </c>
      <c r="C299">
        <v>1</v>
      </c>
      <c r="D299">
        <v>2011</v>
      </c>
      <c r="E299" t="s">
        <v>10</v>
      </c>
      <c r="F299">
        <v>20</v>
      </c>
      <c r="G299" t="b">
        <v>0</v>
      </c>
      <c r="H299" t="s">
        <v>16</v>
      </c>
      <c r="I299">
        <v>1</v>
      </c>
      <c r="J299">
        <v>0.16</v>
      </c>
    </row>
    <row r="300" spans="1:10" x14ac:dyDescent="0.2">
      <c r="A300">
        <v>299</v>
      </c>
      <c r="B300" s="3">
        <v>40556</v>
      </c>
      <c r="C300">
        <v>1</v>
      </c>
      <c r="D300">
        <v>2011</v>
      </c>
      <c r="E300" t="s">
        <v>10</v>
      </c>
      <c r="F300">
        <v>21</v>
      </c>
      <c r="G300" t="b">
        <v>0</v>
      </c>
      <c r="H300" t="s">
        <v>16</v>
      </c>
      <c r="I300">
        <v>1</v>
      </c>
      <c r="J300">
        <v>0.14000000000000001</v>
      </c>
    </row>
    <row r="301" spans="1:10" x14ac:dyDescent="0.2">
      <c r="A301">
        <v>300</v>
      </c>
      <c r="B301" s="3">
        <v>40556</v>
      </c>
      <c r="C301">
        <v>1</v>
      </c>
      <c r="D301">
        <v>2011</v>
      </c>
      <c r="E301" t="s">
        <v>10</v>
      </c>
      <c r="F301">
        <v>22</v>
      </c>
      <c r="G301" t="b">
        <v>0</v>
      </c>
      <c r="H301" t="s">
        <v>16</v>
      </c>
      <c r="I301">
        <v>1</v>
      </c>
      <c r="J301">
        <v>0.14000000000000001</v>
      </c>
    </row>
    <row r="302" spans="1:10" x14ac:dyDescent="0.2">
      <c r="A302">
        <v>301</v>
      </c>
      <c r="B302" s="3">
        <v>40556</v>
      </c>
      <c r="C302">
        <v>1</v>
      </c>
      <c r="D302">
        <v>2011</v>
      </c>
      <c r="E302" t="s">
        <v>10</v>
      </c>
      <c r="F302">
        <v>23</v>
      </c>
      <c r="G302" t="b">
        <v>0</v>
      </c>
      <c r="H302" t="s">
        <v>16</v>
      </c>
      <c r="I302">
        <v>1</v>
      </c>
      <c r="J302">
        <v>0.12</v>
      </c>
    </row>
    <row r="303" spans="1:10" x14ac:dyDescent="0.2">
      <c r="A303">
        <v>302</v>
      </c>
      <c r="B303" s="3">
        <v>40557</v>
      </c>
      <c r="C303">
        <v>1</v>
      </c>
      <c r="D303">
        <v>2011</v>
      </c>
      <c r="E303" t="s">
        <v>10</v>
      </c>
      <c r="F303">
        <v>0</v>
      </c>
      <c r="G303" t="b">
        <v>0</v>
      </c>
      <c r="H303" t="s">
        <v>17</v>
      </c>
      <c r="I303">
        <v>1</v>
      </c>
      <c r="J303">
        <v>0.12</v>
      </c>
    </row>
    <row r="304" spans="1:10" x14ac:dyDescent="0.2">
      <c r="A304">
        <v>303</v>
      </c>
      <c r="B304" s="3">
        <v>40557</v>
      </c>
      <c r="C304">
        <v>1</v>
      </c>
      <c r="D304">
        <v>2011</v>
      </c>
      <c r="E304" t="s">
        <v>10</v>
      </c>
      <c r="F304">
        <v>1</v>
      </c>
      <c r="G304" t="b">
        <v>0</v>
      </c>
      <c r="H304" t="s">
        <v>17</v>
      </c>
      <c r="I304">
        <v>1</v>
      </c>
      <c r="J304">
        <v>0.1</v>
      </c>
    </row>
    <row r="305" spans="1:10" x14ac:dyDescent="0.2">
      <c r="A305">
        <v>304</v>
      </c>
      <c r="B305" s="3">
        <v>40557</v>
      </c>
      <c r="C305">
        <v>1</v>
      </c>
      <c r="D305">
        <v>2011</v>
      </c>
      <c r="E305" t="s">
        <v>10</v>
      </c>
      <c r="F305">
        <v>2</v>
      </c>
      <c r="G305" t="b">
        <v>0</v>
      </c>
      <c r="H305" t="s">
        <v>17</v>
      </c>
      <c r="I305">
        <v>1</v>
      </c>
      <c r="J305">
        <v>0.1</v>
      </c>
    </row>
    <row r="306" spans="1:10" x14ac:dyDescent="0.2">
      <c r="A306">
        <v>305</v>
      </c>
      <c r="B306" s="3">
        <v>40557</v>
      </c>
      <c r="C306">
        <v>1</v>
      </c>
      <c r="D306">
        <v>2011</v>
      </c>
      <c r="E306" t="s">
        <v>10</v>
      </c>
      <c r="F306">
        <v>3</v>
      </c>
      <c r="G306" t="b">
        <v>0</v>
      </c>
      <c r="H306" t="s">
        <v>17</v>
      </c>
      <c r="I306">
        <v>1</v>
      </c>
      <c r="J306">
        <v>0.1</v>
      </c>
    </row>
    <row r="307" spans="1:10" x14ac:dyDescent="0.2">
      <c r="A307">
        <v>306</v>
      </c>
      <c r="B307" s="3">
        <v>40557</v>
      </c>
      <c r="C307">
        <v>1</v>
      </c>
      <c r="D307">
        <v>2011</v>
      </c>
      <c r="E307" t="s">
        <v>10</v>
      </c>
      <c r="F307">
        <v>5</v>
      </c>
      <c r="G307" t="b">
        <v>0</v>
      </c>
      <c r="H307" t="s">
        <v>17</v>
      </c>
      <c r="I307">
        <v>1</v>
      </c>
      <c r="J307">
        <v>0.1</v>
      </c>
    </row>
    <row r="308" spans="1:10" x14ac:dyDescent="0.2">
      <c r="A308">
        <v>307</v>
      </c>
      <c r="B308" s="3">
        <v>40557</v>
      </c>
      <c r="C308">
        <v>1</v>
      </c>
      <c r="D308">
        <v>2011</v>
      </c>
      <c r="E308" t="s">
        <v>10</v>
      </c>
      <c r="F308">
        <v>6</v>
      </c>
      <c r="G308" t="b">
        <v>0</v>
      </c>
      <c r="H308" t="s">
        <v>17</v>
      </c>
      <c r="I308">
        <v>1</v>
      </c>
      <c r="J308">
        <v>0.1</v>
      </c>
    </row>
    <row r="309" spans="1:10" x14ac:dyDescent="0.2">
      <c r="A309">
        <v>308</v>
      </c>
      <c r="B309" s="3">
        <v>40557</v>
      </c>
      <c r="C309">
        <v>1</v>
      </c>
      <c r="D309">
        <v>2011</v>
      </c>
      <c r="E309" t="s">
        <v>10</v>
      </c>
      <c r="F309">
        <v>7</v>
      </c>
      <c r="G309" t="b">
        <v>0</v>
      </c>
      <c r="H309" t="s">
        <v>17</v>
      </c>
      <c r="I309">
        <v>1</v>
      </c>
      <c r="J309">
        <v>0.1</v>
      </c>
    </row>
    <row r="310" spans="1:10" x14ac:dyDescent="0.2">
      <c r="A310">
        <v>309</v>
      </c>
      <c r="B310" s="3">
        <v>40557</v>
      </c>
      <c r="C310">
        <v>1</v>
      </c>
      <c r="D310">
        <v>2011</v>
      </c>
      <c r="E310" t="s">
        <v>10</v>
      </c>
      <c r="F310">
        <v>8</v>
      </c>
      <c r="G310" t="b">
        <v>0</v>
      </c>
      <c r="H310" t="s">
        <v>17</v>
      </c>
      <c r="I310">
        <v>1</v>
      </c>
      <c r="J310">
        <v>0.12</v>
      </c>
    </row>
    <row r="311" spans="1:10" x14ac:dyDescent="0.2">
      <c r="A311">
        <v>310</v>
      </c>
      <c r="B311" s="3">
        <v>40557</v>
      </c>
      <c r="C311">
        <v>1</v>
      </c>
      <c r="D311">
        <v>2011</v>
      </c>
      <c r="E311" t="s">
        <v>10</v>
      </c>
      <c r="F311">
        <v>9</v>
      </c>
      <c r="G311" t="b">
        <v>0</v>
      </c>
      <c r="H311" t="s">
        <v>17</v>
      </c>
      <c r="I311">
        <v>1</v>
      </c>
      <c r="J311">
        <v>0.14000000000000001</v>
      </c>
    </row>
    <row r="312" spans="1:10" x14ac:dyDescent="0.2">
      <c r="A312">
        <v>311</v>
      </c>
      <c r="B312" s="3">
        <v>40557</v>
      </c>
      <c r="C312">
        <v>1</v>
      </c>
      <c r="D312">
        <v>2011</v>
      </c>
      <c r="E312" t="s">
        <v>10</v>
      </c>
      <c r="F312">
        <v>10</v>
      </c>
      <c r="G312" t="b">
        <v>0</v>
      </c>
      <c r="H312" t="s">
        <v>17</v>
      </c>
      <c r="I312">
        <v>1</v>
      </c>
      <c r="J312">
        <v>0.18</v>
      </c>
    </row>
    <row r="313" spans="1:10" x14ac:dyDescent="0.2">
      <c r="A313">
        <v>312</v>
      </c>
      <c r="B313" s="3">
        <v>40557</v>
      </c>
      <c r="C313">
        <v>1</v>
      </c>
      <c r="D313">
        <v>2011</v>
      </c>
      <c r="E313" t="s">
        <v>10</v>
      </c>
      <c r="F313">
        <v>11</v>
      </c>
      <c r="G313" t="b">
        <v>0</v>
      </c>
      <c r="H313" t="s">
        <v>17</v>
      </c>
      <c r="I313">
        <v>1</v>
      </c>
      <c r="J313">
        <v>0.18</v>
      </c>
    </row>
    <row r="314" spans="1:10" x14ac:dyDescent="0.2">
      <c r="A314">
        <v>313</v>
      </c>
      <c r="B314" s="3">
        <v>40557</v>
      </c>
      <c r="C314">
        <v>1</v>
      </c>
      <c r="D314">
        <v>2011</v>
      </c>
      <c r="E314" t="s">
        <v>10</v>
      </c>
      <c r="F314">
        <v>12</v>
      </c>
      <c r="G314" t="b">
        <v>0</v>
      </c>
      <c r="H314" t="s">
        <v>17</v>
      </c>
      <c r="I314">
        <v>1</v>
      </c>
      <c r="J314">
        <v>0.2</v>
      </c>
    </row>
    <row r="315" spans="1:10" x14ac:dyDescent="0.2">
      <c r="A315">
        <v>314</v>
      </c>
      <c r="B315" s="3">
        <v>40557</v>
      </c>
      <c r="C315">
        <v>1</v>
      </c>
      <c r="D315">
        <v>2011</v>
      </c>
      <c r="E315" t="s">
        <v>10</v>
      </c>
      <c r="F315">
        <v>13</v>
      </c>
      <c r="G315" t="b">
        <v>0</v>
      </c>
      <c r="H315" t="s">
        <v>17</v>
      </c>
      <c r="I315">
        <v>1</v>
      </c>
      <c r="J315">
        <v>0.22</v>
      </c>
    </row>
    <row r="316" spans="1:10" x14ac:dyDescent="0.2">
      <c r="A316">
        <v>315</v>
      </c>
      <c r="B316" s="3">
        <v>40557</v>
      </c>
      <c r="C316">
        <v>1</v>
      </c>
      <c r="D316">
        <v>2011</v>
      </c>
      <c r="E316" t="s">
        <v>10</v>
      </c>
      <c r="F316">
        <v>14</v>
      </c>
      <c r="G316" t="b">
        <v>0</v>
      </c>
      <c r="H316" t="s">
        <v>17</v>
      </c>
      <c r="I316">
        <v>1</v>
      </c>
      <c r="J316">
        <v>0.22</v>
      </c>
    </row>
    <row r="317" spans="1:10" x14ac:dyDescent="0.2">
      <c r="A317">
        <v>316</v>
      </c>
      <c r="B317" s="3">
        <v>40557</v>
      </c>
      <c r="C317">
        <v>1</v>
      </c>
      <c r="D317">
        <v>2011</v>
      </c>
      <c r="E317" t="s">
        <v>10</v>
      </c>
      <c r="F317">
        <v>15</v>
      </c>
      <c r="G317" t="b">
        <v>0</v>
      </c>
      <c r="H317" t="s">
        <v>17</v>
      </c>
      <c r="I317">
        <v>1</v>
      </c>
      <c r="J317">
        <v>0.24</v>
      </c>
    </row>
    <row r="318" spans="1:10" x14ac:dyDescent="0.2">
      <c r="A318">
        <v>317</v>
      </c>
      <c r="B318" s="3">
        <v>40557</v>
      </c>
      <c r="C318">
        <v>1</v>
      </c>
      <c r="D318">
        <v>2011</v>
      </c>
      <c r="E318" t="s">
        <v>10</v>
      </c>
      <c r="F318">
        <v>16</v>
      </c>
      <c r="G318" t="b">
        <v>0</v>
      </c>
      <c r="H318" t="s">
        <v>17</v>
      </c>
      <c r="I318">
        <v>1</v>
      </c>
      <c r="J318">
        <v>0.22</v>
      </c>
    </row>
    <row r="319" spans="1:10" x14ac:dyDescent="0.2">
      <c r="A319">
        <v>318</v>
      </c>
      <c r="B319" s="3">
        <v>40557</v>
      </c>
      <c r="C319">
        <v>1</v>
      </c>
      <c r="D319">
        <v>2011</v>
      </c>
      <c r="E319" t="s">
        <v>10</v>
      </c>
      <c r="F319">
        <v>17</v>
      </c>
      <c r="G319" t="b">
        <v>0</v>
      </c>
      <c r="H319" t="s">
        <v>17</v>
      </c>
      <c r="I319">
        <v>1</v>
      </c>
      <c r="J319">
        <v>0.22</v>
      </c>
    </row>
    <row r="320" spans="1:10" x14ac:dyDescent="0.2">
      <c r="A320">
        <v>319</v>
      </c>
      <c r="B320" s="3">
        <v>40557</v>
      </c>
      <c r="C320">
        <v>1</v>
      </c>
      <c r="D320">
        <v>2011</v>
      </c>
      <c r="E320" t="s">
        <v>10</v>
      </c>
      <c r="F320">
        <v>18</v>
      </c>
      <c r="G320" t="b">
        <v>0</v>
      </c>
      <c r="H320" t="s">
        <v>17</v>
      </c>
      <c r="I320">
        <v>1</v>
      </c>
      <c r="J320">
        <v>0.2</v>
      </c>
    </row>
    <row r="321" spans="1:10" x14ac:dyDescent="0.2">
      <c r="A321">
        <v>320</v>
      </c>
      <c r="B321" s="3">
        <v>40557</v>
      </c>
      <c r="C321">
        <v>1</v>
      </c>
      <c r="D321">
        <v>2011</v>
      </c>
      <c r="E321" t="s">
        <v>10</v>
      </c>
      <c r="F321">
        <v>19</v>
      </c>
      <c r="G321" t="b">
        <v>0</v>
      </c>
      <c r="H321" t="s">
        <v>17</v>
      </c>
      <c r="I321">
        <v>1</v>
      </c>
      <c r="J321">
        <v>0.16</v>
      </c>
    </row>
    <row r="322" spans="1:10" x14ac:dyDescent="0.2">
      <c r="A322">
        <v>321</v>
      </c>
      <c r="B322" s="3">
        <v>40557</v>
      </c>
      <c r="C322">
        <v>1</v>
      </c>
      <c r="D322">
        <v>2011</v>
      </c>
      <c r="E322" t="s">
        <v>10</v>
      </c>
      <c r="F322">
        <v>20</v>
      </c>
      <c r="G322" t="b">
        <v>0</v>
      </c>
      <c r="H322" t="s">
        <v>17</v>
      </c>
      <c r="I322">
        <v>1</v>
      </c>
      <c r="J322">
        <v>0.18</v>
      </c>
    </row>
    <row r="323" spans="1:10" x14ac:dyDescent="0.2">
      <c r="A323">
        <v>322</v>
      </c>
      <c r="B323" s="3">
        <v>40557</v>
      </c>
      <c r="C323">
        <v>1</v>
      </c>
      <c r="D323">
        <v>2011</v>
      </c>
      <c r="E323" t="s">
        <v>10</v>
      </c>
      <c r="F323">
        <v>21</v>
      </c>
      <c r="G323" t="b">
        <v>0</v>
      </c>
      <c r="H323" t="s">
        <v>17</v>
      </c>
      <c r="I323">
        <v>1</v>
      </c>
      <c r="J323">
        <v>0.16</v>
      </c>
    </row>
    <row r="324" spans="1:10" x14ac:dyDescent="0.2">
      <c r="A324">
        <v>323</v>
      </c>
      <c r="B324" s="3">
        <v>40557</v>
      </c>
      <c r="C324">
        <v>1</v>
      </c>
      <c r="D324">
        <v>2011</v>
      </c>
      <c r="E324" t="s">
        <v>10</v>
      </c>
      <c r="F324">
        <v>22</v>
      </c>
      <c r="G324" t="b">
        <v>0</v>
      </c>
      <c r="H324" t="s">
        <v>17</v>
      </c>
      <c r="I324">
        <v>2</v>
      </c>
      <c r="J324">
        <v>0.16</v>
      </c>
    </row>
    <row r="325" spans="1:10" x14ac:dyDescent="0.2">
      <c r="A325">
        <v>324</v>
      </c>
      <c r="B325" s="3">
        <v>40557</v>
      </c>
      <c r="C325">
        <v>1</v>
      </c>
      <c r="D325">
        <v>2011</v>
      </c>
      <c r="E325" t="s">
        <v>10</v>
      </c>
      <c r="F325">
        <v>23</v>
      </c>
      <c r="G325" t="b">
        <v>0</v>
      </c>
      <c r="H325" t="s">
        <v>17</v>
      </c>
      <c r="I325">
        <v>2</v>
      </c>
      <c r="J325">
        <v>0.18</v>
      </c>
    </row>
    <row r="326" spans="1:10" x14ac:dyDescent="0.2">
      <c r="A326">
        <v>325</v>
      </c>
      <c r="B326" s="3">
        <v>40558</v>
      </c>
      <c r="C326">
        <v>1</v>
      </c>
      <c r="D326">
        <v>2011</v>
      </c>
      <c r="E326" t="s">
        <v>10</v>
      </c>
      <c r="F326">
        <v>0</v>
      </c>
      <c r="G326" t="b">
        <v>0</v>
      </c>
      <c r="H326" t="s">
        <v>11</v>
      </c>
      <c r="I326">
        <v>1</v>
      </c>
      <c r="J326">
        <v>0.18</v>
      </c>
    </row>
    <row r="327" spans="1:10" x14ac:dyDescent="0.2">
      <c r="A327">
        <v>326</v>
      </c>
      <c r="B327" s="3">
        <v>40558</v>
      </c>
      <c r="C327">
        <v>1</v>
      </c>
      <c r="D327">
        <v>2011</v>
      </c>
      <c r="E327" t="s">
        <v>10</v>
      </c>
      <c r="F327">
        <v>1</v>
      </c>
      <c r="G327" t="b">
        <v>0</v>
      </c>
      <c r="H327" t="s">
        <v>11</v>
      </c>
      <c r="I327">
        <v>2</v>
      </c>
      <c r="J327">
        <v>0.16</v>
      </c>
    </row>
    <row r="328" spans="1:10" x14ac:dyDescent="0.2">
      <c r="A328">
        <v>327</v>
      </c>
      <c r="B328" s="3">
        <v>40558</v>
      </c>
      <c r="C328">
        <v>1</v>
      </c>
      <c r="D328">
        <v>2011</v>
      </c>
      <c r="E328" t="s">
        <v>10</v>
      </c>
      <c r="F328">
        <v>2</v>
      </c>
      <c r="G328" t="b">
        <v>0</v>
      </c>
      <c r="H328" t="s">
        <v>11</v>
      </c>
      <c r="I328">
        <v>2</v>
      </c>
      <c r="J328">
        <v>0.16</v>
      </c>
    </row>
    <row r="329" spans="1:10" x14ac:dyDescent="0.2">
      <c r="A329">
        <v>328</v>
      </c>
      <c r="B329" s="3">
        <v>40558</v>
      </c>
      <c r="C329">
        <v>1</v>
      </c>
      <c r="D329">
        <v>2011</v>
      </c>
      <c r="E329" t="s">
        <v>10</v>
      </c>
      <c r="F329">
        <v>3</v>
      </c>
      <c r="G329" t="b">
        <v>0</v>
      </c>
      <c r="H329" t="s">
        <v>11</v>
      </c>
      <c r="I329">
        <v>2</v>
      </c>
      <c r="J329">
        <v>0.16</v>
      </c>
    </row>
    <row r="330" spans="1:10" x14ac:dyDescent="0.2">
      <c r="A330">
        <v>329</v>
      </c>
      <c r="B330" s="3">
        <v>40558</v>
      </c>
      <c r="C330">
        <v>1</v>
      </c>
      <c r="D330">
        <v>2011</v>
      </c>
      <c r="E330" t="s">
        <v>10</v>
      </c>
      <c r="F330">
        <v>4</v>
      </c>
      <c r="G330" t="b">
        <v>0</v>
      </c>
      <c r="H330" t="s">
        <v>11</v>
      </c>
      <c r="I330">
        <v>2</v>
      </c>
      <c r="J330">
        <v>0.16</v>
      </c>
    </row>
    <row r="331" spans="1:10" x14ac:dyDescent="0.2">
      <c r="A331">
        <v>330</v>
      </c>
      <c r="B331" s="3">
        <v>40558</v>
      </c>
      <c r="C331">
        <v>1</v>
      </c>
      <c r="D331">
        <v>2011</v>
      </c>
      <c r="E331" t="s">
        <v>10</v>
      </c>
      <c r="F331">
        <v>5</v>
      </c>
      <c r="G331" t="b">
        <v>0</v>
      </c>
      <c r="H331" t="s">
        <v>11</v>
      </c>
      <c r="I331">
        <v>1</v>
      </c>
      <c r="J331">
        <v>0.16</v>
      </c>
    </row>
    <row r="332" spans="1:10" x14ac:dyDescent="0.2">
      <c r="A332">
        <v>331</v>
      </c>
      <c r="B332" s="3">
        <v>40558</v>
      </c>
      <c r="C332">
        <v>1</v>
      </c>
      <c r="D332">
        <v>2011</v>
      </c>
      <c r="E332" t="s">
        <v>10</v>
      </c>
      <c r="F332">
        <v>6</v>
      </c>
      <c r="G332" t="b">
        <v>0</v>
      </c>
      <c r="H332" t="s">
        <v>11</v>
      </c>
      <c r="I332">
        <v>1</v>
      </c>
      <c r="J332">
        <v>0.14000000000000001</v>
      </c>
    </row>
    <row r="333" spans="1:10" x14ac:dyDescent="0.2">
      <c r="A333">
        <v>332</v>
      </c>
      <c r="B333" s="3">
        <v>40558</v>
      </c>
      <c r="C333">
        <v>1</v>
      </c>
      <c r="D333">
        <v>2011</v>
      </c>
      <c r="E333" t="s">
        <v>10</v>
      </c>
      <c r="F333">
        <v>7</v>
      </c>
      <c r="G333" t="b">
        <v>0</v>
      </c>
      <c r="H333" t="s">
        <v>11</v>
      </c>
      <c r="I333">
        <v>1</v>
      </c>
      <c r="J333">
        <v>0.14000000000000001</v>
      </c>
    </row>
    <row r="334" spans="1:10" x14ac:dyDescent="0.2">
      <c r="A334">
        <v>333</v>
      </c>
      <c r="B334" s="3">
        <v>40558</v>
      </c>
      <c r="C334">
        <v>1</v>
      </c>
      <c r="D334">
        <v>2011</v>
      </c>
      <c r="E334" t="s">
        <v>10</v>
      </c>
      <c r="F334">
        <v>8</v>
      </c>
      <c r="G334" t="b">
        <v>0</v>
      </c>
      <c r="H334" t="s">
        <v>11</v>
      </c>
      <c r="I334">
        <v>1</v>
      </c>
      <c r="J334">
        <v>0.14000000000000001</v>
      </c>
    </row>
    <row r="335" spans="1:10" x14ac:dyDescent="0.2">
      <c r="A335">
        <v>334</v>
      </c>
      <c r="B335" s="3">
        <v>40558</v>
      </c>
      <c r="C335">
        <v>1</v>
      </c>
      <c r="D335">
        <v>2011</v>
      </c>
      <c r="E335" t="s">
        <v>10</v>
      </c>
      <c r="F335">
        <v>9</v>
      </c>
      <c r="G335" t="b">
        <v>0</v>
      </c>
      <c r="H335" t="s">
        <v>11</v>
      </c>
      <c r="I335">
        <v>1</v>
      </c>
      <c r="J335">
        <v>0.16</v>
      </c>
    </row>
    <row r="336" spans="1:10" x14ac:dyDescent="0.2">
      <c r="A336">
        <v>335</v>
      </c>
      <c r="B336" s="3">
        <v>40558</v>
      </c>
      <c r="C336">
        <v>1</v>
      </c>
      <c r="D336">
        <v>2011</v>
      </c>
      <c r="E336" t="s">
        <v>10</v>
      </c>
      <c r="F336">
        <v>10</v>
      </c>
      <c r="G336" t="b">
        <v>0</v>
      </c>
      <c r="H336" t="s">
        <v>11</v>
      </c>
      <c r="I336">
        <v>1</v>
      </c>
      <c r="J336">
        <v>0.18</v>
      </c>
    </row>
    <row r="337" spans="1:10" x14ac:dyDescent="0.2">
      <c r="A337">
        <v>336</v>
      </c>
      <c r="B337" s="3">
        <v>40558</v>
      </c>
      <c r="C337">
        <v>1</v>
      </c>
      <c r="D337">
        <v>2011</v>
      </c>
      <c r="E337" t="s">
        <v>10</v>
      </c>
      <c r="F337">
        <v>11</v>
      </c>
      <c r="G337" t="b">
        <v>0</v>
      </c>
      <c r="H337" t="s">
        <v>11</v>
      </c>
      <c r="I337">
        <v>1</v>
      </c>
      <c r="J337">
        <v>0.2</v>
      </c>
    </row>
    <row r="338" spans="1:10" x14ac:dyDescent="0.2">
      <c r="A338">
        <v>337</v>
      </c>
      <c r="B338" s="3">
        <v>40558</v>
      </c>
      <c r="C338">
        <v>1</v>
      </c>
      <c r="D338">
        <v>2011</v>
      </c>
      <c r="E338" t="s">
        <v>10</v>
      </c>
      <c r="F338">
        <v>12</v>
      </c>
      <c r="G338" t="b">
        <v>0</v>
      </c>
      <c r="H338" t="s">
        <v>11</v>
      </c>
      <c r="I338">
        <v>1</v>
      </c>
      <c r="J338">
        <v>0.24</v>
      </c>
    </row>
    <row r="339" spans="1:10" x14ac:dyDescent="0.2">
      <c r="A339">
        <v>338</v>
      </c>
      <c r="B339" s="3">
        <v>40558</v>
      </c>
      <c r="C339">
        <v>1</v>
      </c>
      <c r="D339">
        <v>2011</v>
      </c>
      <c r="E339" t="s">
        <v>10</v>
      </c>
      <c r="F339">
        <v>13</v>
      </c>
      <c r="G339" t="b">
        <v>0</v>
      </c>
      <c r="H339" t="s">
        <v>11</v>
      </c>
      <c r="I339">
        <v>1</v>
      </c>
      <c r="J339">
        <v>0.28000000000000003</v>
      </c>
    </row>
    <row r="340" spans="1:10" x14ac:dyDescent="0.2">
      <c r="A340">
        <v>339</v>
      </c>
      <c r="B340" s="3">
        <v>40558</v>
      </c>
      <c r="C340">
        <v>1</v>
      </c>
      <c r="D340">
        <v>2011</v>
      </c>
      <c r="E340" t="s">
        <v>10</v>
      </c>
      <c r="F340">
        <v>14</v>
      </c>
      <c r="G340" t="b">
        <v>0</v>
      </c>
      <c r="H340" t="s">
        <v>11</v>
      </c>
      <c r="I340">
        <v>1</v>
      </c>
      <c r="J340">
        <v>0.3</v>
      </c>
    </row>
    <row r="341" spans="1:10" x14ac:dyDescent="0.2">
      <c r="A341">
        <v>340</v>
      </c>
      <c r="B341" s="3">
        <v>40558</v>
      </c>
      <c r="C341">
        <v>1</v>
      </c>
      <c r="D341">
        <v>2011</v>
      </c>
      <c r="E341" t="s">
        <v>10</v>
      </c>
      <c r="F341">
        <v>15</v>
      </c>
      <c r="G341" t="b">
        <v>0</v>
      </c>
      <c r="H341" t="s">
        <v>11</v>
      </c>
      <c r="I341">
        <v>2</v>
      </c>
      <c r="J341">
        <v>0.32</v>
      </c>
    </row>
    <row r="342" spans="1:10" x14ac:dyDescent="0.2">
      <c r="A342">
        <v>341</v>
      </c>
      <c r="B342" s="3">
        <v>40558</v>
      </c>
      <c r="C342">
        <v>1</v>
      </c>
      <c r="D342">
        <v>2011</v>
      </c>
      <c r="E342" t="s">
        <v>10</v>
      </c>
      <c r="F342">
        <v>16</v>
      </c>
      <c r="G342" t="b">
        <v>0</v>
      </c>
      <c r="H342" t="s">
        <v>11</v>
      </c>
      <c r="I342">
        <v>2</v>
      </c>
      <c r="J342">
        <v>0.34</v>
      </c>
    </row>
    <row r="343" spans="1:10" x14ac:dyDescent="0.2">
      <c r="A343">
        <v>342</v>
      </c>
      <c r="B343" s="3">
        <v>40558</v>
      </c>
      <c r="C343">
        <v>1</v>
      </c>
      <c r="D343">
        <v>2011</v>
      </c>
      <c r="E343" t="s">
        <v>10</v>
      </c>
      <c r="F343">
        <v>17</v>
      </c>
      <c r="G343" t="b">
        <v>0</v>
      </c>
      <c r="H343" t="s">
        <v>11</v>
      </c>
      <c r="I343">
        <v>2</v>
      </c>
      <c r="J343">
        <v>0.32</v>
      </c>
    </row>
    <row r="344" spans="1:10" x14ac:dyDescent="0.2">
      <c r="A344">
        <v>343</v>
      </c>
      <c r="B344" s="3">
        <v>40558</v>
      </c>
      <c r="C344">
        <v>1</v>
      </c>
      <c r="D344">
        <v>2011</v>
      </c>
      <c r="E344" t="s">
        <v>10</v>
      </c>
      <c r="F344">
        <v>18</v>
      </c>
      <c r="G344" t="b">
        <v>0</v>
      </c>
      <c r="H344" t="s">
        <v>11</v>
      </c>
      <c r="I344">
        <v>2</v>
      </c>
      <c r="J344">
        <v>0.3</v>
      </c>
    </row>
    <row r="345" spans="1:10" x14ac:dyDescent="0.2">
      <c r="A345">
        <v>344</v>
      </c>
      <c r="B345" s="3">
        <v>40558</v>
      </c>
      <c r="C345">
        <v>1</v>
      </c>
      <c r="D345">
        <v>2011</v>
      </c>
      <c r="E345" t="s">
        <v>10</v>
      </c>
      <c r="F345">
        <v>19</v>
      </c>
      <c r="G345" t="b">
        <v>0</v>
      </c>
      <c r="H345" t="s">
        <v>11</v>
      </c>
      <c r="I345">
        <v>2</v>
      </c>
      <c r="J345">
        <v>0.32</v>
      </c>
    </row>
    <row r="346" spans="1:10" x14ac:dyDescent="0.2">
      <c r="A346">
        <v>345</v>
      </c>
      <c r="B346" s="3">
        <v>40558</v>
      </c>
      <c r="C346">
        <v>1</v>
      </c>
      <c r="D346">
        <v>2011</v>
      </c>
      <c r="E346" t="s">
        <v>10</v>
      </c>
      <c r="F346">
        <v>20</v>
      </c>
      <c r="G346" t="b">
        <v>0</v>
      </c>
      <c r="H346" t="s">
        <v>11</v>
      </c>
      <c r="I346">
        <v>2</v>
      </c>
      <c r="J346">
        <v>0.32</v>
      </c>
    </row>
    <row r="347" spans="1:10" x14ac:dyDescent="0.2">
      <c r="A347">
        <v>346</v>
      </c>
      <c r="B347" s="3">
        <v>40558</v>
      </c>
      <c r="C347">
        <v>1</v>
      </c>
      <c r="D347">
        <v>2011</v>
      </c>
      <c r="E347" t="s">
        <v>10</v>
      </c>
      <c r="F347">
        <v>21</v>
      </c>
      <c r="G347" t="b">
        <v>0</v>
      </c>
      <c r="H347" t="s">
        <v>11</v>
      </c>
      <c r="I347">
        <v>2</v>
      </c>
      <c r="J347">
        <v>0.32</v>
      </c>
    </row>
    <row r="348" spans="1:10" x14ac:dyDescent="0.2">
      <c r="A348">
        <v>347</v>
      </c>
      <c r="B348" s="3">
        <v>40558</v>
      </c>
      <c r="C348">
        <v>1</v>
      </c>
      <c r="D348">
        <v>2011</v>
      </c>
      <c r="E348" t="s">
        <v>10</v>
      </c>
      <c r="F348">
        <v>22</v>
      </c>
      <c r="G348" t="b">
        <v>0</v>
      </c>
      <c r="H348" t="s">
        <v>11</v>
      </c>
      <c r="I348">
        <v>2</v>
      </c>
      <c r="J348">
        <v>0.3</v>
      </c>
    </row>
    <row r="349" spans="1:10" x14ac:dyDescent="0.2">
      <c r="A349">
        <v>348</v>
      </c>
      <c r="B349" s="3">
        <v>40558</v>
      </c>
      <c r="C349">
        <v>1</v>
      </c>
      <c r="D349">
        <v>2011</v>
      </c>
      <c r="E349" t="s">
        <v>10</v>
      </c>
      <c r="F349">
        <v>23</v>
      </c>
      <c r="G349" t="b">
        <v>0</v>
      </c>
      <c r="H349" t="s">
        <v>11</v>
      </c>
      <c r="I349">
        <v>1</v>
      </c>
      <c r="J349">
        <v>0.3</v>
      </c>
    </row>
    <row r="350" spans="1:10" x14ac:dyDescent="0.2">
      <c r="A350">
        <v>349</v>
      </c>
      <c r="B350" s="3">
        <v>40559</v>
      </c>
      <c r="C350">
        <v>1</v>
      </c>
      <c r="D350">
        <v>2011</v>
      </c>
      <c r="E350" t="s">
        <v>10</v>
      </c>
      <c r="F350">
        <v>0</v>
      </c>
      <c r="G350" t="b">
        <v>1</v>
      </c>
      <c r="H350" t="s">
        <v>12</v>
      </c>
      <c r="I350">
        <v>1</v>
      </c>
      <c r="J350">
        <v>0.26</v>
      </c>
    </row>
    <row r="351" spans="1:10" x14ac:dyDescent="0.2">
      <c r="A351">
        <v>350</v>
      </c>
      <c r="B351" s="3">
        <v>40559</v>
      </c>
      <c r="C351">
        <v>1</v>
      </c>
      <c r="D351">
        <v>2011</v>
      </c>
      <c r="E351" t="s">
        <v>10</v>
      </c>
      <c r="F351">
        <v>1</v>
      </c>
      <c r="G351" t="b">
        <v>1</v>
      </c>
      <c r="H351" t="s">
        <v>12</v>
      </c>
      <c r="I351">
        <v>1</v>
      </c>
      <c r="J351">
        <v>0.26</v>
      </c>
    </row>
    <row r="352" spans="1:10" x14ac:dyDescent="0.2">
      <c r="A352">
        <v>351</v>
      </c>
      <c r="B352" s="3">
        <v>40559</v>
      </c>
      <c r="C352">
        <v>1</v>
      </c>
      <c r="D352">
        <v>2011</v>
      </c>
      <c r="E352" t="s">
        <v>10</v>
      </c>
      <c r="F352">
        <v>2</v>
      </c>
      <c r="G352" t="b">
        <v>1</v>
      </c>
      <c r="H352" t="s">
        <v>12</v>
      </c>
      <c r="I352">
        <v>1</v>
      </c>
      <c r="J352">
        <v>0.26</v>
      </c>
    </row>
    <row r="353" spans="1:10" x14ac:dyDescent="0.2">
      <c r="A353">
        <v>352</v>
      </c>
      <c r="B353" s="3">
        <v>40559</v>
      </c>
      <c r="C353">
        <v>1</v>
      </c>
      <c r="D353">
        <v>2011</v>
      </c>
      <c r="E353" t="s">
        <v>10</v>
      </c>
      <c r="F353">
        <v>3</v>
      </c>
      <c r="G353" t="b">
        <v>1</v>
      </c>
      <c r="H353" t="s">
        <v>12</v>
      </c>
      <c r="I353">
        <v>1</v>
      </c>
      <c r="J353">
        <v>0.22</v>
      </c>
    </row>
    <row r="354" spans="1:10" x14ac:dyDescent="0.2">
      <c r="A354">
        <v>353</v>
      </c>
      <c r="B354" s="3">
        <v>40559</v>
      </c>
      <c r="C354">
        <v>1</v>
      </c>
      <c r="D354">
        <v>2011</v>
      </c>
      <c r="E354" t="s">
        <v>10</v>
      </c>
      <c r="F354">
        <v>4</v>
      </c>
      <c r="G354" t="b">
        <v>1</v>
      </c>
      <c r="H354" t="s">
        <v>12</v>
      </c>
      <c r="I354">
        <v>1</v>
      </c>
      <c r="J354">
        <v>0.26</v>
      </c>
    </row>
    <row r="355" spans="1:10" x14ac:dyDescent="0.2">
      <c r="A355">
        <v>354</v>
      </c>
      <c r="B355" s="3">
        <v>40559</v>
      </c>
      <c r="C355">
        <v>1</v>
      </c>
      <c r="D355">
        <v>2011</v>
      </c>
      <c r="E355" t="s">
        <v>10</v>
      </c>
      <c r="F355">
        <v>5</v>
      </c>
      <c r="G355" t="b">
        <v>1</v>
      </c>
      <c r="H355" t="s">
        <v>12</v>
      </c>
      <c r="I355">
        <v>2</v>
      </c>
      <c r="J355">
        <v>0.26</v>
      </c>
    </row>
    <row r="356" spans="1:10" x14ac:dyDescent="0.2">
      <c r="A356">
        <v>355</v>
      </c>
      <c r="B356" s="3">
        <v>40559</v>
      </c>
      <c r="C356">
        <v>1</v>
      </c>
      <c r="D356">
        <v>2011</v>
      </c>
      <c r="E356" t="s">
        <v>10</v>
      </c>
      <c r="F356">
        <v>6</v>
      </c>
      <c r="G356" t="b">
        <v>1</v>
      </c>
      <c r="H356" t="s">
        <v>12</v>
      </c>
      <c r="I356">
        <v>2</v>
      </c>
      <c r="J356">
        <v>0.26</v>
      </c>
    </row>
    <row r="357" spans="1:10" x14ac:dyDescent="0.2">
      <c r="A357">
        <v>356</v>
      </c>
      <c r="B357" s="3">
        <v>40559</v>
      </c>
      <c r="C357">
        <v>1</v>
      </c>
      <c r="D357">
        <v>2011</v>
      </c>
      <c r="E357" t="s">
        <v>10</v>
      </c>
      <c r="F357">
        <v>7</v>
      </c>
      <c r="G357" t="b">
        <v>1</v>
      </c>
      <c r="H357" t="s">
        <v>12</v>
      </c>
      <c r="I357">
        <v>2</v>
      </c>
      <c r="J357">
        <v>0.24</v>
      </c>
    </row>
    <row r="358" spans="1:10" x14ac:dyDescent="0.2">
      <c r="A358">
        <v>357</v>
      </c>
      <c r="B358" s="3">
        <v>40559</v>
      </c>
      <c r="C358">
        <v>1</v>
      </c>
      <c r="D358">
        <v>2011</v>
      </c>
      <c r="E358" t="s">
        <v>10</v>
      </c>
      <c r="F358">
        <v>8</v>
      </c>
      <c r="G358" t="b">
        <v>1</v>
      </c>
      <c r="H358" t="s">
        <v>12</v>
      </c>
      <c r="I358">
        <v>1</v>
      </c>
      <c r="J358">
        <v>0.22</v>
      </c>
    </row>
    <row r="359" spans="1:10" x14ac:dyDescent="0.2">
      <c r="A359">
        <v>358</v>
      </c>
      <c r="B359" s="3">
        <v>40559</v>
      </c>
      <c r="C359">
        <v>1</v>
      </c>
      <c r="D359">
        <v>2011</v>
      </c>
      <c r="E359" t="s">
        <v>10</v>
      </c>
      <c r="F359">
        <v>9</v>
      </c>
      <c r="G359" t="b">
        <v>1</v>
      </c>
      <c r="H359" t="s">
        <v>12</v>
      </c>
      <c r="I359">
        <v>1</v>
      </c>
      <c r="J359">
        <v>0.22</v>
      </c>
    </row>
    <row r="360" spans="1:10" x14ac:dyDescent="0.2">
      <c r="A360">
        <v>359</v>
      </c>
      <c r="B360" s="3">
        <v>40559</v>
      </c>
      <c r="C360">
        <v>1</v>
      </c>
      <c r="D360">
        <v>2011</v>
      </c>
      <c r="E360" t="s">
        <v>10</v>
      </c>
      <c r="F360">
        <v>10</v>
      </c>
      <c r="G360" t="b">
        <v>1</v>
      </c>
      <c r="H360" t="s">
        <v>12</v>
      </c>
      <c r="I360">
        <v>1</v>
      </c>
      <c r="J360">
        <v>0.22</v>
      </c>
    </row>
    <row r="361" spans="1:10" x14ac:dyDescent="0.2">
      <c r="A361">
        <v>360</v>
      </c>
      <c r="B361" s="3">
        <v>40559</v>
      </c>
      <c r="C361">
        <v>1</v>
      </c>
      <c r="D361">
        <v>2011</v>
      </c>
      <c r="E361" t="s">
        <v>10</v>
      </c>
      <c r="F361">
        <v>11</v>
      </c>
      <c r="G361" t="b">
        <v>1</v>
      </c>
      <c r="H361" t="s">
        <v>12</v>
      </c>
      <c r="I361">
        <v>1</v>
      </c>
      <c r="J361">
        <v>0.24</v>
      </c>
    </row>
    <row r="362" spans="1:10" x14ac:dyDescent="0.2">
      <c r="A362">
        <v>361</v>
      </c>
      <c r="B362" s="3">
        <v>40559</v>
      </c>
      <c r="C362">
        <v>1</v>
      </c>
      <c r="D362">
        <v>2011</v>
      </c>
      <c r="E362" t="s">
        <v>10</v>
      </c>
      <c r="F362">
        <v>12</v>
      </c>
      <c r="G362" t="b">
        <v>1</v>
      </c>
      <c r="H362" t="s">
        <v>12</v>
      </c>
      <c r="I362">
        <v>1</v>
      </c>
      <c r="J362">
        <v>0.24</v>
      </c>
    </row>
    <row r="363" spans="1:10" x14ac:dyDescent="0.2">
      <c r="A363">
        <v>362</v>
      </c>
      <c r="B363" s="3">
        <v>40559</v>
      </c>
      <c r="C363">
        <v>1</v>
      </c>
      <c r="D363">
        <v>2011</v>
      </c>
      <c r="E363" t="s">
        <v>10</v>
      </c>
      <c r="F363">
        <v>13</v>
      </c>
      <c r="G363" t="b">
        <v>1</v>
      </c>
      <c r="H363" t="s">
        <v>12</v>
      </c>
      <c r="I363">
        <v>1</v>
      </c>
      <c r="J363">
        <v>0.26</v>
      </c>
    </row>
    <row r="364" spans="1:10" x14ac:dyDescent="0.2">
      <c r="A364">
        <v>363</v>
      </c>
      <c r="B364" s="3">
        <v>40559</v>
      </c>
      <c r="C364">
        <v>1</v>
      </c>
      <c r="D364">
        <v>2011</v>
      </c>
      <c r="E364" t="s">
        <v>10</v>
      </c>
      <c r="F364">
        <v>14</v>
      </c>
      <c r="G364" t="b">
        <v>1</v>
      </c>
      <c r="H364" t="s">
        <v>12</v>
      </c>
      <c r="I364">
        <v>1</v>
      </c>
      <c r="J364">
        <v>0.28000000000000003</v>
      </c>
    </row>
    <row r="365" spans="1:10" x14ac:dyDescent="0.2">
      <c r="A365">
        <v>364</v>
      </c>
      <c r="B365" s="3">
        <v>40559</v>
      </c>
      <c r="C365">
        <v>1</v>
      </c>
      <c r="D365">
        <v>2011</v>
      </c>
      <c r="E365" t="s">
        <v>10</v>
      </c>
      <c r="F365">
        <v>15</v>
      </c>
      <c r="G365" t="b">
        <v>1</v>
      </c>
      <c r="H365" t="s">
        <v>12</v>
      </c>
      <c r="I365">
        <v>1</v>
      </c>
      <c r="J365">
        <v>0.26</v>
      </c>
    </row>
    <row r="366" spans="1:10" x14ac:dyDescent="0.2">
      <c r="A366">
        <v>365</v>
      </c>
      <c r="B366" s="3">
        <v>40559</v>
      </c>
      <c r="C366">
        <v>1</v>
      </c>
      <c r="D366">
        <v>2011</v>
      </c>
      <c r="E366" t="s">
        <v>10</v>
      </c>
      <c r="F366">
        <v>16</v>
      </c>
      <c r="G366" t="b">
        <v>1</v>
      </c>
      <c r="H366" t="s">
        <v>12</v>
      </c>
      <c r="I366">
        <v>1</v>
      </c>
      <c r="J366">
        <v>0.24</v>
      </c>
    </row>
    <row r="367" spans="1:10" x14ac:dyDescent="0.2">
      <c r="A367">
        <v>366</v>
      </c>
      <c r="B367" s="3">
        <v>40559</v>
      </c>
      <c r="C367">
        <v>1</v>
      </c>
      <c r="D367">
        <v>2011</v>
      </c>
      <c r="E367" t="s">
        <v>10</v>
      </c>
      <c r="F367">
        <v>17</v>
      </c>
      <c r="G367" t="b">
        <v>1</v>
      </c>
      <c r="H367" t="s">
        <v>12</v>
      </c>
      <c r="I367">
        <v>1</v>
      </c>
      <c r="J367">
        <v>0.22</v>
      </c>
    </row>
    <row r="368" spans="1:10" x14ac:dyDescent="0.2">
      <c r="A368">
        <v>367</v>
      </c>
      <c r="B368" s="3">
        <v>40559</v>
      </c>
      <c r="C368">
        <v>1</v>
      </c>
      <c r="D368">
        <v>2011</v>
      </c>
      <c r="E368" t="s">
        <v>10</v>
      </c>
      <c r="F368">
        <v>18</v>
      </c>
      <c r="G368" t="b">
        <v>1</v>
      </c>
      <c r="H368" t="s">
        <v>12</v>
      </c>
      <c r="I368">
        <v>1</v>
      </c>
      <c r="J368">
        <v>0.2</v>
      </c>
    </row>
    <row r="369" spans="1:10" x14ac:dyDescent="0.2">
      <c r="A369">
        <v>368</v>
      </c>
      <c r="B369" s="3">
        <v>40559</v>
      </c>
      <c r="C369">
        <v>1</v>
      </c>
      <c r="D369">
        <v>2011</v>
      </c>
      <c r="E369" t="s">
        <v>10</v>
      </c>
      <c r="F369">
        <v>19</v>
      </c>
      <c r="G369" t="b">
        <v>1</v>
      </c>
      <c r="H369" t="s">
        <v>12</v>
      </c>
      <c r="I369">
        <v>1</v>
      </c>
      <c r="J369">
        <v>0.18</v>
      </c>
    </row>
    <row r="370" spans="1:10" x14ac:dyDescent="0.2">
      <c r="A370">
        <v>369</v>
      </c>
      <c r="B370" s="3">
        <v>40559</v>
      </c>
      <c r="C370">
        <v>1</v>
      </c>
      <c r="D370">
        <v>2011</v>
      </c>
      <c r="E370" t="s">
        <v>10</v>
      </c>
      <c r="F370">
        <v>20</v>
      </c>
      <c r="G370" t="b">
        <v>1</v>
      </c>
      <c r="H370" t="s">
        <v>12</v>
      </c>
      <c r="I370">
        <v>1</v>
      </c>
      <c r="J370">
        <v>0.18</v>
      </c>
    </row>
    <row r="371" spans="1:10" x14ac:dyDescent="0.2">
      <c r="A371">
        <v>370</v>
      </c>
      <c r="B371" s="3">
        <v>40559</v>
      </c>
      <c r="C371">
        <v>1</v>
      </c>
      <c r="D371">
        <v>2011</v>
      </c>
      <c r="E371" t="s">
        <v>10</v>
      </c>
      <c r="F371">
        <v>21</v>
      </c>
      <c r="G371" t="b">
        <v>1</v>
      </c>
      <c r="H371" t="s">
        <v>12</v>
      </c>
      <c r="I371">
        <v>1</v>
      </c>
      <c r="J371">
        <v>0.18</v>
      </c>
    </row>
    <row r="372" spans="1:10" x14ac:dyDescent="0.2">
      <c r="A372">
        <v>371</v>
      </c>
      <c r="B372" s="3">
        <v>40559</v>
      </c>
      <c r="C372">
        <v>1</v>
      </c>
      <c r="D372">
        <v>2011</v>
      </c>
      <c r="E372" t="s">
        <v>10</v>
      </c>
      <c r="F372">
        <v>22</v>
      </c>
      <c r="G372" t="b">
        <v>1</v>
      </c>
      <c r="H372" t="s">
        <v>12</v>
      </c>
      <c r="I372">
        <v>2</v>
      </c>
      <c r="J372">
        <v>0.2</v>
      </c>
    </row>
    <row r="373" spans="1:10" x14ac:dyDescent="0.2">
      <c r="A373">
        <v>372</v>
      </c>
      <c r="B373" s="3">
        <v>40559</v>
      </c>
      <c r="C373">
        <v>1</v>
      </c>
      <c r="D373">
        <v>2011</v>
      </c>
      <c r="E373" t="s">
        <v>10</v>
      </c>
      <c r="F373">
        <v>23</v>
      </c>
      <c r="G373" t="b">
        <v>1</v>
      </c>
      <c r="H373" t="s">
        <v>12</v>
      </c>
      <c r="I373">
        <v>2</v>
      </c>
      <c r="J373">
        <v>0.2</v>
      </c>
    </row>
    <row r="374" spans="1:10" x14ac:dyDescent="0.2">
      <c r="A374">
        <v>373</v>
      </c>
      <c r="B374" s="3">
        <v>40560</v>
      </c>
      <c r="C374">
        <v>1</v>
      </c>
      <c r="D374">
        <v>2011</v>
      </c>
      <c r="E374" t="s">
        <v>10</v>
      </c>
      <c r="F374">
        <v>0</v>
      </c>
      <c r="G374" t="b">
        <v>0</v>
      </c>
      <c r="H374" t="s">
        <v>13</v>
      </c>
      <c r="I374">
        <v>2</v>
      </c>
      <c r="J374">
        <v>0.2</v>
      </c>
    </row>
    <row r="375" spans="1:10" x14ac:dyDescent="0.2">
      <c r="A375">
        <v>374</v>
      </c>
      <c r="B375" s="3">
        <v>40560</v>
      </c>
      <c r="C375">
        <v>1</v>
      </c>
      <c r="D375">
        <v>2011</v>
      </c>
      <c r="E375" t="s">
        <v>10</v>
      </c>
      <c r="F375">
        <v>1</v>
      </c>
      <c r="G375" t="b">
        <v>0</v>
      </c>
      <c r="H375" t="s">
        <v>13</v>
      </c>
      <c r="I375">
        <v>2</v>
      </c>
      <c r="J375">
        <v>0.2</v>
      </c>
    </row>
    <row r="376" spans="1:10" x14ac:dyDescent="0.2">
      <c r="A376">
        <v>375</v>
      </c>
      <c r="B376" s="3">
        <v>40560</v>
      </c>
      <c r="C376">
        <v>1</v>
      </c>
      <c r="D376">
        <v>2011</v>
      </c>
      <c r="E376" t="s">
        <v>10</v>
      </c>
      <c r="F376">
        <v>2</v>
      </c>
      <c r="G376" t="b">
        <v>0</v>
      </c>
      <c r="H376" t="s">
        <v>13</v>
      </c>
      <c r="I376">
        <v>2</v>
      </c>
      <c r="J376">
        <v>0.18</v>
      </c>
    </row>
    <row r="377" spans="1:10" x14ac:dyDescent="0.2">
      <c r="A377">
        <v>376</v>
      </c>
      <c r="B377" s="3">
        <v>40560</v>
      </c>
      <c r="C377">
        <v>1</v>
      </c>
      <c r="D377">
        <v>2011</v>
      </c>
      <c r="E377" t="s">
        <v>10</v>
      </c>
      <c r="F377">
        <v>3</v>
      </c>
      <c r="G377" t="b">
        <v>0</v>
      </c>
      <c r="H377" t="s">
        <v>13</v>
      </c>
      <c r="I377">
        <v>2</v>
      </c>
      <c r="J377">
        <v>0.18</v>
      </c>
    </row>
    <row r="378" spans="1:10" x14ac:dyDescent="0.2">
      <c r="A378">
        <v>377</v>
      </c>
      <c r="B378" s="3">
        <v>40560</v>
      </c>
      <c r="C378">
        <v>1</v>
      </c>
      <c r="D378">
        <v>2011</v>
      </c>
      <c r="E378" t="s">
        <v>10</v>
      </c>
      <c r="F378">
        <v>4</v>
      </c>
      <c r="G378" t="b">
        <v>0</v>
      </c>
      <c r="H378" t="s">
        <v>13</v>
      </c>
      <c r="I378">
        <v>2</v>
      </c>
      <c r="J378">
        <v>0.18</v>
      </c>
    </row>
    <row r="379" spans="1:10" x14ac:dyDescent="0.2">
      <c r="A379">
        <v>378</v>
      </c>
      <c r="B379" s="3">
        <v>40560</v>
      </c>
      <c r="C379">
        <v>1</v>
      </c>
      <c r="D379">
        <v>2011</v>
      </c>
      <c r="E379" t="s">
        <v>10</v>
      </c>
      <c r="F379">
        <v>5</v>
      </c>
      <c r="G379" t="b">
        <v>0</v>
      </c>
      <c r="H379" t="s">
        <v>13</v>
      </c>
      <c r="I379">
        <v>2</v>
      </c>
      <c r="J379">
        <v>0.18</v>
      </c>
    </row>
    <row r="380" spans="1:10" x14ac:dyDescent="0.2">
      <c r="A380">
        <v>379</v>
      </c>
      <c r="B380" s="3">
        <v>40560</v>
      </c>
      <c r="C380">
        <v>1</v>
      </c>
      <c r="D380">
        <v>2011</v>
      </c>
      <c r="E380" t="s">
        <v>10</v>
      </c>
      <c r="F380">
        <v>6</v>
      </c>
      <c r="G380" t="b">
        <v>0</v>
      </c>
      <c r="H380" t="s">
        <v>13</v>
      </c>
      <c r="I380">
        <v>2</v>
      </c>
      <c r="J380">
        <v>0.18</v>
      </c>
    </row>
    <row r="381" spans="1:10" x14ac:dyDescent="0.2">
      <c r="A381">
        <v>380</v>
      </c>
      <c r="B381" s="3">
        <v>40560</v>
      </c>
      <c r="C381">
        <v>1</v>
      </c>
      <c r="D381">
        <v>2011</v>
      </c>
      <c r="E381" t="s">
        <v>10</v>
      </c>
      <c r="F381">
        <v>7</v>
      </c>
      <c r="G381" t="b">
        <v>0</v>
      </c>
      <c r="H381" t="s">
        <v>13</v>
      </c>
      <c r="I381">
        <v>2</v>
      </c>
      <c r="J381">
        <v>0.16</v>
      </c>
    </row>
    <row r="382" spans="1:10" x14ac:dyDescent="0.2">
      <c r="A382">
        <v>381</v>
      </c>
      <c r="B382" s="3">
        <v>40560</v>
      </c>
      <c r="C382">
        <v>1</v>
      </c>
      <c r="D382">
        <v>2011</v>
      </c>
      <c r="E382" t="s">
        <v>10</v>
      </c>
      <c r="F382">
        <v>8</v>
      </c>
      <c r="G382" t="b">
        <v>0</v>
      </c>
      <c r="H382" t="s">
        <v>13</v>
      </c>
      <c r="I382">
        <v>2</v>
      </c>
      <c r="J382">
        <v>0.16</v>
      </c>
    </row>
    <row r="383" spans="1:10" x14ac:dyDescent="0.2">
      <c r="A383">
        <v>382</v>
      </c>
      <c r="B383" s="3">
        <v>40560</v>
      </c>
      <c r="C383">
        <v>1</v>
      </c>
      <c r="D383">
        <v>2011</v>
      </c>
      <c r="E383" t="s">
        <v>10</v>
      </c>
      <c r="F383">
        <v>9</v>
      </c>
      <c r="G383" t="b">
        <v>0</v>
      </c>
      <c r="H383" t="s">
        <v>13</v>
      </c>
      <c r="I383">
        <v>2</v>
      </c>
      <c r="J383">
        <v>0.16</v>
      </c>
    </row>
    <row r="384" spans="1:10" x14ac:dyDescent="0.2">
      <c r="A384">
        <v>383</v>
      </c>
      <c r="B384" s="3">
        <v>40560</v>
      </c>
      <c r="C384">
        <v>1</v>
      </c>
      <c r="D384">
        <v>2011</v>
      </c>
      <c r="E384" t="s">
        <v>10</v>
      </c>
      <c r="F384">
        <v>10</v>
      </c>
      <c r="G384" t="b">
        <v>0</v>
      </c>
      <c r="H384" t="s">
        <v>13</v>
      </c>
      <c r="I384">
        <v>2</v>
      </c>
      <c r="J384">
        <v>0.16</v>
      </c>
    </row>
    <row r="385" spans="1:10" x14ac:dyDescent="0.2">
      <c r="A385">
        <v>384</v>
      </c>
      <c r="B385" s="3">
        <v>40560</v>
      </c>
      <c r="C385">
        <v>1</v>
      </c>
      <c r="D385">
        <v>2011</v>
      </c>
      <c r="E385" t="s">
        <v>10</v>
      </c>
      <c r="F385">
        <v>11</v>
      </c>
      <c r="G385" t="b">
        <v>0</v>
      </c>
      <c r="H385" t="s">
        <v>13</v>
      </c>
      <c r="I385">
        <v>2</v>
      </c>
      <c r="J385">
        <v>0.16</v>
      </c>
    </row>
    <row r="386" spans="1:10" x14ac:dyDescent="0.2">
      <c r="A386">
        <v>385</v>
      </c>
      <c r="B386" s="3">
        <v>40560</v>
      </c>
      <c r="C386">
        <v>1</v>
      </c>
      <c r="D386">
        <v>2011</v>
      </c>
      <c r="E386" t="s">
        <v>10</v>
      </c>
      <c r="F386">
        <v>12</v>
      </c>
      <c r="G386" t="b">
        <v>0</v>
      </c>
      <c r="H386" t="s">
        <v>13</v>
      </c>
      <c r="I386">
        <v>2</v>
      </c>
      <c r="J386">
        <v>0.18</v>
      </c>
    </row>
    <row r="387" spans="1:10" x14ac:dyDescent="0.2">
      <c r="A387">
        <v>386</v>
      </c>
      <c r="B387" s="3">
        <v>40560</v>
      </c>
      <c r="C387">
        <v>1</v>
      </c>
      <c r="D387">
        <v>2011</v>
      </c>
      <c r="E387" t="s">
        <v>10</v>
      </c>
      <c r="F387">
        <v>13</v>
      </c>
      <c r="G387" t="b">
        <v>0</v>
      </c>
      <c r="H387" t="s">
        <v>13</v>
      </c>
      <c r="I387">
        <v>2</v>
      </c>
      <c r="J387">
        <v>0.18</v>
      </c>
    </row>
    <row r="388" spans="1:10" x14ac:dyDescent="0.2">
      <c r="A388">
        <v>387</v>
      </c>
      <c r="B388" s="3">
        <v>40560</v>
      </c>
      <c r="C388">
        <v>1</v>
      </c>
      <c r="D388">
        <v>2011</v>
      </c>
      <c r="E388" t="s">
        <v>10</v>
      </c>
      <c r="F388">
        <v>14</v>
      </c>
      <c r="G388" t="b">
        <v>0</v>
      </c>
      <c r="H388" t="s">
        <v>13</v>
      </c>
      <c r="I388">
        <v>2</v>
      </c>
      <c r="J388">
        <v>0.18</v>
      </c>
    </row>
    <row r="389" spans="1:10" x14ac:dyDescent="0.2">
      <c r="A389">
        <v>388</v>
      </c>
      <c r="B389" s="3">
        <v>40560</v>
      </c>
      <c r="C389">
        <v>1</v>
      </c>
      <c r="D389">
        <v>2011</v>
      </c>
      <c r="E389" t="s">
        <v>10</v>
      </c>
      <c r="F389">
        <v>15</v>
      </c>
      <c r="G389" t="b">
        <v>0</v>
      </c>
      <c r="H389" t="s">
        <v>13</v>
      </c>
      <c r="I389">
        <v>2</v>
      </c>
      <c r="J389">
        <v>0.2</v>
      </c>
    </row>
    <row r="390" spans="1:10" x14ac:dyDescent="0.2">
      <c r="A390">
        <v>389</v>
      </c>
      <c r="B390" s="3">
        <v>40560</v>
      </c>
      <c r="C390">
        <v>1</v>
      </c>
      <c r="D390">
        <v>2011</v>
      </c>
      <c r="E390" t="s">
        <v>10</v>
      </c>
      <c r="F390">
        <v>16</v>
      </c>
      <c r="G390" t="b">
        <v>0</v>
      </c>
      <c r="H390" t="s">
        <v>13</v>
      </c>
      <c r="I390">
        <v>2</v>
      </c>
      <c r="J390">
        <v>0.2</v>
      </c>
    </row>
    <row r="391" spans="1:10" x14ac:dyDescent="0.2">
      <c r="A391">
        <v>390</v>
      </c>
      <c r="B391" s="3">
        <v>40560</v>
      </c>
      <c r="C391">
        <v>1</v>
      </c>
      <c r="D391">
        <v>2011</v>
      </c>
      <c r="E391" t="s">
        <v>10</v>
      </c>
      <c r="F391">
        <v>17</v>
      </c>
      <c r="G391" t="b">
        <v>0</v>
      </c>
      <c r="H391" t="s">
        <v>13</v>
      </c>
      <c r="I391">
        <v>1</v>
      </c>
      <c r="J391">
        <v>0.2</v>
      </c>
    </row>
    <row r="392" spans="1:10" x14ac:dyDescent="0.2">
      <c r="A392">
        <v>391</v>
      </c>
      <c r="B392" s="3">
        <v>40560</v>
      </c>
      <c r="C392">
        <v>1</v>
      </c>
      <c r="D392">
        <v>2011</v>
      </c>
      <c r="E392" t="s">
        <v>10</v>
      </c>
      <c r="F392">
        <v>18</v>
      </c>
      <c r="G392" t="b">
        <v>0</v>
      </c>
      <c r="H392" t="s">
        <v>13</v>
      </c>
      <c r="I392">
        <v>2</v>
      </c>
      <c r="J392">
        <v>0.18</v>
      </c>
    </row>
    <row r="393" spans="1:10" x14ac:dyDescent="0.2">
      <c r="A393">
        <v>392</v>
      </c>
      <c r="B393" s="3">
        <v>40560</v>
      </c>
      <c r="C393">
        <v>1</v>
      </c>
      <c r="D393">
        <v>2011</v>
      </c>
      <c r="E393" t="s">
        <v>10</v>
      </c>
      <c r="F393">
        <v>19</v>
      </c>
      <c r="G393" t="b">
        <v>0</v>
      </c>
      <c r="H393" t="s">
        <v>13</v>
      </c>
      <c r="I393">
        <v>3</v>
      </c>
      <c r="J393">
        <v>0.18</v>
      </c>
    </row>
    <row r="394" spans="1:10" x14ac:dyDescent="0.2">
      <c r="A394">
        <v>393</v>
      </c>
      <c r="B394" s="3">
        <v>40560</v>
      </c>
      <c r="C394">
        <v>1</v>
      </c>
      <c r="D394">
        <v>2011</v>
      </c>
      <c r="E394" t="s">
        <v>10</v>
      </c>
      <c r="F394">
        <v>20</v>
      </c>
      <c r="G394" t="b">
        <v>0</v>
      </c>
      <c r="H394" t="s">
        <v>13</v>
      </c>
      <c r="I394">
        <v>3</v>
      </c>
      <c r="J394">
        <v>0.16</v>
      </c>
    </row>
    <row r="395" spans="1:10" x14ac:dyDescent="0.2">
      <c r="A395">
        <v>394</v>
      </c>
      <c r="B395" s="3">
        <v>40560</v>
      </c>
      <c r="C395">
        <v>1</v>
      </c>
      <c r="D395">
        <v>2011</v>
      </c>
      <c r="E395" t="s">
        <v>10</v>
      </c>
      <c r="F395">
        <v>21</v>
      </c>
      <c r="G395" t="b">
        <v>0</v>
      </c>
      <c r="H395" t="s">
        <v>13</v>
      </c>
      <c r="I395">
        <v>3</v>
      </c>
      <c r="J395">
        <v>0.16</v>
      </c>
    </row>
    <row r="396" spans="1:10" x14ac:dyDescent="0.2">
      <c r="A396">
        <v>395</v>
      </c>
      <c r="B396" s="3">
        <v>40560</v>
      </c>
      <c r="C396">
        <v>1</v>
      </c>
      <c r="D396">
        <v>2011</v>
      </c>
      <c r="E396" t="s">
        <v>10</v>
      </c>
      <c r="F396">
        <v>22</v>
      </c>
      <c r="G396" t="b">
        <v>0</v>
      </c>
      <c r="H396" t="s">
        <v>13</v>
      </c>
      <c r="I396">
        <v>3</v>
      </c>
      <c r="J396">
        <v>0.14000000000000001</v>
      </c>
    </row>
    <row r="397" spans="1:10" x14ac:dyDescent="0.2">
      <c r="A397">
        <v>396</v>
      </c>
      <c r="B397" s="3">
        <v>40560</v>
      </c>
      <c r="C397">
        <v>1</v>
      </c>
      <c r="D397">
        <v>2011</v>
      </c>
      <c r="E397" t="s">
        <v>10</v>
      </c>
      <c r="F397">
        <v>23</v>
      </c>
      <c r="G397" t="b">
        <v>0</v>
      </c>
      <c r="H397" t="s">
        <v>13</v>
      </c>
      <c r="I397">
        <v>3</v>
      </c>
      <c r="J397">
        <v>0.16</v>
      </c>
    </row>
    <row r="398" spans="1:10" x14ac:dyDescent="0.2">
      <c r="A398">
        <v>397</v>
      </c>
      <c r="B398" s="3">
        <v>40561</v>
      </c>
      <c r="C398">
        <v>1</v>
      </c>
      <c r="D398">
        <v>2011</v>
      </c>
      <c r="E398" t="s">
        <v>10</v>
      </c>
      <c r="F398">
        <v>12</v>
      </c>
      <c r="G398" t="b">
        <v>0</v>
      </c>
      <c r="H398" t="s">
        <v>14</v>
      </c>
      <c r="I398">
        <v>2</v>
      </c>
      <c r="J398">
        <v>0.2</v>
      </c>
    </row>
    <row r="399" spans="1:10" x14ac:dyDescent="0.2">
      <c r="A399">
        <v>398</v>
      </c>
      <c r="B399" s="3">
        <v>40561</v>
      </c>
      <c r="C399">
        <v>1</v>
      </c>
      <c r="D399">
        <v>2011</v>
      </c>
      <c r="E399" t="s">
        <v>10</v>
      </c>
      <c r="F399">
        <v>13</v>
      </c>
      <c r="G399" t="b">
        <v>0</v>
      </c>
      <c r="H399" t="s">
        <v>14</v>
      </c>
      <c r="I399">
        <v>2</v>
      </c>
      <c r="J399">
        <v>0.2</v>
      </c>
    </row>
    <row r="400" spans="1:10" x14ac:dyDescent="0.2">
      <c r="A400">
        <v>399</v>
      </c>
      <c r="B400" s="3">
        <v>40561</v>
      </c>
      <c r="C400">
        <v>1</v>
      </c>
      <c r="D400">
        <v>2011</v>
      </c>
      <c r="E400" t="s">
        <v>10</v>
      </c>
      <c r="F400">
        <v>14</v>
      </c>
      <c r="G400" t="b">
        <v>0</v>
      </c>
      <c r="H400" t="s">
        <v>14</v>
      </c>
      <c r="I400">
        <v>2</v>
      </c>
      <c r="J400">
        <v>0.22</v>
      </c>
    </row>
    <row r="401" spans="1:10" x14ac:dyDescent="0.2">
      <c r="A401">
        <v>400</v>
      </c>
      <c r="B401" s="3">
        <v>40561</v>
      </c>
      <c r="C401">
        <v>1</v>
      </c>
      <c r="D401">
        <v>2011</v>
      </c>
      <c r="E401" t="s">
        <v>10</v>
      </c>
      <c r="F401">
        <v>15</v>
      </c>
      <c r="G401" t="b">
        <v>0</v>
      </c>
      <c r="H401" t="s">
        <v>14</v>
      </c>
      <c r="I401">
        <v>2</v>
      </c>
      <c r="J401">
        <v>0.22</v>
      </c>
    </row>
    <row r="402" spans="1:10" x14ac:dyDescent="0.2">
      <c r="A402">
        <v>401</v>
      </c>
      <c r="B402" s="3">
        <v>40561</v>
      </c>
      <c r="C402">
        <v>1</v>
      </c>
      <c r="D402">
        <v>2011</v>
      </c>
      <c r="E402" t="s">
        <v>10</v>
      </c>
      <c r="F402">
        <v>16</v>
      </c>
      <c r="G402" t="b">
        <v>0</v>
      </c>
      <c r="H402" t="s">
        <v>14</v>
      </c>
      <c r="I402">
        <v>2</v>
      </c>
      <c r="J402">
        <v>0.22</v>
      </c>
    </row>
    <row r="403" spans="1:10" x14ac:dyDescent="0.2">
      <c r="A403">
        <v>402</v>
      </c>
      <c r="B403" s="3">
        <v>40561</v>
      </c>
      <c r="C403">
        <v>1</v>
      </c>
      <c r="D403">
        <v>2011</v>
      </c>
      <c r="E403" t="s">
        <v>10</v>
      </c>
      <c r="F403">
        <v>17</v>
      </c>
      <c r="G403" t="b">
        <v>0</v>
      </c>
      <c r="H403" t="s">
        <v>14</v>
      </c>
      <c r="I403">
        <v>2</v>
      </c>
      <c r="J403">
        <v>0.22</v>
      </c>
    </row>
    <row r="404" spans="1:10" x14ac:dyDescent="0.2">
      <c r="A404">
        <v>403</v>
      </c>
      <c r="B404" s="3">
        <v>40561</v>
      </c>
      <c r="C404">
        <v>1</v>
      </c>
      <c r="D404">
        <v>2011</v>
      </c>
      <c r="E404" t="s">
        <v>10</v>
      </c>
      <c r="F404">
        <v>18</v>
      </c>
      <c r="G404" t="b">
        <v>0</v>
      </c>
      <c r="H404" t="s">
        <v>14</v>
      </c>
      <c r="I404">
        <v>2</v>
      </c>
      <c r="J404">
        <v>0.22</v>
      </c>
    </row>
    <row r="405" spans="1:10" x14ac:dyDescent="0.2">
      <c r="A405">
        <v>404</v>
      </c>
      <c r="B405" s="3">
        <v>40561</v>
      </c>
      <c r="C405">
        <v>1</v>
      </c>
      <c r="D405">
        <v>2011</v>
      </c>
      <c r="E405" t="s">
        <v>10</v>
      </c>
      <c r="F405">
        <v>19</v>
      </c>
      <c r="G405" t="b">
        <v>0</v>
      </c>
      <c r="H405" t="s">
        <v>14</v>
      </c>
      <c r="I405">
        <v>2</v>
      </c>
      <c r="J405">
        <v>0.22</v>
      </c>
    </row>
    <row r="406" spans="1:10" x14ac:dyDescent="0.2">
      <c r="A406">
        <v>405</v>
      </c>
      <c r="B406" s="3">
        <v>40561</v>
      </c>
      <c r="C406">
        <v>1</v>
      </c>
      <c r="D406">
        <v>2011</v>
      </c>
      <c r="E406" t="s">
        <v>10</v>
      </c>
      <c r="F406">
        <v>20</v>
      </c>
      <c r="G406" t="b">
        <v>0</v>
      </c>
      <c r="H406" t="s">
        <v>14</v>
      </c>
      <c r="I406">
        <v>2</v>
      </c>
      <c r="J406">
        <v>0.22</v>
      </c>
    </row>
    <row r="407" spans="1:10" x14ac:dyDescent="0.2">
      <c r="A407">
        <v>406</v>
      </c>
      <c r="B407" s="3">
        <v>40561</v>
      </c>
      <c r="C407">
        <v>1</v>
      </c>
      <c r="D407">
        <v>2011</v>
      </c>
      <c r="E407" t="s">
        <v>10</v>
      </c>
      <c r="F407">
        <v>21</v>
      </c>
      <c r="G407" t="b">
        <v>0</v>
      </c>
      <c r="H407" t="s">
        <v>14</v>
      </c>
      <c r="I407">
        <v>2</v>
      </c>
      <c r="J407">
        <v>0.22</v>
      </c>
    </row>
    <row r="408" spans="1:10" x14ac:dyDescent="0.2">
      <c r="A408">
        <v>407</v>
      </c>
      <c r="B408" s="3">
        <v>40561</v>
      </c>
      <c r="C408">
        <v>1</v>
      </c>
      <c r="D408">
        <v>2011</v>
      </c>
      <c r="E408" t="s">
        <v>10</v>
      </c>
      <c r="F408">
        <v>22</v>
      </c>
      <c r="G408" t="b">
        <v>0</v>
      </c>
      <c r="H408" t="s">
        <v>14</v>
      </c>
      <c r="I408">
        <v>2</v>
      </c>
      <c r="J408">
        <v>0.22</v>
      </c>
    </row>
    <row r="409" spans="1:10" x14ac:dyDescent="0.2">
      <c r="A409">
        <v>408</v>
      </c>
      <c r="B409" s="3">
        <v>40561</v>
      </c>
      <c r="C409">
        <v>1</v>
      </c>
      <c r="D409">
        <v>2011</v>
      </c>
      <c r="E409" t="s">
        <v>10</v>
      </c>
      <c r="F409">
        <v>23</v>
      </c>
      <c r="G409" t="b">
        <v>0</v>
      </c>
      <c r="H409" t="s">
        <v>14</v>
      </c>
      <c r="I409">
        <v>2</v>
      </c>
      <c r="J409">
        <v>0.22</v>
      </c>
    </row>
    <row r="410" spans="1:10" x14ac:dyDescent="0.2">
      <c r="A410">
        <v>409</v>
      </c>
      <c r="B410" s="3">
        <v>40562</v>
      </c>
      <c r="C410">
        <v>1</v>
      </c>
      <c r="D410">
        <v>2011</v>
      </c>
      <c r="E410" t="s">
        <v>10</v>
      </c>
      <c r="F410">
        <v>0</v>
      </c>
      <c r="G410" t="b">
        <v>0</v>
      </c>
      <c r="H410" t="s">
        <v>15</v>
      </c>
      <c r="I410">
        <v>2</v>
      </c>
      <c r="J410">
        <v>0.22</v>
      </c>
    </row>
    <row r="411" spans="1:10" x14ac:dyDescent="0.2">
      <c r="A411">
        <v>410</v>
      </c>
      <c r="B411" s="3">
        <v>40562</v>
      </c>
      <c r="C411">
        <v>1</v>
      </c>
      <c r="D411">
        <v>2011</v>
      </c>
      <c r="E411" t="s">
        <v>10</v>
      </c>
      <c r="F411">
        <v>1</v>
      </c>
      <c r="G411" t="b">
        <v>0</v>
      </c>
      <c r="H411" t="s">
        <v>15</v>
      </c>
      <c r="I411">
        <v>3</v>
      </c>
      <c r="J411">
        <v>0.22</v>
      </c>
    </row>
    <row r="412" spans="1:10" x14ac:dyDescent="0.2">
      <c r="A412">
        <v>411</v>
      </c>
      <c r="B412" s="3">
        <v>40562</v>
      </c>
      <c r="C412">
        <v>1</v>
      </c>
      <c r="D412">
        <v>2011</v>
      </c>
      <c r="E412" t="s">
        <v>10</v>
      </c>
      <c r="F412">
        <v>2</v>
      </c>
      <c r="G412" t="b">
        <v>0</v>
      </c>
      <c r="H412" t="s">
        <v>15</v>
      </c>
      <c r="I412">
        <v>3</v>
      </c>
      <c r="J412">
        <v>0.22</v>
      </c>
    </row>
    <row r="413" spans="1:10" x14ac:dyDescent="0.2">
      <c r="A413">
        <v>412</v>
      </c>
      <c r="B413" s="3">
        <v>40562</v>
      </c>
      <c r="C413">
        <v>1</v>
      </c>
      <c r="D413">
        <v>2011</v>
      </c>
      <c r="E413" t="s">
        <v>10</v>
      </c>
      <c r="F413">
        <v>4</v>
      </c>
      <c r="G413" t="b">
        <v>0</v>
      </c>
      <c r="H413" t="s">
        <v>15</v>
      </c>
      <c r="I413">
        <v>3</v>
      </c>
      <c r="J413">
        <v>0.22</v>
      </c>
    </row>
    <row r="414" spans="1:10" x14ac:dyDescent="0.2">
      <c r="A414">
        <v>413</v>
      </c>
      <c r="B414" s="3">
        <v>40562</v>
      </c>
      <c r="C414">
        <v>1</v>
      </c>
      <c r="D414">
        <v>2011</v>
      </c>
      <c r="E414" t="s">
        <v>10</v>
      </c>
      <c r="F414">
        <v>5</v>
      </c>
      <c r="G414" t="b">
        <v>0</v>
      </c>
      <c r="H414" t="s">
        <v>15</v>
      </c>
      <c r="I414">
        <v>2</v>
      </c>
      <c r="J414">
        <v>0.22</v>
      </c>
    </row>
    <row r="415" spans="1:10" x14ac:dyDescent="0.2">
      <c r="A415">
        <v>414</v>
      </c>
      <c r="B415" s="3">
        <v>40562</v>
      </c>
      <c r="C415">
        <v>1</v>
      </c>
      <c r="D415">
        <v>2011</v>
      </c>
      <c r="E415" t="s">
        <v>10</v>
      </c>
      <c r="F415">
        <v>6</v>
      </c>
      <c r="G415" t="b">
        <v>0</v>
      </c>
      <c r="H415" t="s">
        <v>15</v>
      </c>
      <c r="I415">
        <v>2</v>
      </c>
      <c r="J415">
        <v>0.22</v>
      </c>
    </row>
    <row r="416" spans="1:10" x14ac:dyDescent="0.2">
      <c r="A416">
        <v>415</v>
      </c>
      <c r="B416" s="3">
        <v>40562</v>
      </c>
      <c r="C416">
        <v>1</v>
      </c>
      <c r="D416">
        <v>2011</v>
      </c>
      <c r="E416" t="s">
        <v>10</v>
      </c>
      <c r="F416">
        <v>7</v>
      </c>
      <c r="G416" t="b">
        <v>0</v>
      </c>
      <c r="H416" t="s">
        <v>15</v>
      </c>
      <c r="I416">
        <v>2</v>
      </c>
      <c r="J416">
        <v>0.24</v>
      </c>
    </row>
    <row r="417" spans="1:10" x14ac:dyDescent="0.2">
      <c r="A417">
        <v>416</v>
      </c>
      <c r="B417" s="3">
        <v>40562</v>
      </c>
      <c r="C417">
        <v>1</v>
      </c>
      <c r="D417">
        <v>2011</v>
      </c>
      <c r="E417" t="s">
        <v>10</v>
      </c>
      <c r="F417">
        <v>8</v>
      </c>
      <c r="G417" t="b">
        <v>0</v>
      </c>
      <c r="H417" t="s">
        <v>15</v>
      </c>
      <c r="I417">
        <v>2</v>
      </c>
      <c r="J417">
        <v>0.24</v>
      </c>
    </row>
    <row r="418" spans="1:10" x14ac:dyDescent="0.2">
      <c r="A418">
        <v>417</v>
      </c>
      <c r="B418" s="3">
        <v>40562</v>
      </c>
      <c r="C418">
        <v>1</v>
      </c>
      <c r="D418">
        <v>2011</v>
      </c>
      <c r="E418" t="s">
        <v>10</v>
      </c>
      <c r="F418">
        <v>9</v>
      </c>
      <c r="G418" t="b">
        <v>0</v>
      </c>
      <c r="H418" t="s">
        <v>15</v>
      </c>
      <c r="I418">
        <v>2</v>
      </c>
      <c r="J418">
        <v>0.24</v>
      </c>
    </row>
    <row r="419" spans="1:10" x14ac:dyDescent="0.2">
      <c r="A419">
        <v>418</v>
      </c>
      <c r="B419" s="3">
        <v>40562</v>
      </c>
      <c r="C419">
        <v>1</v>
      </c>
      <c r="D419">
        <v>2011</v>
      </c>
      <c r="E419" t="s">
        <v>10</v>
      </c>
      <c r="F419">
        <v>10</v>
      </c>
      <c r="G419" t="b">
        <v>0</v>
      </c>
      <c r="H419" t="s">
        <v>15</v>
      </c>
      <c r="I419">
        <v>2</v>
      </c>
      <c r="J419">
        <v>0.26</v>
      </c>
    </row>
    <row r="420" spans="1:10" x14ac:dyDescent="0.2">
      <c r="A420">
        <v>419</v>
      </c>
      <c r="B420" s="3">
        <v>40562</v>
      </c>
      <c r="C420">
        <v>1</v>
      </c>
      <c r="D420">
        <v>2011</v>
      </c>
      <c r="E420" t="s">
        <v>10</v>
      </c>
      <c r="F420">
        <v>11</v>
      </c>
      <c r="G420" t="b">
        <v>0</v>
      </c>
      <c r="H420" t="s">
        <v>15</v>
      </c>
      <c r="I420">
        <v>2</v>
      </c>
      <c r="J420">
        <v>0.28000000000000003</v>
      </c>
    </row>
    <row r="421" spans="1:10" x14ac:dyDescent="0.2">
      <c r="A421">
        <v>420</v>
      </c>
      <c r="B421" s="3">
        <v>40562</v>
      </c>
      <c r="C421">
        <v>1</v>
      </c>
      <c r="D421">
        <v>2011</v>
      </c>
      <c r="E421" t="s">
        <v>10</v>
      </c>
      <c r="F421">
        <v>12</v>
      </c>
      <c r="G421" t="b">
        <v>0</v>
      </c>
      <c r="H421" t="s">
        <v>15</v>
      </c>
      <c r="I421">
        <v>2</v>
      </c>
      <c r="J421">
        <v>0.3</v>
      </c>
    </row>
    <row r="422" spans="1:10" x14ac:dyDescent="0.2">
      <c r="A422">
        <v>421</v>
      </c>
      <c r="B422" s="3">
        <v>40562</v>
      </c>
      <c r="C422">
        <v>1</v>
      </c>
      <c r="D422">
        <v>2011</v>
      </c>
      <c r="E422" t="s">
        <v>10</v>
      </c>
      <c r="F422">
        <v>13</v>
      </c>
      <c r="G422" t="b">
        <v>0</v>
      </c>
      <c r="H422" t="s">
        <v>15</v>
      </c>
      <c r="I422">
        <v>1</v>
      </c>
      <c r="J422">
        <v>0.4</v>
      </c>
    </row>
    <row r="423" spans="1:10" x14ac:dyDescent="0.2">
      <c r="A423">
        <v>422</v>
      </c>
      <c r="B423" s="3">
        <v>40562</v>
      </c>
      <c r="C423">
        <v>1</v>
      </c>
      <c r="D423">
        <v>2011</v>
      </c>
      <c r="E423" t="s">
        <v>10</v>
      </c>
      <c r="F423">
        <v>14</v>
      </c>
      <c r="G423" t="b">
        <v>0</v>
      </c>
      <c r="H423" t="s">
        <v>15</v>
      </c>
      <c r="I423">
        <v>1</v>
      </c>
      <c r="J423">
        <v>0.4</v>
      </c>
    </row>
    <row r="424" spans="1:10" x14ac:dyDescent="0.2">
      <c r="A424">
        <v>423</v>
      </c>
      <c r="B424" s="3">
        <v>40562</v>
      </c>
      <c r="C424">
        <v>1</v>
      </c>
      <c r="D424">
        <v>2011</v>
      </c>
      <c r="E424" t="s">
        <v>10</v>
      </c>
      <c r="F424">
        <v>15</v>
      </c>
      <c r="G424" t="b">
        <v>0</v>
      </c>
      <c r="H424" t="s">
        <v>15</v>
      </c>
      <c r="I424">
        <v>1</v>
      </c>
      <c r="J424">
        <v>0.4</v>
      </c>
    </row>
    <row r="425" spans="1:10" x14ac:dyDescent="0.2">
      <c r="A425">
        <v>424</v>
      </c>
      <c r="B425" s="3">
        <v>40562</v>
      </c>
      <c r="C425">
        <v>1</v>
      </c>
      <c r="D425">
        <v>2011</v>
      </c>
      <c r="E425" t="s">
        <v>10</v>
      </c>
      <c r="F425">
        <v>16</v>
      </c>
      <c r="G425" t="b">
        <v>0</v>
      </c>
      <c r="H425" t="s">
        <v>15</v>
      </c>
      <c r="I425">
        <v>1</v>
      </c>
      <c r="J425">
        <v>0.38</v>
      </c>
    </row>
    <row r="426" spans="1:10" x14ac:dyDescent="0.2">
      <c r="A426">
        <v>425</v>
      </c>
      <c r="B426" s="3">
        <v>40562</v>
      </c>
      <c r="C426">
        <v>1</v>
      </c>
      <c r="D426">
        <v>2011</v>
      </c>
      <c r="E426" t="s">
        <v>10</v>
      </c>
      <c r="F426">
        <v>17</v>
      </c>
      <c r="G426" t="b">
        <v>0</v>
      </c>
      <c r="H426" t="s">
        <v>15</v>
      </c>
      <c r="I426">
        <v>1</v>
      </c>
      <c r="J426">
        <v>0.36</v>
      </c>
    </row>
    <row r="427" spans="1:10" x14ac:dyDescent="0.2">
      <c r="A427">
        <v>426</v>
      </c>
      <c r="B427" s="3">
        <v>40562</v>
      </c>
      <c r="C427">
        <v>1</v>
      </c>
      <c r="D427">
        <v>2011</v>
      </c>
      <c r="E427" t="s">
        <v>10</v>
      </c>
      <c r="F427">
        <v>18</v>
      </c>
      <c r="G427" t="b">
        <v>0</v>
      </c>
      <c r="H427" t="s">
        <v>15</v>
      </c>
      <c r="I427">
        <v>1</v>
      </c>
      <c r="J427">
        <v>0.34</v>
      </c>
    </row>
    <row r="428" spans="1:10" x14ac:dyDescent="0.2">
      <c r="A428">
        <v>427</v>
      </c>
      <c r="B428" s="3">
        <v>40562</v>
      </c>
      <c r="C428">
        <v>1</v>
      </c>
      <c r="D428">
        <v>2011</v>
      </c>
      <c r="E428" t="s">
        <v>10</v>
      </c>
      <c r="F428">
        <v>19</v>
      </c>
      <c r="G428" t="b">
        <v>0</v>
      </c>
      <c r="H428" t="s">
        <v>15</v>
      </c>
      <c r="I428">
        <v>1</v>
      </c>
      <c r="J428">
        <v>0.32</v>
      </c>
    </row>
    <row r="429" spans="1:10" x14ac:dyDescent="0.2">
      <c r="A429">
        <v>428</v>
      </c>
      <c r="B429" s="3">
        <v>40562</v>
      </c>
      <c r="C429">
        <v>1</v>
      </c>
      <c r="D429">
        <v>2011</v>
      </c>
      <c r="E429" t="s">
        <v>10</v>
      </c>
      <c r="F429">
        <v>20</v>
      </c>
      <c r="G429" t="b">
        <v>0</v>
      </c>
      <c r="H429" t="s">
        <v>15</v>
      </c>
      <c r="I429">
        <v>1</v>
      </c>
      <c r="J429">
        <v>0.32</v>
      </c>
    </row>
    <row r="430" spans="1:10" x14ac:dyDescent="0.2">
      <c r="A430">
        <v>429</v>
      </c>
      <c r="B430" s="3">
        <v>40562</v>
      </c>
      <c r="C430">
        <v>1</v>
      </c>
      <c r="D430">
        <v>2011</v>
      </c>
      <c r="E430" t="s">
        <v>10</v>
      </c>
      <c r="F430">
        <v>21</v>
      </c>
      <c r="G430" t="b">
        <v>0</v>
      </c>
      <c r="H430" t="s">
        <v>15</v>
      </c>
      <c r="I430">
        <v>1</v>
      </c>
      <c r="J430">
        <v>0.32</v>
      </c>
    </row>
    <row r="431" spans="1:10" x14ac:dyDescent="0.2">
      <c r="A431">
        <v>430</v>
      </c>
      <c r="B431" s="3">
        <v>40562</v>
      </c>
      <c r="C431">
        <v>1</v>
      </c>
      <c r="D431">
        <v>2011</v>
      </c>
      <c r="E431" t="s">
        <v>10</v>
      </c>
      <c r="F431">
        <v>22</v>
      </c>
      <c r="G431" t="b">
        <v>0</v>
      </c>
      <c r="H431" t="s">
        <v>15</v>
      </c>
      <c r="I431">
        <v>1</v>
      </c>
      <c r="J431">
        <v>0.3</v>
      </c>
    </row>
    <row r="432" spans="1:10" x14ac:dyDescent="0.2">
      <c r="A432">
        <v>431</v>
      </c>
      <c r="B432" s="3">
        <v>40562</v>
      </c>
      <c r="C432">
        <v>1</v>
      </c>
      <c r="D432">
        <v>2011</v>
      </c>
      <c r="E432" t="s">
        <v>10</v>
      </c>
      <c r="F432">
        <v>23</v>
      </c>
      <c r="G432" t="b">
        <v>0</v>
      </c>
      <c r="H432" t="s">
        <v>15</v>
      </c>
      <c r="I432">
        <v>1</v>
      </c>
      <c r="J432">
        <v>0.3</v>
      </c>
    </row>
    <row r="433" spans="1:10" x14ac:dyDescent="0.2">
      <c r="A433">
        <v>432</v>
      </c>
      <c r="B433" s="3">
        <v>40563</v>
      </c>
      <c r="C433">
        <v>1</v>
      </c>
      <c r="D433">
        <v>2011</v>
      </c>
      <c r="E433" t="s">
        <v>10</v>
      </c>
      <c r="F433">
        <v>0</v>
      </c>
      <c r="G433" t="b">
        <v>0</v>
      </c>
      <c r="H433" t="s">
        <v>16</v>
      </c>
      <c r="I433">
        <v>1</v>
      </c>
      <c r="J433">
        <v>0.26</v>
      </c>
    </row>
    <row r="434" spans="1:10" x14ac:dyDescent="0.2">
      <c r="A434">
        <v>433</v>
      </c>
      <c r="B434" s="3">
        <v>40563</v>
      </c>
      <c r="C434">
        <v>1</v>
      </c>
      <c r="D434">
        <v>2011</v>
      </c>
      <c r="E434" t="s">
        <v>10</v>
      </c>
      <c r="F434">
        <v>1</v>
      </c>
      <c r="G434" t="b">
        <v>0</v>
      </c>
      <c r="H434" t="s">
        <v>16</v>
      </c>
      <c r="I434">
        <v>1</v>
      </c>
      <c r="J434">
        <v>0.26</v>
      </c>
    </row>
    <row r="435" spans="1:10" x14ac:dyDescent="0.2">
      <c r="A435">
        <v>434</v>
      </c>
      <c r="B435" s="3">
        <v>40563</v>
      </c>
      <c r="C435">
        <v>1</v>
      </c>
      <c r="D435">
        <v>2011</v>
      </c>
      <c r="E435" t="s">
        <v>10</v>
      </c>
      <c r="F435">
        <v>2</v>
      </c>
      <c r="G435" t="b">
        <v>0</v>
      </c>
      <c r="H435" t="s">
        <v>16</v>
      </c>
      <c r="I435">
        <v>1</v>
      </c>
      <c r="J435">
        <v>0.26</v>
      </c>
    </row>
    <row r="436" spans="1:10" x14ac:dyDescent="0.2">
      <c r="A436">
        <v>435</v>
      </c>
      <c r="B436" s="3">
        <v>40563</v>
      </c>
      <c r="C436">
        <v>1</v>
      </c>
      <c r="D436">
        <v>2011</v>
      </c>
      <c r="E436" t="s">
        <v>10</v>
      </c>
      <c r="F436">
        <v>3</v>
      </c>
      <c r="G436" t="b">
        <v>0</v>
      </c>
      <c r="H436" t="s">
        <v>16</v>
      </c>
      <c r="I436">
        <v>1</v>
      </c>
      <c r="J436">
        <v>0.26</v>
      </c>
    </row>
    <row r="437" spans="1:10" x14ac:dyDescent="0.2">
      <c r="A437">
        <v>436</v>
      </c>
      <c r="B437" s="3">
        <v>40563</v>
      </c>
      <c r="C437">
        <v>1</v>
      </c>
      <c r="D437">
        <v>2011</v>
      </c>
      <c r="E437" t="s">
        <v>10</v>
      </c>
      <c r="F437">
        <v>4</v>
      </c>
      <c r="G437" t="b">
        <v>0</v>
      </c>
      <c r="H437" t="s">
        <v>16</v>
      </c>
      <c r="I437">
        <v>1</v>
      </c>
      <c r="J437">
        <v>0.26</v>
      </c>
    </row>
    <row r="438" spans="1:10" x14ac:dyDescent="0.2">
      <c r="A438">
        <v>437</v>
      </c>
      <c r="B438" s="3">
        <v>40563</v>
      </c>
      <c r="C438">
        <v>1</v>
      </c>
      <c r="D438">
        <v>2011</v>
      </c>
      <c r="E438" t="s">
        <v>10</v>
      </c>
      <c r="F438">
        <v>5</v>
      </c>
      <c r="G438" t="b">
        <v>0</v>
      </c>
      <c r="H438" t="s">
        <v>16</v>
      </c>
      <c r="I438">
        <v>1</v>
      </c>
      <c r="J438">
        <v>0.24</v>
      </c>
    </row>
    <row r="439" spans="1:10" x14ac:dyDescent="0.2">
      <c r="A439">
        <v>438</v>
      </c>
      <c r="B439" s="3">
        <v>40563</v>
      </c>
      <c r="C439">
        <v>1</v>
      </c>
      <c r="D439">
        <v>2011</v>
      </c>
      <c r="E439" t="s">
        <v>10</v>
      </c>
      <c r="F439">
        <v>6</v>
      </c>
      <c r="G439" t="b">
        <v>0</v>
      </c>
      <c r="H439" t="s">
        <v>16</v>
      </c>
      <c r="I439">
        <v>1</v>
      </c>
      <c r="J439">
        <v>0.22</v>
      </c>
    </row>
    <row r="440" spans="1:10" x14ac:dyDescent="0.2">
      <c r="A440">
        <v>439</v>
      </c>
      <c r="B440" s="3">
        <v>40563</v>
      </c>
      <c r="C440">
        <v>1</v>
      </c>
      <c r="D440">
        <v>2011</v>
      </c>
      <c r="E440" t="s">
        <v>10</v>
      </c>
      <c r="F440">
        <v>7</v>
      </c>
      <c r="G440" t="b">
        <v>0</v>
      </c>
      <c r="H440" t="s">
        <v>16</v>
      </c>
      <c r="I440">
        <v>1</v>
      </c>
      <c r="J440">
        <v>0.22</v>
      </c>
    </row>
    <row r="441" spans="1:10" x14ac:dyDescent="0.2">
      <c r="A441">
        <v>440</v>
      </c>
      <c r="B441" s="3">
        <v>40563</v>
      </c>
      <c r="C441">
        <v>1</v>
      </c>
      <c r="D441">
        <v>2011</v>
      </c>
      <c r="E441" t="s">
        <v>10</v>
      </c>
      <c r="F441">
        <v>8</v>
      </c>
      <c r="G441" t="b">
        <v>0</v>
      </c>
      <c r="H441" t="s">
        <v>16</v>
      </c>
      <c r="I441">
        <v>1</v>
      </c>
      <c r="J441">
        <v>0.22</v>
      </c>
    </row>
    <row r="442" spans="1:10" x14ac:dyDescent="0.2">
      <c r="A442">
        <v>441</v>
      </c>
      <c r="B442" s="3">
        <v>40563</v>
      </c>
      <c r="C442">
        <v>1</v>
      </c>
      <c r="D442">
        <v>2011</v>
      </c>
      <c r="E442" t="s">
        <v>10</v>
      </c>
      <c r="F442">
        <v>9</v>
      </c>
      <c r="G442" t="b">
        <v>0</v>
      </c>
      <c r="H442" t="s">
        <v>16</v>
      </c>
      <c r="I442">
        <v>2</v>
      </c>
      <c r="J442">
        <v>0.24</v>
      </c>
    </row>
    <row r="443" spans="1:10" x14ac:dyDescent="0.2">
      <c r="A443">
        <v>442</v>
      </c>
      <c r="B443" s="3">
        <v>40563</v>
      </c>
      <c r="C443">
        <v>1</v>
      </c>
      <c r="D443">
        <v>2011</v>
      </c>
      <c r="E443" t="s">
        <v>10</v>
      </c>
      <c r="F443">
        <v>10</v>
      </c>
      <c r="G443" t="b">
        <v>0</v>
      </c>
      <c r="H443" t="s">
        <v>16</v>
      </c>
      <c r="I443">
        <v>1</v>
      </c>
      <c r="J443">
        <v>0.26</v>
      </c>
    </row>
    <row r="444" spans="1:10" x14ac:dyDescent="0.2">
      <c r="A444">
        <v>443</v>
      </c>
      <c r="B444" s="3">
        <v>40563</v>
      </c>
      <c r="C444">
        <v>1</v>
      </c>
      <c r="D444">
        <v>2011</v>
      </c>
      <c r="E444" t="s">
        <v>10</v>
      </c>
      <c r="F444">
        <v>11</v>
      </c>
      <c r="G444" t="b">
        <v>0</v>
      </c>
      <c r="H444" t="s">
        <v>16</v>
      </c>
      <c r="I444">
        <v>2</v>
      </c>
      <c r="J444">
        <v>0.28000000000000003</v>
      </c>
    </row>
    <row r="445" spans="1:10" x14ac:dyDescent="0.2">
      <c r="A445">
        <v>444</v>
      </c>
      <c r="B445" s="3">
        <v>40563</v>
      </c>
      <c r="C445">
        <v>1</v>
      </c>
      <c r="D445">
        <v>2011</v>
      </c>
      <c r="E445" t="s">
        <v>10</v>
      </c>
      <c r="F445">
        <v>12</v>
      </c>
      <c r="G445" t="b">
        <v>0</v>
      </c>
      <c r="H445" t="s">
        <v>16</v>
      </c>
      <c r="I445">
        <v>2</v>
      </c>
      <c r="J445">
        <v>0.3</v>
      </c>
    </row>
    <row r="446" spans="1:10" x14ac:dyDescent="0.2">
      <c r="A446">
        <v>445</v>
      </c>
      <c r="B446" s="3">
        <v>40563</v>
      </c>
      <c r="C446">
        <v>1</v>
      </c>
      <c r="D446">
        <v>2011</v>
      </c>
      <c r="E446" t="s">
        <v>10</v>
      </c>
      <c r="F446">
        <v>13</v>
      </c>
      <c r="G446" t="b">
        <v>0</v>
      </c>
      <c r="H446" t="s">
        <v>16</v>
      </c>
      <c r="I446">
        <v>2</v>
      </c>
      <c r="J446">
        <v>0.28000000000000003</v>
      </c>
    </row>
    <row r="447" spans="1:10" x14ac:dyDescent="0.2">
      <c r="A447">
        <v>446</v>
      </c>
      <c r="B447" s="3">
        <v>40563</v>
      </c>
      <c r="C447">
        <v>1</v>
      </c>
      <c r="D447">
        <v>2011</v>
      </c>
      <c r="E447" t="s">
        <v>10</v>
      </c>
      <c r="F447">
        <v>14</v>
      </c>
      <c r="G447" t="b">
        <v>0</v>
      </c>
      <c r="H447" t="s">
        <v>16</v>
      </c>
      <c r="I447">
        <v>2</v>
      </c>
      <c r="J447">
        <v>0.3</v>
      </c>
    </row>
    <row r="448" spans="1:10" x14ac:dyDescent="0.2">
      <c r="A448">
        <v>447</v>
      </c>
      <c r="B448" s="3">
        <v>40563</v>
      </c>
      <c r="C448">
        <v>1</v>
      </c>
      <c r="D448">
        <v>2011</v>
      </c>
      <c r="E448" t="s">
        <v>10</v>
      </c>
      <c r="F448">
        <v>15</v>
      </c>
      <c r="G448" t="b">
        <v>0</v>
      </c>
      <c r="H448" t="s">
        <v>16</v>
      </c>
      <c r="I448">
        <v>2</v>
      </c>
      <c r="J448">
        <v>0.32</v>
      </c>
    </row>
    <row r="449" spans="1:10" x14ac:dyDescent="0.2">
      <c r="A449">
        <v>448</v>
      </c>
      <c r="B449" s="3">
        <v>40563</v>
      </c>
      <c r="C449">
        <v>1</v>
      </c>
      <c r="D449">
        <v>2011</v>
      </c>
      <c r="E449" t="s">
        <v>10</v>
      </c>
      <c r="F449">
        <v>16</v>
      </c>
      <c r="G449" t="b">
        <v>0</v>
      </c>
      <c r="H449" t="s">
        <v>16</v>
      </c>
      <c r="I449">
        <v>2</v>
      </c>
      <c r="J449">
        <v>0.3</v>
      </c>
    </row>
    <row r="450" spans="1:10" x14ac:dyDescent="0.2">
      <c r="A450">
        <v>449</v>
      </c>
      <c r="B450" s="3">
        <v>40563</v>
      </c>
      <c r="C450">
        <v>1</v>
      </c>
      <c r="D450">
        <v>2011</v>
      </c>
      <c r="E450" t="s">
        <v>10</v>
      </c>
      <c r="F450">
        <v>17</v>
      </c>
      <c r="G450" t="b">
        <v>0</v>
      </c>
      <c r="H450" t="s">
        <v>16</v>
      </c>
      <c r="I450">
        <v>2</v>
      </c>
      <c r="J450">
        <v>0.3</v>
      </c>
    </row>
    <row r="451" spans="1:10" x14ac:dyDescent="0.2">
      <c r="A451">
        <v>450</v>
      </c>
      <c r="B451" s="3">
        <v>40563</v>
      </c>
      <c r="C451">
        <v>1</v>
      </c>
      <c r="D451">
        <v>2011</v>
      </c>
      <c r="E451" t="s">
        <v>10</v>
      </c>
      <c r="F451">
        <v>18</v>
      </c>
      <c r="G451" t="b">
        <v>0</v>
      </c>
      <c r="H451" t="s">
        <v>16</v>
      </c>
      <c r="I451">
        <v>2</v>
      </c>
      <c r="J451">
        <v>0.26</v>
      </c>
    </row>
    <row r="452" spans="1:10" x14ac:dyDescent="0.2">
      <c r="A452">
        <v>451</v>
      </c>
      <c r="B452" s="3">
        <v>40563</v>
      </c>
      <c r="C452">
        <v>1</v>
      </c>
      <c r="D452">
        <v>2011</v>
      </c>
      <c r="E452" t="s">
        <v>10</v>
      </c>
      <c r="F452">
        <v>19</v>
      </c>
      <c r="G452" t="b">
        <v>0</v>
      </c>
      <c r="H452" t="s">
        <v>16</v>
      </c>
      <c r="I452">
        <v>1</v>
      </c>
      <c r="J452">
        <v>0.26</v>
      </c>
    </row>
    <row r="453" spans="1:10" x14ac:dyDescent="0.2">
      <c r="A453">
        <v>452</v>
      </c>
      <c r="B453" s="3">
        <v>40563</v>
      </c>
      <c r="C453">
        <v>1</v>
      </c>
      <c r="D453">
        <v>2011</v>
      </c>
      <c r="E453" t="s">
        <v>10</v>
      </c>
      <c r="F453">
        <v>20</v>
      </c>
      <c r="G453" t="b">
        <v>0</v>
      </c>
      <c r="H453" t="s">
        <v>16</v>
      </c>
      <c r="I453">
        <v>2</v>
      </c>
      <c r="J453">
        <v>0.26</v>
      </c>
    </row>
    <row r="454" spans="1:10" x14ac:dyDescent="0.2">
      <c r="A454">
        <v>453</v>
      </c>
      <c r="B454" s="3">
        <v>40563</v>
      </c>
      <c r="C454">
        <v>1</v>
      </c>
      <c r="D454">
        <v>2011</v>
      </c>
      <c r="E454" t="s">
        <v>10</v>
      </c>
      <c r="F454">
        <v>21</v>
      </c>
      <c r="G454" t="b">
        <v>0</v>
      </c>
      <c r="H454" t="s">
        <v>16</v>
      </c>
      <c r="I454">
        <v>2</v>
      </c>
      <c r="J454">
        <v>0.24</v>
      </c>
    </row>
    <row r="455" spans="1:10" x14ac:dyDescent="0.2">
      <c r="A455">
        <v>454</v>
      </c>
      <c r="B455" s="3">
        <v>40563</v>
      </c>
      <c r="C455">
        <v>1</v>
      </c>
      <c r="D455">
        <v>2011</v>
      </c>
      <c r="E455" t="s">
        <v>10</v>
      </c>
      <c r="F455">
        <v>22</v>
      </c>
      <c r="G455" t="b">
        <v>0</v>
      </c>
      <c r="H455" t="s">
        <v>16</v>
      </c>
      <c r="I455">
        <v>2</v>
      </c>
      <c r="J455">
        <v>0.24</v>
      </c>
    </row>
    <row r="456" spans="1:10" x14ac:dyDescent="0.2">
      <c r="A456">
        <v>455</v>
      </c>
      <c r="B456" s="3">
        <v>40563</v>
      </c>
      <c r="C456">
        <v>1</v>
      </c>
      <c r="D456">
        <v>2011</v>
      </c>
      <c r="E456" t="s">
        <v>10</v>
      </c>
      <c r="F456">
        <v>23</v>
      </c>
      <c r="G456" t="b">
        <v>0</v>
      </c>
      <c r="H456" t="s">
        <v>16</v>
      </c>
      <c r="I456">
        <v>2</v>
      </c>
      <c r="J456">
        <v>0.24</v>
      </c>
    </row>
    <row r="457" spans="1:10" x14ac:dyDescent="0.2">
      <c r="A457">
        <v>456</v>
      </c>
      <c r="B457" s="3">
        <v>40564</v>
      </c>
      <c r="C457">
        <v>1</v>
      </c>
      <c r="D457">
        <v>2011</v>
      </c>
      <c r="E457" t="s">
        <v>10</v>
      </c>
      <c r="F457">
        <v>0</v>
      </c>
      <c r="G457" t="b">
        <v>0</v>
      </c>
      <c r="H457" t="s">
        <v>17</v>
      </c>
      <c r="I457">
        <v>2</v>
      </c>
      <c r="J457">
        <v>0.24</v>
      </c>
    </row>
    <row r="458" spans="1:10" x14ac:dyDescent="0.2">
      <c r="A458">
        <v>457</v>
      </c>
      <c r="B458" s="3">
        <v>40564</v>
      </c>
      <c r="C458">
        <v>1</v>
      </c>
      <c r="D458">
        <v>2011</v>
      </c>
      <c r="E458" t="s">
        <v>10</v>
      </c>
      <c r="F458">
        <v>1</v>
      </c>
      <c r="G458" t="b">
        <v>0</v>
      </c>
      <c r="H458" t="s">
        <v>17</v>
      </c>
      <c r="I458">
        <v>2</v>
      </c>
      <c r="J458">
        <v>0.24</v>
      </c>
    </row>
    <row r="459" spans="1:10" x14ac:dyDescent="0.2">
      <c r="A459">
        <v>458</v>
      </c>
      <c r="B459" s="3">
        <v>40564</v>
      </c>
      <c r="C459">
        <v>1</v>
      </c>
      <c r="D459">
        <v>2011</v>
      </c>
      <c r="E459" t="s">
        <v>10</v>
      </c>
      <c r="F459">
        <v>2</v>
      </c>
      <c r="G459" t="b">
        <v>0</v>
      </c>
      <c r="H459" t="s">
        <v>17</v>
      </c>
      <c r="I459">
        <v>3</v>
      </c>
      <c r="J459">
        <v>0.24</v>
      </c>
    </row>
    <row r="460" spans="1:10" x14ac:dyDescent="0.2">
      <c r="A460">
        <v>459</v>
      </c>
      <c r="B460" s="3">
        <v>40564</v>
      </c>
      <c r="C460">
        <v>1</v>
      </c>
      <c r="D460">
        <v>2011</v>
      </c>
      <c r="E460" t="s">
        <v>10</v>
      </c>
      <c r="F460">
        <v>3</v>
      </c>
      <c r="G460" t="b">
        <v>0</v>
      </c>
      <c r="H460" t="s">
        <v>17</v>
      </c>
      <c r="I460">
        <v>3</v>
      </c>
      <c r="J460">
        <v>0.22</v>
      </c>
    </row>
    <row r="461" spans="1:10" x14ac:dyDescent="0.2">
      <c r="A461">
        <v>460</v>
      </c>
      <c r="B461" s="3">
        <v>40564</v>
      </c>
      <c r="C461">
        <v>1</v>
      </c>
      <c r="D461">
        <v>2011</v>
      </c>
      <c r="E461" t="s">
        <v>10</v>
      </c>
      <c r="F461">
        <v>4</v>
      </c>
      <c r="G461" t="b">
        <v>0</v>
      </c>
      <c r="H461" t="s">
        <v>17</v>
      </c>
      <c r="I461">
        <v>2</v>
      </c>
      <c r="J461">
        <v>0.22</v>
      </c>
    </row>
    <row r="462" spans="1:10" x14ac:dyDescent="0.2">
      <c r="A462">
        <v>461</v>
      </c>
      <c r="B462" s="3">
        <v>40564</v>
      </c>
      <c r="C462">
        <v>1</v>
      </c>
      <c r="D462">
        <v>2011</v>
      </c>
      <c r="E462" t="s">
        <v>10</v>
      </c>
      <c r="F462">
        <v>5</v>
      </c>
      <c r="G462" t="b">
        <v>0</v>
      </c>
      <c r="H462" t="s">
        <v>17</v>
      </c>
      <c r="I462">
        <v>1</v>
      </c>
      <c r="J462">
        <v>0.24</v>
      </c>
    </row>
    <row r="463" spans="1:10" x14ac:dyDescent="0.2">
      <c r="A463">
        <v>462</v>
      </c>
      <c r="B463" s="3">
        <v>40564</v>
      </c>
      <c r="C463">
        <v>1</v>
      </c>
      <c r="D463">
        <v>2011</v>
      </c>
      <c r="E463" t="s">
        <v>10</v>
      </c>
      <c r="F463">
        <v>6</v>
      </c>
      <c r="G463" t="b">
        <v>0</v>
      </c>
      <c r="H463" t="s">
        <v>17</v>
      </c>
      <c r="I463">
        <v>1</v>
      </c>
      <c r="J463">
        <v>0.22</v>
      </c>
    </row>
    <row r="464" spans="1:10" x14ac:dyDescent="0.2">
      <c r="A464">
        <v>463</v>
      </c>
      <c r="B464" s="3">
        <v>40564</v>
      </c>
      <c r="C464">
        <v>1</v>
      </c>
      <c r="D464">
        <v>2011</v>
      </c>
      <c r="E464" t="s">
        <v>10</v>
      </c>
      <c r="F464">
        <v>7</v>
      </c>
      <c r="G464" t="b">
        <v>0</v>
      </c>
      <c r="H464" t="s">
        <v>17</v>
      </c>
      <c r="I464">
        <v>1</v>
      </c>
      <c r="J464">
        <v>0.2</v>
      </c>
    </row>
    <row r="465" spans="1:10" x14ac:dyDescent="0.2">
      <c r="A465">
        <v>464</v>
      </c>
      <c r="B465" s="3">
        <v>40564</v>
      </c>
      <c r="C465">
        <v>1</v>
      </c>
      <c r="D465">
        <v>2011</v>
      </c>
      <c r="E465" t="s">
        <v>10</v>
      </c>
      <c r="F465">
        <v>8</v>
      </c>
      <c r="G465" t="b">
        <v>0</v>
      </c>
      <c r="H465" t="s">
        <v>17</v>
      </c>
      <c r="I465">
        <v>1</v>
      </c>
      <c r="J465">
        <v>0.2</v>
      </c>
    </row>
    <row r="466" spans="1:10" x14ac:dyDescent="0.2">
      <c r="A466">
        <v>465</v>
      </c>
      <c r="B466" s="3">
        <v>40564</v>
      </c>
      <c r="C466">
        <v>1</v>
      </c>
      <c r="D466">
        <v>2011</v>
      </c>
      <c r="E466" t="s">
        <v>10</v>
      </c>
      <c r="F466">
        <v>9</v>
      </c>
      <c r="G466" t="b">
        <v>0</v>
      </c>
      <c r="H466" t="s">
        <v>17</v>
      </c>
      <c r="I466">
        <v>1</v>
      </c>
      <c r="J466">
        <v>0.2</v>
      </c>
    </row>
    <row r="467" spans="1:10" x14ac:dyDescent="0.2">
      <c r="A467">
        <v>466</v>
      </c>
      <c r="B467" s="3">
        <v>40564</v>
      </c>
      <c r="C467">
        <v>1</v>
      </c>
      <c r="D467">
        <v>2011</v>
      </c>
      <c r="E467" t="s">
        <v>10</v>
      </c>
      <c r="F467">
        <v>10</v>
      </c>
      <c r="G467" t="b">
        <v>0</v>
      </c>
      <c r="H467" t="s">
        <v>17</v>
      </c>
      <c r="I467">
        <v>1</v>
      </c>
      <c r="J467">
        <v>0.2</v>
      </c>
    </row>
    <row r="468" spans="1:10" x14ac:dyDescent="0.2">
      <c r="A468">
        <v>467</v>
      </c>
      <c r="B468" s="3">
        <v>40564</v>
      </c>
      <c r="C468">
        <v>1</v>
      </c>
      <c r="D468">
        <v>2011</v>
      </c>
      <c r="E468" t="s">
        <v>10</v>
      </c>
      <c r="F468">
        <v>11</v>
      </c>
      <c r="G468" t="b">
        <v>0</v>
      </c>
      <c r="H468" t="s">
        <v>17</v>
      </c>
      <c r="I468">
        <v>1</v>
      </c>
      <c r="J468">
        <v>0.22</v>
      </c>
    </row>
    <row r="469" spans="1:10" x14ac:dyDescent="0.2">
      <c r="A469">
        <v>468</v>
      </c>
      <c r="B469" s="3">
        <v>40564</v>
      </c>
      <c r="C469">
        <v>1</v>
      </c>
      <c r="D469">
        <v>2011</v>
      </c>
      <c r="E469" t="s">
        <v>10</v>
      </c>
      <c r="F469">
        <v>12</v>
      </c>
      <c r="G469" t="b">
        <v>0</v>
      </c>
      <c r="H469" t="s">
        <v>17</v>
      </c>
      <c r="I469">
        <v>1</v>
      </c>
      <c r="J469">
        <v>0.22</v>
      </c>
    </row>
    <row r="470" spans="1:10" x14ac:dyDescent="0.2">
      <c r="A470">
        <v>469</v>
      </c>
      <c r="B470" s="3">
        <v>40564</v>
      </c>
      <c r="C470">
        <v>1</v>
      </c>
      <c r="D470">
        <v>2011</v>
      </c>
      <c r="E470" t="s">
        <v>10</v>
      </c>
      <c r="F470">
        <v>13</v>
      </c>
      <c r="G470" t="b">
        <v>0</v>
      </c>
      <c r="H470" t="s">
        <v>17</v>
      </c>
      <c r="I470">
        <v>1</v>
      </c>
      <c r="J470">
        <v>0.2</v>
      </c>
    </row>
    <row r="471" spans="1:10" x14ac:dyDescent="0.2">
      <c r="A471">
        <v>470</v>
      </c>
      <c r="B471" s="3">
        <v>40564</v>
      </c>
      <c r="C471">
        <v>1</v>
      </c>
      <c r="D471">
        <v>2011</v>
      </c>
      <c r="E471" t="s">
        <v>10</v>
      </c>
      <c r="F471">
        <v>14</v>
      </c>
      <c r="G471" t="b">
        <v>0</v>
      </c>
      <c r="H471" t="s">
        <v>17</v>
      </c>
      <c r="I471">
        <v>1</v>
      </c>
      <c r="J471">
        <v>0.2</v>
      </c>
    </row>
    <row r="472" spans="1:10" x14ac:dyDescent="0.2">
      <c r="A472">
        <v>471</v>
      </c>
      <c r="B472" s="3">
        <v>40564</v>
      </c>
      <c r="C472">
        <v>1</v>
      </c>
      <c r="D472">
        <v>2011</v>
      </c>
      <c r="E472" t="s">
        <v>10</v>
      </c>
      <c r="F472">
        <v>15</v>
      </c>
      <c r="G472" t="b">
        <v>0</v>
      </c>
      <c r="H472" t="s">
        <v>17</v>
      </c>
      <c r="I472">
        <v>1</v>
      </c>
      <c r="J472">
        <v>0.16</v>
      </c>
    </row>
    <row r="473" spans="1:10" x14ac:dyDescent="0.2">
      <c r="A473">
        <v>472</v>
      </c>
      <c r="B473" s="3">
        <v>40564</v>
      </c>
      <c r="C473">
        <v>1</v>
      </c>
      <c r="D473">
        <v>2011</v>
      </c>
      <c r="E473" t="s">
        <v>10</v>
      </c>
      <c r="F473">
        <v>16</v>
      </c>
      <c r="G473" t="b">
        <v>0</v>
      </c>
      <c r="H473" t="s">
        <v>17</v>
      </c>
      <c r="I473">
        <v>1</v>
      </c>
      <c r="J473">
        <v>0.16</v>
      </c>
    </row>
    <row r="474" spans="1:10" x14ac:dyDescent="0.2">
      <c r="A474">
        <v>473</v>
      </c>
      <c r="B474" s="3">
        <v>40564</v>
      </c>
      <c r="C474">
        <v>1</v>
      </c>
      <c r="D474">
        <v>2011</v>
      </c>
      <c r="E474" t="s">
        <v>10</v>
      </c>
      <c r="F474">
        <v>17</v>
      </c>
      <c r="G474" t="b">
        <v>0</v>
      </c>
      <c r="H474" t="s">
        <v>17</v>
      </c>
      <c r="I474">
        <v>1</v>
      </c>
      <c r="J474">
        <v>0.14000000000000001</v>
      </c>
    </row>
    <row r="475" spans="1:10" x14ac:dyDescent="0.2">
      <c r="A475">
        <v>474</v>
      </c>
      <c r="B475" s="3">
        <v>40564</v>
      </c>
      <c r="C475">
        <v>1</v>
      </c>
      <c r="D475">
        <v>2011</v>
      </c>
      <c r="E475" t="s">
        <v>10</v>
      </c>
      <c r="F475">
        <v>18</v>
      </c>
      <c r="G475" t="b">
        <v>0</v>
      </c>
      <c r="H475" t="s">
        <v>17</v>
      </c>
      <c r="I475">
        <v>1</v>
      </c>
      <c r="J475">
        <v>0.12</v>
      </c>
    </row>
    <row r="476" spans="1:10" x14ac:dyDescent="0.2">
      <c r="A476">
        <v>475</v>
      </c>
      <c r="B476" s="3">
        <v>40564</v>
      </c>
      <c r="C476">
        <v>1</v>
      </c>
      <c r="D476">
        <v>2011</v>
      </c>
      <c r="E476" t="s">
        <v>10</v>
      </c>
      <c r="F476">
        <v>19</v>
      </c>
      <c r="G476" t="b">
        <v>0</v>
      </c>
      <c r="H476" t="s">
        <v>17</v>
      </c>
      <c r="I476">
        <v>1</v>
      </c>
      <c r="J476">
        <v>0.12</v>
      </c>
    </row>
    <row r="477" spans="1:10" x14ac:dyDescent="0.2">
      <c r="A477">
        <v>476</v>
      </c>
      <c r="B477" s="3">
        <v>40564</v>
      </c>
      <c r="C477">
        <v>1</v>
      </c>
      <c r="D477">
        <v>2011</v>
      </c>
      <c r="E477" t="s">
        <v>10</v>
      </c>
      <c r="F477">
        <v>20</v>
      </c>
      <c r="G477" t="b">
        <v>0</v>
      </c>
      <c r="H477" t="s">
        <v>17</v>
      </c>
      <c r="I477">
        <v>1</v>
      </c>
      <c r="J477">
        <v>0.1</v>
      </c>
    </row>
    <row r="478" spans="1:10" x14ac:dyDescent="0.2">
      <c r="A478">
        <v>477</v>
      </c>
      <c r="B478" s="3">
        <v>40564</v>
      </c>
      <c r="C478">
        <v>1</v>
      </c>
      <c r="D478">
        <v>2011</v>
      </c>
      <c r="E478" t="s">
        <v>10</v>
      </c>
      <c r="F478">
        <v>21</v>
      </c>
      <c r="G478" t="b">
        <v>0</v>
      </c>
      <c r="H478" t="s">
        <v>17</v>
      </c>
      <c r="I478">
        <v>1</v>
      </c>
      <c r="J478">
        <v>0.08</v>
      </c>
    </row>
    <row r="479" spans="1:10" x14ac:dyDescent="0.2">
      <c r="A479">
        <v>478</v>
      </c>
      <c r="B479" s="3">
        <v>40564</v>
      </c>
      <c r="C479">
        <v>1</v>
      </c>
      <c r="D479">
        <v>2011</v>
      </c>
      <c r="E479" t="s">
        <v>10</v>
      </c>
      <c r="F479">
        <v>22</v>
      </c>
      <c r="G479" t="b">
        <v>0</v>
      </c>
      <c r="H479" t="s">
        <v>17</v>
      </c>
      <c r="I479">
        <v>1</v>
      </c>
      <c r="J479">
        <v>0.06</v>
      </c>
    </row>
    <row r="480" spans="1:10" x14ac:dyDescent="0.2">
      <c r="A480">
        <v>479</v>
      </c>
      <c r="B480" s="3">
        <v>40564</v>
      </c>
      <c r="C480">
        <v>1</v>
      </c>
      <c r="D480">
        <v>2011</v>
      </c>
      <c r="E480" t="s">
        <v>10</v>
      </c>
      <c r="F480">
        <v>23</v>
      </c>
      <c r="G480" t="b">
        <v>0</v>
      </c>
      <c r="H480" t="s">
        <v>17</v>
      </c>
      <c r="I480">
        <v>1</v>
      </c>
      <c r="J480">
        <v>0.06</v>
      </c>
    </row>
    <row r="481" spans="1:10" x14ac:dyDescent="0.2">
      <c r="A481">
        <v>480</v>
      </c>
      <c r="B481" s="3">
        <v>40565</v>
      </c>
      <c r="C481">
        <v>1</v>
      </c>
      <c r="D481">
        <v>2011</v>
      </c>
      <c r="E481" t="s">
        <v>10</v>
      </c>
      <c r="F481">
        <v>0</v>
      </c>
      <c r="G481" t="b">
        <v>0</v>
      </c>
      <c r="H481" t="s">
        <v>11</v>
      </c>
      <c r="I481">
        <v>1</v>
      </c>
      <c r="J481">
        <v>0.04</v>
      </c>
    </row>
    <row r="482" spans="1:10" x14ac:dyDescent="0.2">
      <c r="A482">
        <v>481</v>
      </c>
      <c r="B482" s="3">
        <v>40565</v>
      </c>
      <c r="C482">
        <v>1</v>
      </c>
      <c r="D482">
        <v>2011</v>
      </c>
      <c r="E482" t="s">
        <v>10</v>
      </c>
      <c r="F482">
        <v>1</v>
      </c>
      <c r="G482" t="b">
        <v>0</v>
      </c>
      <c r="H482" t="s">
        <v>11</v>
      </c>
      <c r="I482">
        <v>2</v>
      </c>
      <c r="J482">
        <v>0.04</v>
      </c>
    </row>
    <row r="483" spans="1:10" x14ac:dyDescent="0.2">
      <c r="A483">
        <v>482</v>
      </c>
      <c r="B483" s="3">
        <v>40565</v>
      </c>
      <c r="C483">
        <v>1</v>
      </c>
      <c r="D483">
        <v>2011</v>
      </c>
      <c r="E483" t="s">
        <v>10</v>
      </c>
      <c r="F483">
        <v>2</v>
      </c>
      <c r="G483" t="b">
        <v>0</v>
      </c>
      <c r="H483" t="s">
        <v>11</v>
      </c>
      <c r="I483">
        <v>2</v>
      </c>
      <c r="J483">
        <v>0.04</v>
      </c>
    </row>
    <row r="484" spans="1:10" x14ac:dyDescent="0.2">
      <c r="A484">
        <v>483</v>
      </c>
      <c r="B484" s="3">
        <v>40565</v>
      </c>
      <c r="C484">
        <v>1</v>
      </c>
      <c r="D484">
        <v>2011</v>
      </c>
      <c r="E484" t="s">
        <v>10</v>
      </c>
      <c r="F484">
        <v>3</v>
      </c>
      <c r="G484" t="b">
        <v>0</v>
      </c>
      <c r="H484" t="s">
        <v>11</v>
      </c>
      <c r="I484">
        <v>2</v>
      </c>
      <c r="J484">
        <v>0.04</v>
      </c>
    </row>
    <row r="485" spans="1:10" x14ac:dyDescent="0.2">
      <c r="A485">
        <v>484</v>
      </c>
      <c r="B485" s="3">
        <v>40565</v>
      </c>
      <c r="C485">
        <v>1</v>
      </c>
      <c r="D485">
        <v>2011</v>
      </c>
      <c r="E485" t="s">
        <v>10</v>
      </c>
      <c r="F485">
        <v>4</v>
      </c>
      <c r="G485" t="b">
        <v>0</v>
      </c>
      <c r="H485" t="s">
        <v>11</v>
      </c>
      <c r="I485">
        <v>2</v>
      </c>
      <c r="J485">
        <v>0.02</v>
      </c>
    </row>
    <row r="486" spans="1:10" x14ac:dyDescent="0.2">
      <c r="A486">
        <v>485</v>
      </c>
      <c r="B486" s="3">
        <v>40565</v>
      </c>
      <c r="C486">
        <v>1</v>
      </c>
      <c r="D486">
        <v>2011</v>
      </c>
      <c r="E486" t="s">
        <v>10</v>
      </c>
      <c r="F486">
        <v>6</v>
      </c>
      <c r="G486" t="b">
        <v>0</v>
      </c>
      <c r="H486" t="s">
        <v>11</v>
      </c>
      <c r="I486">
        <v>2</v>
      </c>
      <c r="J486">
        <v>0.02</v>
      </c>
    </row>
    <row r="487" spans="1:10" x14ac:dyDescent="0.2">
      <c r="A487">
        <v>486</v>
      </c>
      <c r="B487" s="3">
        <v>40565</v>
      </c>
      <c r="C487">
        <v>1</v>
      </c>
      <c r="D487">
        <v>2011</v>
      </c>
      <c r="E487" t="s">
        <v>10</v>
      </c>
      <c r="F487">
        <v>7</v>
      </c>
      <c r="G487" t="b">
        <v>0</v>
      </c>
      <c r="H487" t="s">
        <v>11</v>
      </c>
      <c r="I487">
        <v>1</v>
      </c>
      <c r="J487">
        <v>0.02</v>
      </c>
    </row>
    <row r="488" spans="1:10" x14ac:dyDescent="0.2">
      <c r="A488">
        <v>487</v>
      </c>
      <c r="B488" s="3">
        <v>40565</v>
      </c>
      <c r="C488">
        <v>1</v>
      </c>
      <c r="D488">
        <v>2011</v>
      </c>
      <c r="E488" t="s">
        <v>10</v>
      </c>
      <c r="F488">
        <v>8</v>
      </c>
      <c r="G488" t="b">
        <v>0</v>
      </c>
      <c r="H488" t="s">
        <v>11</v>
      </c>
      <c r="I488">
        <v>1</v>
      </c>
      <c r="J488">
        <v>0.02</v>
      </c>
    </row>
    <row r="489" spans="1:10" x14ac:dyDescent="0.2">
      <c r="A489">
        <v>488</v>
      </c>
      <c r="B489" s="3">
        <v>40565</v>
      </c>
      <c r="C489">
        <v>1</v>
      </c>
      <c r="D489">
        <v>2011</v>
      </c>
      <c r="E489" t="s">
        <v>10</v>
      </c>
      <c r="F489">
        <v>9</v>
      </c>
      <c r="G489" t="b">
        <v>0</v>
      </c>
      <c r="H489" t="s">
        <v>11</v>
      </c>
      <c r="I489">
        <v>1</v>
      </c>
      <c r="J489">
        <v>0.04</v>
      </c>
    </row>
    <row r="490" spans="1:10" x14ac:dyDescent="0.2">
      <c r="A490">
        <v>489</v>
      </c>
      <c r="B490" s="3">
        <v>40565</v>
      </c>
      <c r="C490">
        <v>1</v>
      </c>
      <c r="D490">
        <v>2011</v>
      </c>
      <c r="E490" t="s">
        <v>10</v>
      </c>
      <c r="F490">
        <v>10</v>
      </c>
      <c r="G490" t="b">
        <v>0</v>
      </c>
      <c r="H490" t="s">
        <v>11</v>
      </c>
      <c r="I490">
        <v>2</v>
      </c>
      <c r="J490">
        <v>0.04</v>
      </c>
    </row>
    <row r="491" spans="1:10" x14ac:dyDescent="0.2">
      <c r="A491">
        <v>490</v>
      </c>
      <c r="B491" s="3">
        <v>40565</v>
      </c>
      <c r="C491">
        <v>1</v>
      </c>
      <c r="D491">
        <v>2011</v>
      </c>
      <c r="E491" t="s">
        <v>10</v>
      </c>
      <c r="F491">
        <v>11</v>
      </c>
      <c r="G491" t="b">
        <v>0</v>
      </c>
      <c r="H491" t="s">
        <v>11</v>
      </c>
      <c r="I491">
        <v>2</v>
      </c>
      <c r="J491">
        <v>0.06</v>
      </c>
    </row>
    <row r="492" spans="1:10" x14ac:dyDescent="0.2">
      <c r="A492">
        <v>491</v>
      </c>
      <c r="B492" s="3">
        <v>40565</v>
      </c>
      <c r="C492">
        <v>1</v>
      </c>
      <c r="D492">
        <v>2011</v>
      </c>
      <c r="E492" t="s">
        <v>10</v>
      </c>
      <c r="F492">
        <v>12</v>
      </c>
      <c r="G492" t="b">
        <v>0</v>
      </c>
      <c r="H492" t="s">
        <v>11</v>
      </c>
      <c r="I492">
        <v>2</v>
      </c>
      <c r="J492">
        <v>0.06</v>
      </c>
    </row>
    <row r="493" spans="1:10" x14ac:dyDescent="0.2">
      <c r="A493">
        <v>492</v>
      </c>
      <c r="B493" s="3">
        <v>40565</v>
      </c>
      <c r="C493">
        <v>1</v>
      </c>
      <c r="D493">
        <v>2011</v>
      </c>
      <c r="E493" t="s">
        <v>10</v>
      </c>
      <c r="F493">
        <v>13</v>
      </c>
      <c r="G493" t="b">
        <v>0</v>
      </c>
      <c r="H493" t="s">
        <v>11</v>
      </c>
      <c r="I493">
        <v>1</v>
      </c>
      <c r="J493">
        <v>0.08</v>
      </c>
    </row>
    <row r="494" spans="1:10" x14ac:dyDescent="0.2">
      <c r="A494">
        <v>493</v>
      </c>
      <c r="B494" s="3">
        <v>40565</v>
      </c>
      <c r="C494">
        <v>1</v>
      </c>
      <c r="D494">
        <v>2011</v>
      </c>
      <c r="E494" t="s">
        <v>10</v>
      </c>
      <c r="F494">
        <v>14</v>
      </c>
      <c r="G494" t="b">
        <v>0</v>
      </c>
      <c r="H494" t="s">
        <v>11</v>
      </c>
      <c r="I494">
        <v>1</v>
      </c>
      <c r="J494">
        <v>0.1</v>
      </c>
    </row>
    <row r="495" spans="1:10" x14ac:dyDescent="0.2">
      <c r="A495">
        <v>494</v>
      </c>
      <c r="B495" s="3">
        <v>40565</v>
      </c>
      <c r="C495">
        <v>1</v>
      </c>
      <c r="D495">
        <v>2011</v>
      </c>
      <c r="E495" t="s">
        <v>10</v>
      </c>
      <c r="F495">
        <v>15</v>
      </c>
      <c r="G495" t="b">
        <v>0</v>
      </c>
      <c r="H495" t="s">
        <v>11</v>
      </c>
      <c r="I495">
        <v>1</v>
      </c>
      <c r="J495">
        <v>0.12</v>
      </c>
    </row>
    <row r="496" spans="1:10" x14ac:dyDescent="0.2">
      <c r="A496">
        <v>495</v>
      </c>
      <c r="B496" s="3">
        <v>40565</v>
      </c>
      <c r="C496">
        <v>1</v>
      </c>
      <c r="D496">
        <v>2011</v>
      </c>
      <c r="E496" t="s">
        <v>10</v>
      </c>
      <c r="F496">
        <v>16</v>
      </c>
      <c r="G496" t="b">
        <v>0</v>
      </c>
      <c r="H496" t="s">
        <v>11</v>
      </c>
      <c r="I496">
        <v>1</v>
      </c>
      <c r="J496">
        <v>0.12</v>
      </c>
    </row>
    <row r="497" spans="1:10" x14ac:dyDescent="0.2">
      <c r="A497">
        <v>496</v>
      </c>
      <c r="B497" s="3">
        <v>40565</v>
      </c>
      <c r="C497">
        <v>1</v>
      </c>
      <c r="D497">
        <v>2011</v>
      </c>
      <c r="E497" t="s">
        <v>10</v>
      </c>
      <c r="F497">
        <v>17</v>
      </c>
      <c r="G497" t="b">
        <v>0</v>
      </c>
      <c r="H497" t="s">
        <v>11</v>
      </c>
      <c r="I497">
        <v>1</v>
      </c>
      <c r="J497">
        <v>0.12</v>
      </c>
    </row>
    <row r="498" spans="1:10" x14ac:dyDescent="0.2">
      <c r="A498">
        <v>497</v>
      </c>
      <c r="B498" s="3">
        <v>40565</v>
      </c>
      <c r="C498">
        <v>1</v>
      </c>
      <c r="D498">
        <v>2011</v>
      </c>
      <c r="E498" t="s">
        <v>10</v>
      </c>
      <c r="F498">
        <v>18</v>
      </c>
      <c r="G498" t="b">
        <v>0</v>
      </c>
      <c r="H498" t="s">
        <v>11</v>
      </c>
      <c r="I498">
        <v>1</v>
      </c>
      <c r="J498">
        <v>0.08</v>
      </c>
    </row>
    <row r="499" spans="1:10" x14ac:dyDescent="0.2">
      <c r="A499">
        <v>498</v>
      </c>
      <c r="B499" s="3">
        <v>40565</v>
      </c>
      <c r="C499">
        <v>1</v>
      </c>
      <c r="D499">
        <v>2011</v>
      </c>
      <c r="E499" t="s">
        <v>10</v>
      </c>
      <c r="F499">
        <v>19</v>
      </c>
      <c r="G499" t="b">
        <v>0</v>
      </c>
      <c r="H499" t="s">
        <v>11</v>
      </c>
      <c r="I499">
        <v>1</v>
      </c>
      <c r="J499">
        <v>0.08</v>
      </c>
    </row>
    <row r="500" spans="1:10" x14ac:dyDescent="0.2">
      <c r="A500">
        <v>499</v>
      </c>
      <c r="B500" s="3">
        <v>40565</v>
      </c>
      <c r="C500">
        <v>1</v>
      </c>
      <c r="D500">
        <v>2011</v>
      </c>
      <c r="E500" t="s">
        <v>10</v>
      </c>
      <c r="F500">
        <v>20</v>
      </c>
      <c r="G500" t="b">
        <v>0</v>
      </c>
      <c r="H500" t="s">
        <v>11</v>
      </c>
      <c r="I500">
        <v>1</v>
      </c>
      <c r="J500">
        <v>0.06</v>
      </c>
    </row>
    <row r="501" spans="1:10" x14ac:dyDescent="0.2">
      <c r="A501">
        <v>500</v>
      </c>
      <c r="B501" s="3">
        <v>40565</v>
      </c>
      <c r="C501">
        <v>1</v>
      </c>
      <c r="D501">
        <v>2011</v>
      </c>
      <c r="E501" t="s">
        <v>10</v>
      </c>
      <c r="F501">
        <v>21</v>
      </c>
      <c r="G501" t="b">
        <v>0</v>
      </c>
      <c r="H501" t="s">
        <v>11</v>
      </c>
      <c r="I501">
        <v>1</v>
      </c>
      <c r="J501">
        <v>0.06</v>
      </c>
    </row>
    <row r="502" spans="1:10" x14ac:dyDescent="0.2">
      <c r="A502">
        <v>501</v>
      </c>
      <c r="B502" s="3">
        <v>40565</v>
      </c>
      <c r="C502">
        <v>1</v>
      </c>
      <c r="D502">
        <v>2011</v>
      </c>
      <c r="E502" t="s">
        <v>10</v>
      </c>
      <c r="F502">
        <v>22</v>
      </c>
      <c r="G502" t="b">
        <v>0</v>
      </c>
      <c r="H502" t="s">
        <v>11</v>
      </c>
      <c r="I502">
        <v>1</v>
      </c>
      <c r="J502">
        <v>0.06</v>
      </c>
    </row>
    <row r="503" spans="1:10" x14ac:dyDescent="0.2">
      <c r="A503">
        <v>502</v>
      </c>
      <c r="B503" s="3">
        <v>40565</v>
      </c>
      <c r="C503">
        <v>1</v>
      </c>
      <c r="D503">
        <v>2011</v>
      </c>
      <c r="E503" t="s">
        <v>10</v>
      </c>
      <c r="F503">
        <v>23</v>
      </c>
      <c r="G503" t="b">
        <v>0</v>
      </c>
      <c r="H503" t="s">
        <v>11</v>
      </c>
      <c r="I503">
        <v>1</v>
      </c>
      <c r="J503">
        <v>0.04</v>
      </c>
    </row>
    <row r="504" spans="1:10" x14ac:dyDescent="0.2">
      <c r="A504">
        <v>503</v>
      </c>
      <c r="B504" s="3">
        <v>40566</v>
      </c>
      <c r="C504">
        <v>1</v>
      </c>
      <c r="D504">
        <v>2011</v>
      </c>
      <c r="E504" t="s">
        <v>10</v>
      </c>
      <c r="F504">
        <v>0</v>
      </c>
      <c r="G504" t="b">
        <v>1</v>
      </c>
      <c r="H504" t="s">
        <v>12</v>
      </c>
      <c r="I504">
        <v>1</v>
      </c>
      <c r="J504">
        <v>0.04</v>
      </c>
    </row>
    <row r="505" spans="1:10" x14ac:dyDescent="0.2">
      <c r="A505">
        <v>504</v>
      </c>
      <c r="B505" s="3">
        <v>40566</v>
      </c>
      <c r="C505">
        <v>1</v>
      </c>
      <c r="D505">
        <v>2011</v>
      </c>
      <c r="E505" t="s">
        <v>10</v>
      </c>
      <c r="F505">
        <v>1</v>
      </c>
      <c r="G505" t="b">
        <v>1</v>
      </c>
      <c r="H505" t="s">
        <v>12</v>
      </c>
      <c r="I505">
        <v>1</v>
      </c>
      <c r="J505">
        <v>0.04</v>
      </c>
    </row>
    <row r="506" spans="1:10" x14ac:dyDescent="0.2">
      <c r="A506">
        <v>505</v>
      </c>
      <c r="B506" s="3">
        <v>40566</v>
      </c>
      <c r="C506">
        <v>1</v>
      </c>
      <c r="D506">
        <v>2011</v>
      </c>
      <c r="E506" t="s">
        <v>10</v>
      </c>
      <c r="F506">
        <v>2</v>
      </c>
      <c r="G506" t="b">
        <v>1</v>
      </c>
      <c r="H506" t="s">
        <v>12</v>
      </c>
      <c r="I506">
        <v>1</v>
      </c>
      <c r="J506">
        <v>0.02</v>
      </c>
    </row>
    <row r="507" spans="1:10" x14ac:dyDescent="0.2">
      <c r="A507">
        <v>506</v>
      </c>
      <c r="B507" s="3">
        <v>40566</v>
      </c>
      <c r="C507">
        <v>1</v>
      </c>
      <c r="D507">
        <v>2011</v>
      </c>
      <c r="E507" t="s">
        <v>10</v>
      </c>
      <c r="F507">
        <v>3</v>
      </c>
      <c r="G507" t="b">
        <v>1</v>
      </c>
      <c r="H507" t="s">
        <v>12</v>
      </c>
      <c r="I507">
        <v>1</v>
      </c>
      <c r="J507">
        <v>0.02</v>
      </c>
    </row>
    <row r="508" spans="1:10" x14ac:dyDescent="0.2">
      <c r="A508">
        <v>507</v>
      </c>
      <c r="B508" s="3">
        <v>40566</v>
      </c>
      <c r="C508">
        <v>1</v>
      </c>
      <c r="D508">
        <v>2011</v>
      </c>
      <c r="E508" t="s">
        <v>10</v>
      </c>
      <c r="F508">
        <v>5</v>
      </c>
      <c r="G508" t="b">
        <v>1</v>
      </c>
      <c r="H508" t="s">
        <v>12</v>
      </c>
      <c r="I508">
        <v>2</v>
      </c>
      <c r="J508">
        <v>0.04</v>
      </c>
    </row>
    <row r="509" spans="1:10" x14ac:dyDescent="0.2">
      <c r="A509">
        <v>508</v>
      </c>
      <c r="B509" s="3">
        <v>40566</v>
      </c>
      <c r="C509">
        <v>1</v>
      </c>
      <c r="D509">
        <v>2011</v>
      </c>
      <c r="E509" t="s">
        <v>10</v>
      </c>
      <c r="F509">
        <v>6</v>
      </c>
      <c r="G509" t="b">
        <v>1</v>
      </c>
      <c r="H509" t="s">
        <v>12</v>
      </c>
      <c r="I509">
        <v>2</v>
      </c>
      <c r="J509">
        <v>0.04</v>
      </c>
    </row>
    <row r="510" spans="1:10" x14ac:dyDescent="0.2">
      <c r="A510">
        <v>509</v>
      </c>
      <c r="B510" s="3">
        <v>40566</v>
      </c>
      <c r="C510">
        <v>1</v>
      </c>
      <c r="D510">
        <v>2011</v>
      </c>
      <c r="E510" t="s">
        <v>10</v>
      </c>
      <c r="F510">
        <v>7</v>
      </c>
      <c r="G510" t="b">
        <v>1</v>
      </c>
      <c r="H510" t="s">
        <v>12</v>
      </c>
      <c r="I510">
        <v>1</v>
      </c>
      <c r="J510">
        <v>0.08</v>
      </c>
    </row>
    <row r="511" spans="1:10" x14ac:dyDescent="0.2">
      <c r="A511">
        <v>510</v>
      </c>
      <c r="B511" s="3">
        <v>40566</v>
      </c>
      <c r="C511">
        <v>1</v>
      </c>
      <c r="D511">
        <v>2011</v>
      </c>
      <c r="E511" t="s">
        <v>10</v>
      </c>
      <c r="F511">
        <v>8</v>
      </c>
      <c r="G511" t="b">
        <v>1</v>
      </c>
      <c r="H511" t="s">
        <v>12</v>
      </c>
      <c r="I511">
        <v>1</v>
      </c>
      <c r="J511">
        <v>0.06</v>
      </c>
    </row>
    <row r="512" spans="1:10" x14ac:dyDescent="0.2">
      <c r="A512">
        <v>511</v>
      </c>
      <c r="B512" s="3">
        <v>40566</v>
      </c>
      <c r="C512">
        <v>1</v>
      </c>
      <c r="D512">
        <v>2011</v>
      </c>
      <c r="E512" t="s">
        <v>10</v>
      </c>
      <c r="F512">
        <v>9</v>
      </c>
      <c r="G512" t="b">
        <v>1</v>
      </c>
      <c r="H512" t="s">
        <v>12</v>
      </c>
      <c r="I512">
        <v>1</v>
      </c>
      <c r="J512">
        <v>0.1</v>
      </c>
    </row>
    <row r="513" spans="1:10" x14ac:dyDescent="0.2">
      <c r="A513">
        <v>512</v>
      </c>
      <c r="B513" s="3">
        <v>40566</v>
      </c>
      <c r="C513">
        <v>1</v>
      </c>
      <c r="D513">
        <v>2011</v>
      </c>
      <c r="E513" t="s">
        <v>10</v>
      </c>
      <c r="F513">
        <v>10</v>
      </c>
      <c r="G513" t="b">
        <v>1</v>
      </c>
      <c r="H513" t="s">
        <v>12</v>
      </c>
      <c r="I513">
        <v>1</v>
      </c>
      <c r="J513">
        <v>0.14000000000000001</v>
      </c>
    </row>
    <row r="514" spans="1:10" x14ac:dyDescent="0.2">
      <c r="A514">
        <v>513</v>
      </c>
      <c r="B514" s="3">
        <v>40566</v>
      </c>
      <c r="C514">
        <v>1</v>
      </c>
      <c r="D514">
        <v>2011</v>
      </c>
      <c r="E514" t="s">
        <v>10</v>
      </c>
      <c r="F514">
        <v>11</v>
      </c>
      <c r="G514" t="b">
        <v>1</v>
      </c>
      <c r="H514" t="s">
        <v>12</v>
      </c>
      <c r="I514">
        <v>1</v>
      </c>
      <c r="J514">
        <v>0.14000000000000001</v>
      </c>
    </row>
    <row r="515" spans="1:10" x14ac:dyDescent="0.2">
      <c r="A515">
        <v>514</v>
      </c>
      <c r="B515" s="3">
        <v>40566</v>
      </c>
      <c r="C515">
        <v>1</v>
      </c>
      <c r="D515">
        <v>2011</v>
      </c>
      <c r="E515" t="s">
        <v>10</v>
      </c>
      <c r="F515">
        <v>12</v>
      </c>
      <c r="G515" t="b">
        <v>1</v>
      </c>
      <c r="H515" t="s">
        <v>12</v>
      </c>
      <c r="I515">
        <v>1</v>
      </c>
      <c r="J515">
        <v>0.16</v>
      </c>
    </row>
    <row r="516" spans="1:10" x14ac:dyDescent="0.2">
      <c r="A516">
        <v>515</v>
      </c>
      <c r="B516" s="3">
        <v>40566</v>
      </c>
      <c r="C516">
        <v>1</v>
      </c>
      <c r="D516">
        <v>2011</v>
      </c>
      <c r="E516" t="s">
        <v>10</v>
      </c>
      <c r="F516">
        <v>13</v>
      </c>
      <c r="G516" t="b">
        <v>1</v>
      </c>
      <c r="H516" t="s">
        <v>12</v>
      </c>
      <c r="I516">
        <v>1</v>
      </c>
      <c r="J516">
        <v>0.14000000000000001</v>
      </c>
    </row>
    <row r="517" spans="1:10" x14ac:dyDescent="0.2">
      <c r="A517">
        <v>516</v>
      </c>
      <c r="B517" s="3">
        <v>40566</v>
      </c>
      <c r="C517">
        <v>1</v>
      </c>
      <c r="D517">
        <v>2011</v>
      </c>
      <c r="E517" t="s">
        <v>10</v>
      </c>
      <c r="F517">
        <v>14</v>
      </c>
      <c r="G517" t="b">
        <v>1</v>
      </c>
      <c r="H517" t="s">
        <v>12</v>
      </c>
      <c r="I517">
        <v>1</v>
      </c>
      <c r="J517">
        <v>0.16</v>
      </c>
    </row>
    <row r="518" spans="1:10" x14ac:dyDescent="0.2">
      <c r="A518">
        <v>517</v>
      </c>
      <c r="B518" s="3">
        <v>40566</v>
      </c>
      <c r="C518">
        <v>1</v>
      </c>
      <c r="D518">
        <v>2011</v>
      </c>
      <c r="E518" t="s">
        <v>10</v>
      </c>
      <c r="F518">
        <v>15</v>
      </c>
      <c r="G518" t="b">
        <v>1</v>
      </c>
      <c r="H518" t="s">
        <v>12</v>
      </c>
      <c r="I518">
        <v>1</v>
      </c>
      <c r="J518">
        <v>0.16</v>
      </c>
    </row>
    <row r="519" spans="1:10" x14ac:dyDescent="0.2">
      <c r="A519">
        <v>518</v>
      </c>
      <c r="B519" s="3">
        <v>40566</v>
      </c>
      <c r="C519">
        <v>1</v>
      </c>
      <c r="D519">
        <v>2011</v>
      </c>
      <c r="E519" t="s">
        <v>10</v>
      </c>
      <c r="F519">
        <v>16</v>
      </c>
      <c r="G519" t="b">
        <v>1</v>
      </c>
      <c r="H519" t="s">
        <v>12</v>
      </c>
      <c r="I519">
        <v>1</v>
      </c>
      <c r="J519">
        <v>0.16</v>
      </c>
    </row>
    <row r="520" spans="1:10" x14ac:dyDescent="0.2">
      <c r="A520">
        <v>519</v>
      </c>
      <c r="B520" s="3">
        <v>40566</v>
      </c>
      <c r="C520">
        <v>1</v>
      </c>
      <c r="D520">
        <v>2011</v>
      </c>
      <c r="E520" t="s">
        <v>10</v>
      </c>
      <c r="F520">
        <v>17</v>
      </c>
      <c r="G520" t="b">
        <v>1</v>
      </c>
      <c r="H520" t="s">
        <v>12</v>
      </c>
      <c r="I520">
        <v>1</v>
      </c>
      <c r="J520">
        <v>0.14000000000000001</v>
      </c>
    </row>
    <row r="521" spans="1:10" x14ac:dyDescent="0.2">
      <c r="A521">
        <v>520</v>
      </c>
      <c r="B521" s="3">
        <v>40566</v>
      </c>
      <c r="C521">
        <v>1</v>
      </c>
      <c r="D521">
        <v>2011</v>
      </c>
      <c r="E521" t="s">
        <v>10</v>
      </c>
      <c r="F521">
        <v>18</v>
      </c>
      <c r="G521" t="b">
        <v>1</v>
      </c>
      <c r="H521" t="s">
        <v>12</v>
      </c>
      <c r="I521">
        <v>1</v>
      </c>
      <c r="J521">
        <v>0.12</v>
      </c>
    </row>
    <row r="522" spans="1:10" x14ac:dyDescent="0.2">
      <c r="A522">
        <v>521</v>
      </c>
      <c r="B522" s="3">
        <v>40566</v>
      </c>
      <c r="C522">
        <v>1</v>
      </c>
      <c r="D522">
        <v>2011</v>
      </c>
      <c r="E522" t="s">
        <v>10</v>
      </c>
      <c r="F522">
        <v>19</v>
      </c>
      <c r="G522" t="b">
        <v>1</v>
      </c>
      <c r="H522" t="s">
        <v>12</v>
      </c>
      <c r="I522">
        <v>1</v>
      </c>
      <c r="J522">
        <v>0.12</v>
      </c>
    </row>
    <row r="523" spans="1:10" x14ac:dyDescent="0.2">
      <c r="A523">
        <v>522</v>
      </c>
      <c r="B523" s="3">
        <v>40566</v>
      </c>
      <c r="C523">
        <v>1</v>
      </c>
      <c r="D523">
        <v>2011</v>
      </c>
      <c r="E523" t="s">
        <v>10</v>
      </c>
      <c r="F523">
        <v>20</v>
      </c>
      <c r="G523" t="b">
        <v>1</v>
      </c>
      <c r="H523" t="s">
        <v>12</v>
      </c>
      <c r="I523">
        <v>1</v>
      </c>
      <c r="J523">
        <v>0.1</v>
      </c>
    </row>
    <row r="524" spans="1:10" x14ac:dyDescent="0.2">
      <c r="A524">
        <v>523</v>
      </c>
      <c r="B524" s="3">
        <v>40566</v>
      </c>
      <c r="C524">
        <v>1</v>
      </c>
      <c r="D524">
        <v>2011</v>
      </c>
      <c r="E524" t="s">
        <v>10</v>
      </c>
      <c r="F524">
        <v>21</v>
      </c>
      <c r="G524" t="b">
        <v>1</v>
      </c>
      <c r="H524" t="s">
        <v>12</v>
      </c>
      <c r="I524">
        <v>1</v>
      </c>
      <c r="J524">
        <v>0.1</v>
      </c>
    </row>
    <row r="525" spans="1:10" x14ac:dyDescent="0.2">
      <c r="A525">
        <v>524</v>
      </c>
      <c r="B525" s="3">
        <v>40566</v>
      </c>
      <c r="C525">
        <v>1</v>
      </c>
      <c r="D525">
        <v>2011</v>
      </c>
      <c r="E525" t="s">
        <v>10</v>
      </c>
      <c r="F525">
        <v>22</v>
      </c>
      <c r="G525" t="b">
        <v>1</v>
      </c>
      <c r="H525" t="s">
        <v>12</v>
      </c>
      <c r="I525">
        <v>1</v>
      </c>
      <c r="J525">
        <v>0.08</v>
      </c>
    </row>
    <row r="526" spans="1:10" x14ac:dyDescent="0.2">
      <c r="A526">
        <v>525</v>
      </c>
      <c r="B526" s="3">
        <v>40566</v>
      </c>
      <c r="C526">
        <v>1</v>
      </c>
      <c r="D526">
        <v>2011</v>
      </c>
      <c r="E526" t="s">
        <v>10</v>
      </c>
      <c r="F526">
        <v>23</v>
      </c>
      <c r="G526" t="b">
        <v>1</v>
      </c>
      <c r="H526" t="s">
        <v>12</v>
      </c>
      <c r="I526">
        <v>1</v>
      </c>
      <c r="J526">
        <v>0.06</v>
      </c>
    </row>
    <row r="527" spans="1:10" x14ac:dyDescent="0.2">
      <c r="A527">
        <v>526</v>
      </c>
      <c r="B527" s="3">
        <v>40567</v>
      </c>
      <c r="C527">
        <v>1</v>
      </c>
      <c r="D527">
        <v>2011</v>
      </c>
      <c r="E527" t="s">
        <v>10</v>
      </c>
      <c r="F527">
        <v>0</v>
      </c>
      <c r="G527" t="b">
        <v>0</v>
      </c>
      <c r="H527" t="s">
        <v>13</v>
      </c>
      <c r="I527">
        <v>1</v>
      </c>
      <c r="J527">
        <v>0.06</v>
      </c>
    </row>
    <row r="528" spans="1:10" x14ac:dyDescent="0.2">
      <c r="A528">
        <v>527</v>
      </c>
      <c r="B528" s="3">
        <v>40567</v>
      </c>
      <c r="C528">
        <v>1</v>
      </c>
      <c r="D528">
        <v>2011</v>
      </c>
      <c r="E528" t="s">
        <v>10</v>
      </c>
      <c r="F528">
        <v>1</v>
      </c>
      <c r="G528" t="b">
        <v>0</v>
      </c>
      <c r="H528" t="s">
        <v>13</v>
      </c>
      <c r="I528">
        <v>1</v>
      </c>
      <c r="J528">
        <v>0.04</v>
      </c>
    </row>
    <row r="529" spans="1:10" x14ac:dyDescent="0.2">
      <c r="A529">
        <v>528</v>
      </c>
      <c r="B529" s="3">
        <v>40567</v>
      </c>
      <c r="C529">
        <v>1</v>
      </c>
      <c r="D529">
        <v>2011</v>
      </c>
      <c r="E529" t="s">
        <v>10</v>
      </c>
      <c r="F529">
        <v>3</v>
      </c>
      <c r="G529" t="b">
        <v>0</v>
      </c>
      <c r="H529" t="s">
        <v>13</v>
      </c>
      <c r="I529">
        <v>1</v>
      </c>
      <c r="J529">
        <v>0.04</v>
      </c>
    </row>
    <row r="530" spans="1:10" x14ac:dyDescent="0.2">
      <c r="A530">
        <v>529</v>
      </c>
      <c r="B530" s="3">
        <v>40567</v>
      </c>
      <c r="C530">
        <v>1</v>
      </c>
      <c r="D530">
        <v>2011</v>
      </c>
      <c r="E530" t="s">
        <v>10</v>
      </c>
      <c r="F530">
        <v>4</v>
      </c>
      <c r="G530" t="b">
        <v>0</v>
      </c>
      <c r="H530" t="s">
        <v>13</v>
      </c>
      <c r="I530">
        <v>1</v>
      </c>
      <c r="J530">
        <v>0.02</v>
      </c>
    </row>
    <row r="531" spans="1:10" x14ac:dyDescent="0.2">
      <c r="A531">
        <v>530</v>
      </c>
      <c r="B531" s="3">
        <v>40567</v>
      </c>
      <c r="C531">
        <v>1</v>
      </c>
      <c r="D531">
        <v>2011</v>
      </c>
      <c r="E531" t="s">
        <v>10</v>
      </c>
      <c r="F531">
        <v>5</v>
      </c>
      <c r="G531" t="b">
        <v>0</v>
      </c>
      <c r="H531" t="s">
        <v>13</v>
      </c>
      <c r="I531">
        <v>1</v>
      </c>
      <c r="J531">
        <v>0.02</v>
      </c>
    </row>
    <row r="532" spans="1:10" x14ac:dyDescent="0.2">
      <c r="A532">
        <v>531</v>
      </c>
      <c r="B532" s="3">
        <v>40567</v>
      </c>
      <c r="C532">
        <v>1</v>
      </c>
      <c r="D532">
        <v>2011</v>
      </c>
      <c r="E532" t="s">
        <v>10</v>
      </c>
      <c r="F532">
        <v>6</v>
      </c>
      <c r="G532" t="b">
        <v>0</v>
      </c>
      <c r="H532" t="s">
        <v>13</v>
      </c>
      <c r="I532">
        <v>1</v>
      </c>
      <c r="J532">
        <v>0.02</v>
      </c>
    </row>
    <row r="533" spans="1:10" x14ac:dyDescent="0.2">
      <c r="A533">
        <v>532</v>
      </c>
      <c r="B533" s="3">
        <v>40567</v>
      </c>
      <c r="C533">
        <v>1</v>
      </c>
      <c r="D533">
        <v>2011</v>
      </c>
      <c r="E533" t="s">
        <v>10</v>
      </c>
      <c r="F533">
        <v>7</v>
      </c>
      <c r="G533" t="b">
        <v>0</v>
      </c>
      <c r="H533" t="s">
        <v>13</v>
      </c>
      <c r="I533">
        <v>1</v>
      </c>
      <c r="J533">
        <v>0.02</v>
      </c>
    </row>
    <row r="534" spans="1:10" x14ac:dyDescent="0.2">
      <c r="A534">
        <v>533</v>
      </c>
      <c r="B534" s="3">
        <v>40567</v>
      </c>
      <c r="C534">
        <v>1</v>
      </c>
      <c r="D534">
        <v>2011</v>
      </c>
      <c r="E534" t="s">
        <v>10</v>
      </c>
      <c r="F534">
        <v>8</v>
      </c>
      <c r="G534" t="b">
        <v>0</v>
      </c>
      <c r="H534" t="s">
        <v>13</v>
      </c>
      <c r="I534">
        <v>1</v>
      </c>
      <c r="J534">
        <v>0.04</v>
      </c>
    </row>
    <row r="535" spans="1:10" x14ac:dyDescent="0.2">
      <c r="A535">
        <v>534</v>
      </c>
      <c r="B535" s="3">
        <v>40567</v>
      </c>
      <c r="C535">
        <v>1</v>
      </c>
      <c r="D535">
        <v>2011</v>
      </c>
      <c r="E535" t="s">
        <v>10</v>
      </c>
      <c r="F535">
        <v>9</v>
      </c>
      <c r="G535" t="b">
        <v>0</v>
      </c>
      <c r="H535" t="s">
        <v>13</v>
      </c>
      <c r="I535">
        <v>1</v>
      </c>
      <c r="J535">
        <v>0.06</v>
      </c>
    </row>
    <row r="536" spans="1:10" x14ac:dyDescent="0.2">
      <c r="A536">
        <v>535</v>
      </c>
      <c r="B536" s="3">
        <v>40567</v>
      </c>
      <c r="C536">
        <v>1</v>
      </c>
      <c r="D536">
        <v>2011</v>
      </c>
      <c r="E536" t="s">
        <v>10</v>
      </c>
      <c r="F536">
        <v>10</v>
      </c>
      <c r="G536" t="b">
        <v>0</v>
      </c>
      <c r="H536" t="s">
        <v>13</v>
      </c>
      <c r="I536">
        <v>1</v>
      </c>
      <c r="J536">
        <v>0.1</v>
      </c>
    </row>
    <row r="537" spans="1:10" x14ac:dyDescent="0.2">
      <c r="A537">
        <v>536</v>
      </c>
      <c r="B537" s="3">
        <v>40567</v>
      </c>
      <c r="C537">
        <v>1</v>
      </c>
      <c r="D537">
        <v>2011</v>
      </c>
      <c r="E537" t="s">
        <v>10</v>
      </c>
      <c r="F537">
        <v>11</v>
      </c>
      <c r="G537" t="b">
        <v>0</v>
      </c>
      <c r="H537" t="s">
        <v>13</v>
      </c>
      <c r="I537">
        <v>1</v>
      </c>
      <c r="J537">
        <v>0.1</v>
      </c>
    </row>
    <row r="538" spans="1:10" x14ac:dyDescent="0.2">
      <c r="A538">
        <v>537</v>
      </c>
      <c r="B538" s="3">
        <v>40567</v>
      </c>
      <c r="C538">
        <v>1</v>
      </c>
      <c r="D538">
        <v>2011</v>
      </c>
      <c r="E538" t="s">
        <v>10</v>
      </c>
      <c r="F538">
        <v>12</v>
      </c>
      <c r="G538" t="b">
        <v>0</v>
      </c>
      <c r="H538" t="s">
        <v>13</v>
      </c>
      <c r="I538">
        <v>2</v>
      </c>
      <c r="J538">
        <v>0.12</v>
      </c>
    </row>
    <row r="539" spans="1:10" x14ac:dyDescent="0.2">
      <c r="A539">
        <v>538</v>
      </c>
      <c r="B539" s="3">
        <v>40567</v>
      </c>
      <c r="C539">
        <v>1</v>
      </c>
      <c r="D539">
        <v>2011</v>
      </c>
      <c r="E539" t="s">
        <v>10</v>
      </c>
      <c r="F539">
        <v>13</v>
      </c>
      <c r="G539" t="b">
        <v>0</v>
      </c>
      <c r="H539" t="s">
        <v>13</v>
      </c>
      <c r="I539">
        <v>2</v>
      </c>
      <c r="J539">
        <v>0.14000000000000001</v>
      </c>
    </row>
    <row r="540" spans="1:10" x14ac:dyDescent="0.2">
      <c r="A540">
        <v>539</v>
      </c>
      <c r="B540" s="3">
        <v>40567</v>
      </c>
      <c r="C540">
        <v>1</v>
      </c>
      <c r="D540">
        <v>2011</v>
      </c>
      <c r="E540" t="s">
        <v>10</v>
      </c>
      <c r="F540">
        <v>14</v>
      </c>
      <c r="G540" t="b">
        <v>0</v>
      </c>
      <c r="H540" t="s">
        <v>13</v>
      </c>
      <c r="I540">
        <v>2</v>
      </c>
      <c r="J540">
        <v>0.14000000000000001</v>
      </c>
    </row>
    <row r="541" spans="1:10" x14ac:dyDescent="0.2">
      <c r="A541">
        <v>540</v>
      </c>
      <c r="B541" s="3">
        <v>40567</v>
      </c>
      <c r="C541">
        <v>1</v>
      </c>
      <c r="D541">
        <v>2011</v>
      </c>
      <c r="E541" t="s">
        <v>10</v>
      </c>
      <c r="F541">
        <v>15</v>
      </c>
      <c r="G541" t="b">
        <v>0</v>
      </c>
      <c r="H541" t="s">
        <v>13</v>
      </c>
      <c r="I541">
        <v>1</v>
      </c>
      <c r="J541">
        <v>0.16</v>
      </c>
    </row>
    <row r="542" spans="1:10" x14ac:dyDescent="0.2">
      <c r="A542">
        <v>541</v>
      </c>
      <c r="B542" s="3">
        <v>40567</v>
      </c>
      <c r="C542">
        <v>1</v>
      </c>
      <c r="D542">
        <v>2011</v>
      </c>
      <c r="E542" t="s">
        <v>10</v>
      </c>
      <c r="F542">
        <v>16</v>
      </c>
      <c r="G542" t="b">
        <v>0</v>
      </c>
      <c r="H542" t="s">
        <v>13</v>
      </c>
      <c r="I542">
        <v>1</v>
      </c>
      <c r="J542">
        <v>0.16</v>
      </c>
    </row>
    <row r="543" spans="1:10" x14ac:dyDescent="0.2">
      <c r="A543">
        <v>542</v>
      </c>
      <c r="B543" s="3">
        <v>40567</v>
      </c>
      <c r="C543">
        <v>1</v>
      </c>
      <c r="D543">
        <v>2011</v>
      </c>
      <c r="E543" t="s">
        <v>10</v>
      </c>
      <c r="F543">
        <v>17</v>
      </c>
      <c r="G543" t="b">
        <v>0</v>
      </c>
      <c r="H543" t="s">
        <v>13</v>
      </c>
      <c r="I543">
        <v>1</v>
      </c>
      <c r="J543">
        <v>0.14000000000000001</v>
      </c>
    </row>
    <row r="544" spans="1:10" x14ac:dyDescent="0.2">
      <c r="A544">
        <v>543</v>
      </c>
      <c r="B544" s="3">
        <v>40567</v>
      </c>
      <c r="C544">
        <v>1</v>
      </c>
      <c r="D544">
        <v>2011</v>
      </c>
      <c r="E544" t="s">
        <v>10</v>
      </c>
      <c r="F544">
        <v>18</v>
      </c>
      <c r="G544" t="b">
        <v>0</v>
      </c>
      <c r="H544" t="s">
        <v>13</v>
      </c>
      <c r="I544">
        <v>1</v>
      </c>
      <c r="J544">
        <v>0.14000000000000001</v>
      </c>
    </row>
    <row r="545" spans="1:10" x14ac:dyDescent="0.2">
      <c r="A545">
        <v>544</v>
      </c>
      <c r="B545" s="3">
        <v>40567</v>
      </c>
      <c r="C545">
        <v>1</v>
      </c>
      <c r="D545">
        <v>2011</v>
      </c>
      <c r="E545" t="s">
        <v>10</v>
      </c>
      <c r="F545">
        <v>19</v>
      </c>
      <c r="G545" t="b">
        <v>0</v>
      </c>
      <c r="H545" t="s">
        <v>13</v>
      </c>
      <c r="I545">
        <v>1</v>
      </c>
      <c r="J545">
        <v>0.14000000000000001</v>
      </c>
    </row>
    <row r="546" spans="1:10" x14ac:dyDescent="0.2">
      <c r="A546">
        <v>545</v>
      </c>
      <c r="B546" s="3">
        <v>40567</v>
      </c>
      <c r="C546">
        <v>1</v>
      </c>
      <c r="D546">
        <v>2011</v>
      </c>
      <c r="E546" t="s">
        <v>10</v>
      </c>
      <c r="F546">
        <v>20</v>
      </c>
      <c r="G546" t="b">
        <v>0</v>
      </c>
      <c r="H546" t="s">
        <v>13</v>
      </c>
      <c r="I546">
        <v>1</v>
      </c>
      <c r="J546">
        <v>0.14000000000000001</v>
      </c>
    </row>
    <row r="547" spans="1:10" x14ac:dyDescent="0.2">
      <c r="A547">
        <v>546</v>
      </c>
      <c r="B547" s="3">
        <v>40567</v>
      </c>
      <c r="C547">
        <v>1</v>
      </c>
      <c r="D547">
        <v>2011</v>
      </c>
      <c r="E547" t="s">
        <v>10</v>
      </c>
      <c r="F547">
        <v>21</v>
      </c>
      <c r="G547" t="b">
        <v>0</v>
      </c>
      <c r="H547" t="s">
        <v>13</v>
      </c>
      <c r="I547">
        <v>1</v>
      </c>
      <c r="J547">
        <v>0.14000000000000001</v>
      </c>
    </row>
    <row r="548" spans="1:10" x14ac:dyDescent="0.2">
      <c r="A548">
        <v>547</v>
      </c>
      <c r="B548" s="3">
        <v>40567</v>
      </c>
      <c r="C548">
        <v>1</v>
      </c>
      <c r="D548">
        <v>2011</v>
      </c>
      <c r="E548" t="s">
        <v>10</v>
      </c>
      <c r="F548">
        <v>22</v>
      </c>
      <c r="G548" t="b">
        <v>0</v>
      </c>
      <c r="H548" t="s">
        <v>13</v>
      </c>
      <c r="I548">
        <v>2</v>
      </c>
      <c r="J548">
        <v>0.14000000000000001</v>
      </c>
    </row>
    <row r="549" spans="1:10" x14ac:dyDescent="0.2">
      <c r="A549">
        <v>548</v>
      </c>
      <c r="B549" s="3">
        <v>40567</v>
      </c>
      <c r="C549">
        <v>1</v>
      </c>
      <c r="D549">
        <v>2011</v>
      </c>
      <c r="E549" t="s">
        <v>10</v>
      </c>
      <c r="F549">
        <v>23</v>
      </c>
      <c r="G549" t="b">
        <v>0</v>
      </c>
      <c r="H549" t="s">
        <v>13</v>
      </c>
      <c r="I549">
        <v>2</v>
      </c>
      <c r="J549">
        <v>0.16</v>
      </c>
    </row>
    <row r="550" spans="1:10" x14ac:dyDescent="0.2">
      <c r="A550">
        <v>549</v>
      </c>
      <c r="B550" s="3">
        <v>40568</v>
      </c>
      <c r="C550">
        <v>1</v>
      </c>
      <c r="D550">
        <v>2011</v>
      </c>
      <c r="E550" t="s">
        <v>10</v>
      </c>
      <c r="F550">
        <v>0</v>
      </c>
      <c r="G550" t="b">
        <v>0</v>
      </c>
      <c r="H550" t="s">
        <v>14</v>
      </c>
      <c r="I550">
        <v>2</v>
      </c>
      <c r="J550">
        <v>0.16</v>
      </c>
    </row>
    <row r="551" spans="1:10" x14ac:dyDescent="0.2">
      <c r="A551">
        <v>550</v>
      </c>
      <c r="B551" s="3">
        <v>40568</v>
      </c>
      <c r="C551">
        <v>1</v>
      </c>
      <c r="D551">
        <v>2011</v>
      </c>
      <c r="E551" t="s">
        <v>10</v>
      </c>
      <c r="F551">
        <v>1</v>
      </c>
      <c r="G551" t="b">
        <v>0</v>
      </c>
      <c r="H551" t="s">
        <v>14</v>
      </c>
      <c r="I551">
        <v>2</v>
      </c>
      <c r="J551">
        <v>0.16</v>
      </c>
    </row>
    <row r="552" spans="1:10" x14ac:dyDescent="0.2">
      <c r="A552">
        <v>551</v>
      </c>
      <c r="B552" s="3">
        <v>40568</v>
      </c>
      <c r="C552">
        <v>1</v>
      </c>
      <c r="D552">
        <v>2011</v>
      </c>
      <c r="E552" t="s">
        <v>10</v>
      </c>
      <c r="F552">
        <v>2</v>
      </c>
      <c r="G552" t="b">
        <v>0</v>
      </c>
      <c r="H552" t="s">
        <v>14</v>
      </c>
      <c r="I552">
        <v>1</v>
      </c>
      <c r="J552">
        <v>0.16</v>
      </c>
    </row>
    <row r="553" spans="1:10" x14ac:dyDescent="0.2">
      <c r="A553">
        <v>552</v>
      </c>
      <c r="B553" s="3">
        <v>40568</v>
      </c>
      <c r="C553">
        <v>1</v>
      </c>
      <c r="D553">
        <v>2011</v>
      </c>
      <c r="E553" t="s">
        <v>10</v>
      </c>
      <c r="F553">
        <v>4</v>
      </c>
      <c r="G553" t="b">
        <v>0</v>
      </c>
      <c r="H553" t="s">
        <v>14</v>
      </c>
      <c r="I553">
        <v>1</v>
      </c>
      <c r="J553">
        <v>0.14000000000000001</v>
      </c>
    </row>
    <row r="554" spans="1:10" x14ac:dyDescent="0.2">
      <c r="A554">
        <v>553</v>
      </c>
      <c r="B554" s="3">
        <v>40568</v>
      </c>
      <c r="C554">
        <v>1</v>
      </c>
      <c r="D554">
        <v>2011</v>
      </c>
      <c r="E554" t="s">
        <v>10</v>
      </c>
      <c r="F554">
        <v>5</v>
      </c>
      <c r="G554" t="b">
        <v>0</v>
      </c>
      <c r="H554" t="s">
        <v>14</v>
      </c>
      <c r="I554">
        <v>1</v>
      </c>
      <c r="J554">
        <v>0.14000000000000001</v>
      </c>
    </row>
    <row r="555" spans="1:10" x14ac:dyDescent="0.2">
      <c r="A555">
        <v>554</v>
      </c>
      <c r="B555" s="3">
        <v>40568</v>
      </c>
      <c r="C555">
        <v>1</v>
      </c>
      <c r="D555">
        <v>2011</v>
      </c>
      <c r="E555" t="s">
        <v>10</v>
      </c>
      <c r="F555">
        <v>6</v>
      </c>
      <c r="G555" t="b">
        <v>0</v>
      </c>
      <c r="H555" t="s">
        <v>14</v>
      </c>
      <c r="I555">
        <v>1</v>
      </c>
      <c r="J555">
        <v>0.16</v>
      </c>
    </row>
    <row r="556" spans="1:10" x14ac:dyDescent="0.2">
      <c r="A556">
        <v>555</v>
      </c>
      <c r="B556" s="3">
        <v>40568</v>
      </c>
      <c r="C556">
        <v>1</v>
      </c>
      <c r="D556">
        <v>2011</v>
      </c>
      <c r="E556" t="s">
        <v>10</v>
      </c>
      <c r="F556">
        <v>7</v>
      </c>
      <c r="G556" t="b">
        <v>0</v>
      </c>
      <c r="H556" t="s">
        <v>14</v>
      </c>
      <c r="I556">
        <v>1</v>
      </c>
      <c r="J556">
        <v>0.16</v>
      </c>
    </row>
    <row r="557" spans="1:10" x14ac:dyDescent="0.2">
      <c r="A557">
        <v>556</v>
      </c>
      <c r="B557" s="3">
        <v>40568</v>
      </c>
      <c r="C557">
        <v>1</v>
      </c>
      <c r="D557">
        <v>2011</v>
      </c>
      <c r="E557" t="s">
        <v>10</v>
      </c>
      <c r="F557">
        <v>8</v>
      </c>
      <c r="G557" t="b">
        <v>0</v>
      </c>
      <c r="H557" t="s">
        <v>14</v>
      </c>
      <c r="I557">
        <v>2</v>
      </c>
      <c r="J557">
        <v>0.16</v>
      </c>
    </row>
    <row r="558" spans="1:10" x14ac:dyDescent="0.2">
      <c r="A558">
        <v>557</v>
      </c>
      <c r="B558" s="3">
        <v>40568</v>
      </c>
      <c r="C558">
        <v>1</v>
      </c>
      <c r="D558">
        <v>2011</v>
      </c>
      <c r="E558" t="s">
        <v>10</v>
      </c>
      <c r="F558">
        <v>9</v>
      </c>
      <c r="G558" t="b">
        <v>0</v>
      </c>
      <c r="H558" t="s">
        <v>14</v>
      </c>
      <c r="I558">
        <v>2</v>
      </c>
      <c r="J558">
        <v>0.2</v>
      </c>
    </row>
    <row r="559" spans="1:10" x14ac:dyDescent="0.2">
      <c r="A559">
        <v>558</v>
      </c>
      <c r="B559" s="3">
        <v>40568</v>
      </c>
      <c r="C559">
        <v>1</v>
      </c>
      <c r="D559">
        <v>2011</v>
      </c>
      <c r="E559" t="s">
        <v>10</v>
      </c>
      <c r="F559">
        <v>10</v>
      </c>
      <c r="G559" t="b">
        <v>0</v>
      </c>
      <c r="H559" t="s">
        <v>14</v>
      </c>
      <c r="I559">
        <v>2</v>
      </c>
      <c r="J559">
        <v>0.22</v>
      </c>
    </row>
    <row r="560" spans="1:10" x14ac:dyDescent="0.2">
      <c r="A560">
        <v>559</v>
      </c>
      <c r="B560" s="3">
        <v>40568</v>
      </c>
      <c r="C560">
        <v>1</v>
      </c>
      <c r="D560">
        <v>2011</v>
      </c>
      <c r="E560" t="s">
        <v>10</v>
      </c>
      <c r="F560">
        <v>11</v>
      </c>
      <c r="G560" t="b">
        <v>0</v>
      </c>
      <c r="H560" t="s">
        <v>14</v>
      </c>
      <c r="I560">
        <v>2</v>
      </c>
      <c r="J560">
        <v>0.24</v>
      </c>
    </row>
    <row r="561" spans="1:10" x14ac:dyDescent="0.2">
      <c r="A561">
        <v>560</v>
      </c>
      <c r="B561" s="3">
        <v>40568</v>
      </c>
      <c r="C561">
        <v>1</v>
      </c>
      <c r="D561">
        <v>2011</v>
      </c>
      <c r="E561" t="s">
        <v>10</v>
      </c>
      <c r="F561">
        <v>12</v>
      </c>
      <c r="G561" t="b">
        <v>0</v>
      </c>
      <c r="H561" t="s">
        <v>14</v>
      </c>
      <c r="I561">
        <v>2</v>
      </c>
      <c r="J561">
        <v>0.26</v>
      </c>
    </row>
    <row r="562" spans="1:10" x14ac:dyDescent="0.2">
      <c r="A562">
        <v>561</v>
      </c>
      <c r="B562" s="3">
        <v>40568</v>
      </c>
      <c r="C562">
        <v>1</v>
      </c>
      <c r="D562">
        <v>2011</v>
      </c>
      <c r="E562" t="s">
        <v>10</v>
      </c>
      <c r="F562">
        <v>13</v>
      </c>
      <c r="G562" t="b">
        <v>0</v>
      </c>
      <c r="H562" t="s">
        <v>14</v>
      </c>
      <c r="I562">
        <v>2</v>
      </c>
      <c r="J562">
        <v>0.26</v>
      </c>
    </row>
    <row r="563" spans="1:10" x14ac:dyDescent="0.2">
      <c r="A563">
        <v>562</v>
      </c>
      <c r="B563" s="3">
        <v>40568</v>
      </c>
      <c r="C563">
        <v>1</v>
      </c>
      <c r="D563">
        <v>2011</v>
      </c>
      <c r="E563" t="s">
        <v>10</v>
      </c>
      <c r="F563">
        <v>14</v>
      </c>
      <c r="G563" t="b">
        <v>0</v>
      </c>
      <c r="H563" t="s">
        <v>14</v>
      </c>
      <c r="I563">
        <v>2</v>
      </c>
      <c r="J563">
        <v>0.3</v>
      </c>
    </row>
    <row r="564" spans="1:10" x14ac:dyDescent="0.2">
      <c r="A564">
        <v>563</v>
      </c>
      <c r="B564" s="3">
        <v>40568</v>
      </c>
      <c r="C564">
        <v>1</v>
      </c>
      <c r="D564">
        <v>2011</v>
      </c>
      <c r="E564" t="s">
        <v>10</v>
      </c>
      <c r="F564">
        <v>15</v>
      </c>
      <c r="G564" t="b">
        <v>0</v>
      </c>
      <c r="H564" t="s">
        <v>14</v>
      </c>
      <c r="I564">
        <v>2</v>
      </c>
      <c r="J564">
        <v>0.32</v>
      </c>
    </row>
    <row r="565" spans="1:10" x14ac:dyDescent="0.2">
      <c r="A565">
        <v>564</v>
      </c>
      <c r="B565" s="3">
        <v>40568</v>
      </c>
      <c r="C565">
        <v>1</v>
      </c>
      <c r="D565">
        <v>2011</v>
      </c>
      <c r="E565" t="s">
        <v>10</v>
      </c>
      <c r="F565">
        <v>16</v>
      </c>
      <c r="G565" t="b">
        <v>0</v>
      </c>
      <c r="H565" t="s">
        <v>14</v>
      </c>
      <c r="I565">
        <v>2</v>
      </c>
      <c r="J565">
        <v>0.32</v>
      </c>
    </row>
    <row r="566" spans="1:10" x14ac:dyDescent="0.2">
      <c r="A566">
        <v>565</v>
      </c>
      <c r="B566" s="3">
        <v>40568</v>
      </c>
      <c r="C566">
        <v>1</v>
      </c>
      <c r="D566">
        <v>2011</v>
      </c>
      <c r="E566" t="s">
        <v>10</v>
      </c>
      <c r="F566">
        <v>17</v>
      </c>
      <c r="G566" t="b">
        <v>0</v>
      </c>
      <c r="H566" t="s">
        <v>14</v>
      </c>
      <c r="I566">
        <v>1</v>
      </c>
      <c r="J566">
        <v>0.3</v>
      </c>
    </row>
    <row r="567" spans="1:10" x14ac:dyDescent="0.2">
      <c r="A567">
        <v>566</v>
      </c>
      <c r="B567" s="3">
        <v>40568</v>
      </c>
      <c r="C567">
        <v>1</v>
      </c>
      <c r="D567">
        <v>2011</v>
      </c>
      <c r="E567" t="s">
        <v>10</v>
      </c>
      <c r="F567">
        <v>18</v>
      </c>
      <c r="G567" t="b">
        <v>0</v>
      </c>
      <c r="H567" t="s">
        <v>14</v>
      </c>
      <c r="I567">
        <v>2</v>
      </c>
      <c r="J567">
        <v>0.3</v>
      </c>
    </row>
    <row r="568" spans="1:10" x14ac:dyDescent="0.2">
      <c r="A568">
        <v>567</v>
      </c>
      <c r="B568" s="3">
        <v>40568</v>
      </c>
      <c r="C568">
        <v>1</v>
      </c>
      <c r="D568">
        <v>2011</v>
      </c>
      <c r="E568" t="s">
        <v>10</v>
      </c>
      <c r="F568">
        <v>19</v>
      </c>
      <c r="G568" t="b">
        <v>0</v>
      </c>
      <c r="H568" t="s">
        <v>14</v>
      </c>
      <c r="I568">
        <v>2</v>
      </c>
      <c r="J568">
        <v>0.26</v>
      </c>
    </row>
    <row r="569" spans="1:10" x14ac:dyDescent="0.2">
      <c r="A569">
        <v>568</v>
      </c>
      <c r="B569" s="3">
        <v>40568</v>
      </c>
      <c r="C569">
        <v>1</v>
      </c>
      <c r="D569">
        <v>2011</v>
      </c>
      <c r="E569" t="s">
        <v>10</v>
      </c>
      <c r="F569">
        <v>20</v>
      </c>
      <c r="G569" t="b">
        <v>0</v>
      </c>
      <c r="H569" t="s">
        <v>14</v>
      </c>
      <c r="I569">
        <v>1</v>
      </c>
      <c r="J569">
        <v>0.24</v>
      </c>
    </row>
    <row r="570" spans="1:10" x14ac:dyDescent="0.2">
      <c r="A570">
        <v>569</v>
      </c>
      <c r="B570" s="3">
        <v>40568</v>
      </c>
      <c r="C570">
        <v>1</v>
      </c>
      <c r="D570">
        <v>2011</v>
      </c>
      <c r="E570" t="s">
        <v>10</v>
      </c>
      <c r="F570">
        <v>21</v>
      </c>
      <c r="G570" t="b">
        <v>0</v>
      </c>
      <c r="H570" t="s">
        <v>14</v>
      </c>
      <c r="I570">
        <v>1</v>
      </c>
      <c r="J570">
        <v>0.24</v>
      </c>
    </row>
    <row r="571" spans="1:10" x14ac:dyDescent="0.2">
      <c r="A571">
        <v>570</v>
      </c>
      <c r="B571" s="3">
        <v>40568</v>
      </c>
      <c r="C571">
        <v>1</v>
      </c>
      <c r="D571">
        <v>2011</v>
      </c>
      <c r="E571" t="s">
        <v>10</v>
      </c>
      <c r="F571">
        <v>22</v>
      </c>
      <c r="G571" t="b">
        <v>0</v>
      </c>
      <c r="H571" t="s">
        <v>14</v>
      </c>
      <c r="I571">
        <v>1</v>
      </c>
      <c r="J571">
        <v>0.22</v>
      </c>
    </row>
    <row r="572" spans="1:10" x14ac:dyDescent="0.2">
      <c r="A572">
        <v>571</v>
      </c>
      <c r="B572" s="3">
        <v>40568</v>
      </c>
      <c r="C572">
        <v>1</v>
      </c>
      <c r="D572">
        <v>2011</v>
      </c>
      <c r="E572" t="s">
        <v>10</v>
      </c>
      <c r="F572">
        <v>23</v>
      </c>
      <c r="G572" t="b">
        <v>0</v>
      </c>
      <c r="H572" t="s">
        <v>14</v>
      </c>
      <c r="I572">
        <v>2</v>
      </c>
      <c r="J572">
        <v>0.22</v>
      </c>
    </row>
    <row r="573" spans="1:10" x14ac:dyDescent="0.2">
      <c r="A573">
        <v>572</v>
      </c>
      <c r="B573" s="3">
        <v>40569</v>
      </c>
      <c r="C573">
        <v>1</v>
      </c>
      <c r="D573">
        <v>2011</v>
      </c>
      <c r="E573" t="s">
        <v>10</v>
      </c>
      <c r="F573">
        <v>0</v>
      </c>
      <c r="G573" t="b">
        <v>0</v>
      </c>
      <c r="H573" t="s">
        <v>15</v>
      </c>
      <c r="I573">
        <v>2</v>
      </c>
      <c r="J573">
        <v>0.22</v>
      </c>
    </row>
    <row r="574" spans="1:10" x14ac:dyDescent="0.2">
      <c r="A574">
        <v>573</v>
      </c>
      <c r="B574" s="3">
        <v>40569</v>
      </c>
      <c r="C574">
        <v>1</v>
      </c>
      <c r="D574">
        <v>2011</v>
      </c>
      <c r="E574" t="s">
        <v>10</v>
      </c>
      <c r="F574">
        <v>1</v>
      </c>
      <c r="G574" t="b">
        <v>0</v>
      </c>
      <c r="H574" t="s">
        <v>15</v>
      </c>
      <c r="I574">
        <v>2</v>
      </c>
      <c r="J574">
        <v>0.24</v>
      </c>
    </row>
    <row r="575" spans="1:10" x14ac:dyDescent="0.2">
      <c r="A575">
        <v>574</v>
      </c>
      <c r="B575" s="3">
        <v>40569</v>
      </c>
      <c r="C575">
        <v>1</v>
      </c>
      <c r="D575">
        <v>2011</v>
      </c>
      <c r="E575" t="s">
        <v>10</v>
      </c>
      <c r="F575">
        <v>2</v>
      </c>
      <c r="G575" t="b">
        <v>0</v>
      </c>
      <c r="H575" t="s">
        <v>15</v>
      </c>
      <c r="I575">
        <v>3</v>
      </c>
      <c r="J575">
        <v>0.22</v>
      </c>
    </row>
    <row r="576" spans="1:10" x14ac:dyDescent="0.2">
      <c r="A576">
        <v>575</v>
      </c>
      <c r="B576" s="3">
        <v>40569</v>
      </c>
      <c r="C576">
        <v>1</v>
      </c>
      <c r="D576">
        <v>2011</v>
      </c>
      <c r="E576" t="s">
        <v>10</v>
      </c>
      <c r="F576">
        <v>5</v>
      </c>
      <c r="G576" t="b">
        <v>0</v>
      </c>
      <c r="H576" t="s">
        <v>15</v>
      </c>
      <c r="I576">
        <v>3</v>
      </c>
      <c r="J576">
        <v>0.2</v>
      </c>
    </row>
    <row r="577" spans="1:10" x14ac:dyDescent="0.2">
      <c r="A577">
        <v>576</v>
      </c>
      <c r="B577" s="3">
        <v>40569</v>
      </c>
      <c r="C577">
        <v>1</v>
      </c>
      <c r="D577">
        <v>2011</v>
      </c>
      <c r="E577" t="s">
        <v>10</v>
      </c>
      <c r="F577">
        <v>6</v>
      </c>
      <c r="G577" t="b">
        <v>0</v>
      </c>
      <c r="H577" t="s">
        <v>15</v>
      </c>
      <c r="I577">
        <v>3</v>
      </c>
      <c r="J577">
        <v>0.2</v>
      </c>
    </row>
    <row r="578" spans="1:10" x14ac:dyDescent="0.2">
      <c r="A578">
        <v>577</v>
      </c>
      <c r="B578" s="3">
        <v>40569</v>
      </c>
      <c r="C578">
        <v>1</v>
      </c>
      <c r="D578">
        <v>2011</v>
      </c>
      <c r="E578" t="s">
        <v>10</v>
      </c>
      <c r="F578">
        <v>7</v>
      </c>
      <c r="G578" t="b">
        <v>0</v>
      </c>
      <c r="H578" t="s">
        <v>15</v>
      </c>
      <c r="I578">
        <v>3</v>
      </c>
      <c r="J578">
        <v>0.22</v>
      </c>
    </row>
    <row r="579" spans="1:10" x14ac:dyDescent="0.2">
      <c r="A579">
        <v>578</v>
      </c>
      <c r="B579" s="3">
        <v>40569</v>
      </c>
      <c r="C579">
        <v>1</v>
      </c>
      <c r="D579">
        <v>2011</v>
      </c>
      <c r="E579" t="s">
        <v>10</v>
      </c>
      <c r="F579">
        <v>8</v>
      </c>
      <c r="G579" t="b">
        <v>0</v>
      </c>
      <c r="H579" t="s">
        <v>15</v>
      </c>
      <c r="I579">
        <v>3</v>
      </c>
      <c r="J579">
        <v>0.22</v>
      </c>
    </row>
    <row r="580" spans="1:10" x14ac:dyDescent="0.2">
      <c r="A580">
        <v>579</v>
      </c>
      <c r="B580" s="3">
        <v>40569</v>
      </c>
      <c r="C580">
        <v>1</v>
      </c>
      <c r="D580">
        <v>2011</v>
      </c>
      <c r="E580" t="s">
        <v>10</v>
      </c>
      <c r="F580">
        <v>9</v>
      </c>
      <c r="G580" t="b">
        <v>0</v>
      </c>
      <c r="H580" t="s">
        <v>15</v>
      </c>
      <c r="I580">
        <v>3</v>
      </c>
      <c r="J580">
        <v>0.22</v>
      </c>
    </row>
    <row r="581" spans="1:10" x14ac:dyDescent="0.2">
      <c r="A581">
        <v>580</v>
      </c>
      <c r="B581" s="3">
        <v>40569</v>
      </c>
      <c r="C581">
        <v>1</v>
      </c>
      <c r="D581">
        <v>2011</v>
      </c>
      <c r="E581" t="s">
        <v>10</v>
      </c>
      <c r="F581">
        <v>10</v>
      </c>
      <c r="G581" t="b">
        <v>0</v>
      </c>
      <c r="H581" t="s">
        <v>15</v>
      </c>
      <c r="I581">
        <v>3</v>
      </c>
      <c r="J581">
        <v>0.22</v>
      </c>
    </row>
    <row r="582" spans="1:10" x14ac:dyDescent="0.2">
      <c r="A582">
        <v>581</v>
      </c>
      <c r="B582" s="3">
        <v>40569</v>
      </c>
      <c r="C582">
        <v>1</v>
      </c>
      <c r="D582">
        <v>2011</v>
      </c>
      <c r="E582" t="s">
        <v>10</v>
      </c>
      <c r="F582">
        <v>11</v>
      </c>
      <c r="G582" t="b">
        <v>0</v>
      </c>
      <c r="H582" t="s">
        <v>15</v>
      </c>
      <c r="I582">
        <v>3</v>
      </c>
      <c r="J582">
        <v>0.22</v>
      </c>
    </row>
    <row r="583" spans="1:10" x14ac:dyDescent="0.2">
      <c r="A583">
        <v>582</v>
      </c>
      <c r="B583" s="3">
        <v>40569</v>
      </c>
      <c r="C583">
        <v>1</v>
      </c>
      <c r="D583">
        <v>2011</v>
      </c>
      <c r="E583" t="s">
        <v>10</v>
      </c>
      <c r="F583">
        <v>12</v>
      </c>
      <c r="G583" t="b">
        <v>0</v>
      </c>
      <c r="H583" t="s">
        <v>15</v>
      </c>
      <c r="I583">
        <v>3</v>
      </c>
      <c r="J583">
        <v>0.22</v>
      </c>
    </row>
    <row r="584" spans="1:10" x14ac:dyDescent="0.2">
      <c r="A584">
        <v>583</v>
      </c>
      <c r="B584" s="3">
        <v>40569</v>
      </c>
      <c r="C584">
        <v>1</v>
      </c>
      <c r="D584">
        <v>2011</v>
      </c>
      <c r="E584" t="s">
        <v>10</v>
      </c>
      <c r="F584">
        <v>13</v>
      </c>
      <c r="G584" t="b">
        <v>0</v>
      </c>
      <c r="H584" t="s">
        <v>15</v>
      </c>
      <c r="I584">
        <v>3</v>
      </c>
      <c r="J584">
        <v>0.22</v>
      </c>
    </row>
    <row r="585" spans="1:10" x14ac:dyDescent="0.2">
      <c r="A585">
        <v>584</v>
      </c>
      <c r="B585" s="3">
        <v>40569</v>
      </c>
      <c r="C585">
        <v>1</v>
      </c>
      <c r="D585">
        <v>2011</v>
      </c>
      <c r="E585" t="s">
        <v>10</v>
      </c>
      <c r="F585">
        <v>14</v>
      </c>
      <c r="G585" t="b">
        <v>0</v>
      </c>
      <c r="H585" t="s">
        <v>15</v>
      </c>
      <c r="I585">
        <v>3</v>
      </c>
      <c r="J585">
        <v>0.22</v>
      </c>
    </row>
    <row r="586" spans="1:10" x14ac:dyDescent="0.2">
      <c r="A586">
        <v>585</v>
      </c>
      <c r="B586" s="3">
        <v>40569</v>
      </c>
      <c r="C586">
        <v>1</v>
      </c>
      <c r="D586">
        <v>2011</v>
      </c>
      <c r="E586" t="s">
        <v>10</v>
      </c>
      <c r="F586">
        <v>15</v>
      </c>
      <c r="G586" t="b">
        <v>0</v>
      </c>
      <c r="H586" t="s">
        <v>15</v>
      </c>
      <c r="I586">
        <v>3</v>
      </c>
      <c r="J586">
        <v>0.22</v>
      </c>
    </row>
    <row r="587" spans="1:10" x14ac:dyDescent="0.2">
      <c r="A587">
        <v>586</v>
      </c>
      <c r="B587" s="3">
        <v>40569</v>
      </c>
      <c r="C587">
        <v>1</v>
      </c>
      <c r="D587">
        <v>2011</v>
      </c>
      <c r="E587" t="s">
        <v>10</v>
      </c>
      <c r="F587">
        <v>16</v>
      </c>
      <c r="G587" t="b">
        <v>0</v>
      </c>
      <c r="H587" t="s">
        <v>15</v>
      </c>
      <c r="I587">
        <v>4</v>
      </c>
      <c r="J587">
        <v>0.22</v>
      </c>
    </row>
    <row r="588" spans="1:10" x14ac:dyDescent="0.2">
      <c r="A588">
        <v>587</v>
      </c>
      <c r="B588" s="3">
        <v>40569</v>
      </c>
      <c r="C588">
        <v>1</v>
      </c>
      <c r="D588">
        <v>2011</v>
      </c>
      <c r="E588" t="s">
        <v>10</v>
      </c>
      <c r="F588">
        <v>17</v>
      </c>
      <c r="G588" t="b">
        <v>0</v>
      </c>
      <c r="H588" t="s">
        <v>15</v>
      </c>
      <c r="I588">
        <v>3</v>
      </c>
      <c r="J588">
        <v>0.2</v>
      </c>
    </row>
    <row r="589" spans="1:10" x14ac:dyDescent="0.2">
      <c r="A589">
        <v>588</v>
      </c>
      <c r="B589" s="3">
        <v>40570</v>
      </c>
      <c r="C589">
        <v>1</v>
      </c>
      <c r="D589">
        <v>2011</v>
      </c>
      <c r="E589" t="s">
        <v>10</v>
      </c>
      <c r="F589">
        <v>16</v>
      </c>
      <c r="G589" t="b">
        <v>0</v>
      </c>
      <c r="H589" t="s">
        <v>16</v>
      </c>
      <c r="I589">
        <v>1</v>
      </c>
      <c r="J589">
        <v>0.22</v>
      </c>
    </row>
    <row r="590" spans="1:10" x14ac:dyDescent="0.2">
      <c r="A590">
        <v>589</v>
      </c>
      <c r="B590" s="3">
        <v>40570</v>
      </c>
      <c r="C590">
        <v>1</v>
      </c>
      <c r="D590">
        <v>2011</v>
      </c>
      <c r="E590" t="s">
        <v>10</v>
      </c>
      <c r="F590">
        <v>17</v>
      </c>
      <c r="G590" t="b">
        <v>0</v>
      </c>
      <c r="H590" t="s">
        <v>16</v>
      </c>
      <c r="I590">
        <v>1</v>
      </c>
      <c r="J590">
        <v>0.22</v>
      </c>
    </row>
    <row r="591" spans="1:10" x14ac:dyDescent="0.2">
      <c r="A591">
        <v>590</v>
      </c>
      <c r="B591" s="3">
        <v>40570</v>
      </c>
      <c r="C591">
        <v>1</v>
      </c>
      <c r="D591">
        <v>2011</v>
      </c>
      <c r="E591" t="s">
        <v>10</v>
      </c>
      <c r="F591">
        <v>18</v>
      </c>
      <c r="G591" t="b">
        <v>0</v>
      </c>
      <c r="H591" t="s">
        <v>16</v>
      </c>
      <c r="I591">
        <v>1</v>
      </c>
      <c r="J591">
        <v>0.2</v>
      </c>
    </row>
    <row r="592" spans="1:10" x14ac:dyDescent="0.2">
      <c r="A592">
        <v>591</v>
      </c>
      <c r="B592" s="3">
        <v>40570</v>
      </c>
      <c r="C592">
        <v>1</v>
      </c>
      <c r="D592">
        <v>2011</v>
      </c>
      <c r="E592" t="s">
        <v>10</v>
      </c>
      <c r="F592">
        <v>19</v>
      </c>
      <c r="G592" t="b">
        <v>0</v>
      </c>
      <c r="H592" t="s">
        <v>16</v>
      </c>
      <c r="I592">
        <v>1</v>
      </c>
      <c r="J592">
        <v>0.2</v>
      </c>
    </row>
    <row r="593" spans="1:10" x14ac:dyDescent="0.2">
      <c r="A593">
        <v>592</v>
      </c>
      <c r="B593" s="3">
        <v>40570</v>
      </c>
      <c r="C593">
        <v>1</v>
      </c>
      <c r="D593">
        <v>2011</v>
      </c>
      <c r="E593" t="s">
        <v>10</v>
      </c>
      <c r="F593">
        <v>20</v>
      </c>
      <c r="G593" t="b">
        <v>0</v>
      </c>
      <c r="H593" t="s">
        <v>16</v>
      </c>
      <c r="I593">
        <v>1</v>
      </c>
      <c r="J593">
        <v>0.18</v>
      </c>
    </row>
    <row r="594" spans="1:10" x14ac:dyDescent="0.2">
      <c r="A594">
        <v>593</v>
      </c>
      <c r="B594" s="3">
        <v>40570</v>
      </c>
      <c r="C594">
        <v>1</v>
      </c>
      <c r="D594">
        <v>2011</v>
      </c>
      <c r="E594" t="s">
        <v>10</v>
      </c>
      <c r="F594">
        <v>21</v>
      </c>
      <c r="G594" t="b">
        <v>0</v>
      </c>
      <c r="H594" t="s">
        <v>16</v>
      </c>
      <c r="I594">
        <v>1</v>
      </c>
      <c r="J594">
        <v>0.18</v>
      </c>
    </row>
    <row r="595" spans="1:10" x14ac:dyDescent="0.2">
      <c r="A595">
        <v>594</v>
      </c>
      <c r="B595" s="3">
        <v>40570</v>
      </c>
      <c r="C595">
        <v>1</v>
      </c>
      <c r="D595">
        <v>2011</v>
      </c>
      <c r="E595" t="s">
        <v>10</v>
      </c>
      <c r="F595">
        <v>22</v>
      </c>
      <c r="G595" t="b">
        <v>0</v>
      </c>
      <c r="H595" t="s">
        <v>16</v>
      </c>
      <c r="I595">
        <v>1</v>
      </c>
      <c r="J595">
        <v>0.18</v>
      </c>
    </row>
    <row r="596" spans="1:10" x14ac:dyDescent="0.2">
      <c r="A596">
        <v>595</v>
      </c>
      <c r="B596" s="3">
        <v>40570</v>
      </c>
      <c r="C596">
        <v>1</v>
      </c>
      <c r="D596">
        <v>2011</v>
      </c>
      <c r="E596" t="s">
        <v>10</v>
      </c>
      <c r="F596">
        <v>23</v>
      </c>
      <c r="G596" t="b">
        <v>0</v>
      </c>
      <c r="H596" t="s">
        <v>16</v>
      </c>
      <c r="I596">
        <v>1</v>
      </c>
      <c r="J596">
        <v>0.18</v>
      </c>
    </row>
    <row r="597" spans="1:10" x14ac:dyDescent="0.2">
      <c r="A597">
        <v>596</v>
      </c>
      <c r="B597" s="3">
        <v>40571</v>
      </c>
      <c r="C597">
        <v>1</v>
      </c>
      <c r="D597">
        <v>2011</v>
      </c>
      <c r="E597" t="s">
        <v>10</v>
      </c>
      <c r="F597">
        <v>0</v>
      </c>
      <c r="G597" t="b">
        <v>0</v>
      </c>
      <c r="H597" t="s">
        <v>17</v>
      </c>
      <c r="I597">
        <v>2</v>
      </c>
      <c r="J597">
        <v>0.2</v>
      </c>
    </row>
    <row r="598" spans="1:10" x14ac:dyDescent="0.2">
      <c r="A598">
        <v>597</v>
      </c>
      <c r="B598" s="3">
        <v>40571</v>
      </c>
      <c r="C598">
        <v>1</v>
      </c>
      <c r="D598">
        <v>2011</v>
      </c>
      <c r="E598" t="s">
        <v>10</v>
      </c>
      <c r="F598">
        <v>1</v>
      </c>
      <c r="G598" t="b">
        <v>0</v>
      </c>
      <c r="H598" t="s">
        <v>17</v>
      </c>
      <c r="I598">
        <v>2</v>
      </c>
      <c r="J598">
        <v>0.2</v>
      </c>
    </row>
    <row r="599" spans="1:10" x14ac:dyDescent="0.2">
      <c r="A599">
        <v>598</v>
      </c>
      <c r="B599" s="3">
        <v>40571</v>
      </c>
      <c r="C599">
        <v>1</v>
      </c>
      <c r="D599">
        <v>2011</v>
      </c>
      <c r="E599" t="s">
        <v>10</v>
      </c>
      <c r="F599">
        <v>2</v>
      </c>
      <c r="G599" t="b">
        <v>0</v>
      </c>
      <c r="H599" t="s">
        <v>17</v>
      </c>
      <c r="I599">
        <v>2</v>
      </c>
      <c r="J599">
        <v>0.2</v>
      </c>
    </row>
    <row r="600" spans="1:10" x14ac:dyDescent="0.2">
      <c r="A600">
        <v>599</v>
      </c>
      <c r="B600" s="3">
        <v>40571</v>
      </c>
      <c r="C600">
        <v>1</v>
      </c>
      <c r="D600">
        <v>2011</v>
      </c>
      <c r="E600" t="s">
        <v>10</v>
      </c>
      <c r="F600">
        <v>3</v>
      </c>
      <c r="G600" t="b">
        <v>0</v>
      </c>
      <c r="H600" t="s">
        <v>17</v>
      </c>
      <c r="I600">
        <v>2</v>
      </c>
      <c r="J600">
        <v>0.2</v>
      </c>
    </row>
    <row r="601" spans="1:10" x14ac:dyDescent="0.2">
      <c r="A601">
        <v>600</v>
      </c>
      <c r="B601" s="3">
        <v>40571</v>
      </c>
      <c r="C601">
        <v>1</v>
      </c>
      <c r="D601">
        <v>2011</v>
      </c>
      <c r="E601" t="s">
        <v>10</v>
      </c>
      <c r="F601">
        <v>5</v>
      </c>
      <c r="G601" t="b">
        <v>0</v>
      </c>
      <c r="H601" t="s">
        <v>17</v>
      </c>
      <c r="I601">
        <v>2</v>
      </c>
      <c r="J601">
        <v>0.18</v>
      </c>
    </row>
    <row r="602" spans="1:10" x14ac:dyDescent="0.2">
      <c r="A602">
        <v>601</v>
      </c>
      <c r="B602" s="3">
        <v>40571</v>
      </c>
      <c r="C602">
        <v>1</v>
      </c>
      <c r="D602">
        <v>2011</v>
      </c>
      <c r="E602" t="s">
        <v>10</v>
      </c>
      <c r="F602">
        <v>6</v>
      </c>
      <c r="G602" t="b">
        <v>0</v>
      </c>
      <c r="H602" t="s">
        <v>17</v>
      </c>
      <c r="I602">
        <v>2</v>
      </c>
      <c r="J602">
        <v>0.18</v>
      </c>
    </row>
    <row r="603" spans="1:10" x14ac:dyDescent="0.2">
      <c r="A603">
        <v>602</v>
      </c>
      <c r="B603" s="3">
        <v>40571</v>
      </c>
      <c r="C603">
        <v>1</v>
      </c>
      <c r="D603">
        <v>2011</v>
      </c>
      <c r="E603" t="s">
        <v>10</v>
      </c>
      <c r="F603">
        <v>7</v>
      </c>
      <c r="G603" t="b">
        <v>0</v>
      </c>
      <c r="H603" t="s">
        <v>17</v>
      </c>
      <c r="I603">
        <v>2</v>
      </c>
      <c r="J603">
        <v>0.16</v>
      </c>
    </row>
    <row r="604" spans="1:10" x14ac:dyDescent="0.2">
      <c r="A604">
        <v>603</v>
      </c>
      <c r="B604" s="3">
        <v>40571</v>
      </c>
      <c r="C604">
        <v>1</v>
      </c>
      <c r="D604">
        <v>2011</v>
      </c>
      <c r="E604" t="s">
        <v>10</v>
      </c>
      <c r="F604">
        <v>8</v>
      </c>
      <c r="G604" t="b">
        <v>0</v>
      </c>
      <c r="H604" t="s">
        <v>17</v>
      </c>
      <c r="I604">
        <v>2</v>
      </c>
      <c r="J604">
        <v>0.16</v>
      </c>
    </row>
    <row r="605" spans="1:10" x14ac:dyDescent="0.2">
      <c r="A605">
        <v>604</v>
      </c>
      <c r="B605" s="3">
        <v>40571</v>
      </c>
      <c r="C605">
        <v>1</v>
      </c>
      <c r="D605">
        <v>2011</v>
      </c>
      <c r="E605" t="s">
        <v>10</v>
      </c>
      <c r="F605">
        <v>9</v>
      </c>
      <c r="G605" t="b">
        <v>0</v>
      </c>
      <c r="H605" t="s">
        <v>17</v>
      </c>
      <c r="I605">
        <v>3</v>
      </c>
      <c r="J605">
        <v>0.18</v>
      </c>
    </row>
    <row r="606" spans="1:10" x14ac:dyDescent="0.2">
      <c r="A606">
        <v>605</v>
      </c>
      <c r="B606" s="3">
        <v>40571</v>
      </c>
      <c r="C606">
        <v>1</v>
      </c>
      <c r="D606">
        <v>2011</v>
      </c>
      <c r="E606" t="s">
        <v>10</v>
      </c>
      <c r="F606">
        <v>10</v>
      </c>
      <c r="G606" t="b">
        <v>0</v>
      </c>
      <c r="H606" t="s">
        <v>17</v>
      </c>
      <c r="I606">
        <v>3</v>
      </c>
      <c r="J606">
        <v>0.18</v>
      </c>
    </row>
    <row r="607" spans="1:10" x14ac:dyDescent="0.2">
      <c r="A607">
        <v>606</v>
      </c>
      <c r="B607" s="3">
        <v>40571</v>
      </c>
      <c r="C607">
        <v>1</v>
      </c>
      <c r="D607">
        <v>2011</v>
      </c>
      <c r="E607" t="s">
        <v>10</v>
      </c>
      <c r="F607">
        <v>11</v>
      </c>
      <c r="G607" t="b">
        <v>0</v>
      </c>
      <c r="H607" t="s">
        <v>17</v>
      </c>
      <c r="I607">
        <v>3</v>
      </c>
      <c r="J607">
        <v>0.18</v>
      </c>
    </row>
    <row r="608" spans="1:10" x14ac:dyDescent="0.2">
      <c r="A608">
        <v>607</v>
      </c>
      <c r="B608" s="3">
        <v>40571</v>
      </c>
      <c r="C608">
        <v>1</v>
      </c>
      <c r="D608">
        <v>2011</v>
      </c>
      <c r="E608" t="s">
        <v>10</v>
      </c>
      <c r="F608">
        <v>12</v>
      </c>
      <c r="G608" t="b">
        <v>0</v>
      </c>
      <c r="H608" t="s">
        <v>17</v>
      </c>
      <c r="I608">
        <v>3</v>
      </c>
      <c r="J608">
        <v>0.18</v>
      </c>
    </row>
    <row r="609" spans="1:10" x14ac:dyDescent="0.2">
      <c r="A609">
        <v>608</v>
      </c>
      <c r="B609" s="3">
        <v>40571</v>
      </c>
      <c r="C609">
        <v>1</v>
      </c>
      <c r="D609">
        <v>2011</v>
      </c>
      <c r="E609" t="s">
        <v>10</v>
      </c>
      <c r="F609">
        <v>13</v>
      </c>
      <c r="G609" t="b">
        <v>0</v>
      </c>
      <c r="H609" t="s">
        <v>17</v>
      </c>
      <c r="I609">
        <v>3</v>
      </c>
      <c r="J609">
        <v>0.18</v>
      </c>
    </row>
    <row r="610" spans="1:10" x14ac:dyDescent="0.2">
      <c r="A610">
        <v>609</v>
      </c>
      <c r="B610" s="3">
        <v>40571</v>
      </c>
      <c r="C610">
        <v>1</v>
      </c>
      <c r="D610">
        <v>2011</v>
      </c>
      <c r="E610" t="s">
        <v>10</v>
      </c>
      <c r="F610">
        <v>14</v>
      </c>
      <c r="G610" t="b">
        <v>0</v>
      </c>
      <c r="H610" t="s">
        <v>17</v>
      </c>
      <c r="I610">
        <v>3</v>
      </c>
      <c r="J610">
        <v>0.22</v>
      </c>
    </row>
    <row r="611" spans="1:10" x14ac:dyDescent="0.2">
      <c r="A611">
        <v>610</v>
      </c>
      <c r="B611" s="3">
        <v>40571</v>
      </c>
      <c r="C611">
        <v>1</v>
      </c>
      <c r="D611">
        <v>2011</v>
      </c>
      <c r="E611" t="s">
        <v>10</v>
      </c>
      <c r="F611">
        <v>15</v>
      </c>
      <c r="G611" t="b">
        <v>0</v>
      </c>
      <c r="H611" t="s">
        <v>17</v>
      </c>
      <c r="I611">
        <v>2</v>
      </c>
      <c r="J611">
        <v>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611"/>
  <sheetViews>
    <sheetView workbookViewId="0">
      <selection activeCell="N9" sqref="N9"/>
    </sheetView>
  </sheetViews>
  <sheetFormatPr defaultColWidth="12.5703125" defaultRowHeight="15.75" customHeight="1" x14ac:dyDescent="0.2"/>
  <cols>
    <col min="10" max="10" width="15" customWidth="1"/>
  </cols>
  <sheetData>
    <row r="1" spans="1:12" x14ac:dyDescent="0.2">
      <c r="A1" s="1" t="s">
        <v>8</v>
      </c>
      <c r="B1" s="1" t="s">
        <v>9</v>
      </c>
      <c r="C1" s="1" t="s">
        <v>0</v>
      </c>
      <c r="D1" s="1" t="s">
        <v>1</v>
      </c>
      <c r="E1" s="1" t="s">
        <v>2</v>
      </c>
      <c r="F1" s="1" t="s">
        <v>3</v>
      </c>
      <c r="G1" s="1" t="s">
        <v>4</v>
      </c>
      <c r="H1" s="1" t="s">
        <v>5</v>
      </c>
      <c r="I1" s="1" t="s">
        <v>6</v>
      </c>
      <c r="J1" s="1" t="s">
        <v>7</v>
      </c>
    </row>
    <row r="2" spans="1:12" x14ac:dyDescent="0.2">
      <c r="A2" s="1">
        <v>1</v>
      </c>
      <c r="B2" s="2">
        <v>40544</v>
      </c>
      <c r="C2" s="1">
        <v>1</v>
      </c>
      <c r="D2" s="1">
        <f>YEAR(B2)</f>
        <v>2011</v>
      </c>
      <c r="E2" s="1" t="str">
        <f>TEXT(B2,"MMMM")</f>
        <v>January</v>
      </c>
      <c r="F2" s="1">
        <v>0</v>
      </c>
      <c r="G2" s="1" t="b">
        <f>IF(H2="Sunday",TRUE,FALSE)</f>
        <v>0</v>
      </c>
      <c r="H2" s="1" t="str">
        <f>TEXT(B2,"DDDD")</f>
        <v>Saturday</v>
      </c>
      <c r="I2" s="1">
        <v>1</v>
      </c>
      <c r="J2" s="1">
        <v>0.24</v>
      </c>
    </row>
    <row r="3" spans="1:12" x14ac:dyDescent="0.2">
      <c r="A3" s="1">
        <v>2</v>
      </c>
      <c r="B3" s="2">
        <v>40544</v>
      </c>
      <c r="C3" s="1">
        <v>1</v>
      </c>
      <c r="D3" s="1">
        <f t="shared" ref="D3:D66" si="0">YEAR(B3)</f>
        <v>2011</v>
      </c>
      <c r="E3" s="1" t="str">
        <f t="shared" ref="E3:E66" si="1">TEXT(B3,"MMMM")</f>
        <v>January</v>
      </c>
      <c r="F3" s="1">
        <v>1</v>
      </c>
      <c r="G3" s="1" t="b">
        <f t="shared" ref="G3:G66" si="2">IF(H3="Sunday",TRUE,FALSE)</f>
        <v>0</v>
      </c>
      <c r="H3" s="1" t="str">
        <f t="shared" ref="H3:H66" si="3">TEXT(B3,"DDDD")</f>
        <v>Saturday</v>
      </c>
      <c r="I3" s="1">
        <v>1</v>
      </c>
      <c r="J3" s="1">
        <v>0.22</v>
      </c>
    </row>
    <row r="4" spans="1:12" x14ac:dyDescent="0.2">
      <c r="A4" s="1">
        <v>3</v>
      </c>
      <c r="B4" s="2">
        <v>40544</v>
      </c>
      <c r="C4" s="1">
        <v>1</v>
      </c>
      <c r="D4" s="1">
        <f t="shared" si="0"/>
        <v>2011</v>
      </c>
      <c r="E4" s="1" t="str">
        <f t="shared" si="1"/>
        <v>January</v>
      </c>
      <c r="F4" s="1">
        <v>2</v>
      </c>
      <c r="G4" s="1" t="b">
        <f t="shared" si="2"/>
        <v>0</v>
      </c>
      <c r="H4" s="1" t="str">
        <f t="shared" si="3"/>
        <v>Saturday</v>
      </c>
      <c r="I4" s="1">
        <v>1</v>
      </c>
      <c r="J4" s="1">
        <v>0.22</v>
      </c>
    </row>
    <row r="5" spans="1:12" x14ac:dyDescent="0.2">
      <c r="A5" s="1">
        <v>4</v>
      </c>
      <c r="B5" s="2">
        <v>40544</v>
      </c>
      <c r="C5" s="1">
        <v>1</v>
      </c>
      <c r="D5" s="1">
        <f t="shared" si="0"/>
        <v>2011</v>
      </c>
      <c r="E5" s="1" t="str">
        <f t="shared" si="1"/>
        <v>January</v>
      </c>
      <c r="F5" s="1">
        <v>3</v>
      </c>
      <c r="G5" s="1" t="b">
        <f t="shared" si="2"/>
        <v>0</v>
      </c>
      <c r="H5" s="1" t="str">
        <f t="shared" si="3"/>
        <v>Saturday</v>
      </c>
      <c r="I5" s="1">
        <v>1</v>
      </c>
      <c r="J5" s="1">
        <v>0.24</v>
      </c>
    </row>
    <row r="6" spans="1:12" x14ac:dyDescent="0.2">
      <c r="A6" s="1">
        <v>5</v>
      </c>
      <c r="B6" s="2">
        <v>40544</v>
      </c>
      <c r="C6" s="1">
        <v>1</v>
      </c>
      <c r="D6" s="1">
        <f t="shared" si="0"/>
        <v>2011</v>
      </c>
      <c r="E6" s="1" t="str">
        <f t="shared" si="1"/>
        <v>January</v>
      </c>
      <c r="F6" s="1">
        <v>4</v>
      </c>
      <c r="G6" s="1" t="b">
        <f t="shared" si="2"/>
        <v>0</v>
      </c>
      <c r="H6" s="1" t="str">
        <f t="shared" si="3"/>
        <v>Saturday</v>
      </c>
      <c r="I6" s="1">
        <v>1</v>
      </c>
      <c r="J6" s="1">
        <v>0.24</v>
      </c>
      <c r="L6" s="3"/>
    </row>
    <row r="7" spans="1:12" x14ac:dyDescent="0.2">
      <c r="A7" s="1">
        <v>6</v>
      </c>
      <c r="B7" s="2">
        <v>40544</v>
      </c>
      <c r="C7" s="1">
        <v>1</v>
      </c>
      <c r="D7" s="1">
        <f t="shared" si="0"/>
        <v>2011</v>
      </c>
      <c r="E7" s="1" t="str">
        <f t="shared" si="1"/>
        <v>January</v>
      </c>
      <c r="F7" s="1">
        <v>5</v>
      </c>
      <c r="G7" s="1" t="b">
        <f t="shared" si="2"/>
        <v>0</v>
      </c>
      <c r="H7" s="1" t="str">
        <f t="shared" si="3"/>
        <v>Saturday</v>
      </c>
      <c r="I7" s="1">
        <v>2</v>
      </c>
      <c r="J7" s="1">
        <v>0.24</v>
      </c>
    </row>
    <row r="8" spans="1:12" x14ac:dyDescent="0.2">
      <c r="A8" s="1">
        <v>7</v>
      </c>
      <c r="B8" s="2">
        <v>40544</v>
      </c>
      <c r="C8" s="1">
        <v>1</v>
      </c>
      <c r="D8" s="1">
        <f t="shared" si="0"/>
        <v>2011</v>
      </c>
      <c r="E8" s="1" t="str">
        <f t="shared" si="1"/>
        <v>January</v>
      </c>
      <c r="F8" s="1">
        <v>6</v>
      </c>
      <c r="G8" s="1" t="b">
        <f t="shared" si="2"/>
        <v>0</v>
      </c>
      <c r="H8" s="1" t="str">
        <f t="shared" si="3"/>
        <v>Saturday</v>
      </c>
      <c r="I8" s="1">
        <v>1</v>
      </c>
      <c r="J8" s="1">
        <v>0.22</v>
      </c>
    </row>
    <row r="9" spans="1:12" x14ac:dyDescent="0.2">
      <c r="A9" s="1">
        <v>8</v>
      </c>
      <c r="B9" s="2">
        <v>40544</v>
      </c>
      <c r="C9" s="1">
        <v>1</v>
      </c>
      <c r="D9" s="1">
        <f t="shared" si="0"/>
        <v>2011</v>
      </c>
      <c r="E9" s="1" t="str">
        <f t="shared" si="1"/>
        <v>January</v>
      </c>
      <c r="F9" s="1">
        <v>7</v>
      </c>
      <c r="G9" s="1" t="b">
        <f t="shared" si="2"/>
        <v>0</v>
      </c>
      <c r="H9" s="1" t="str">
        <f t="shared" si="3"/>
        <v>Saturday</v>
      </c>
      <c r="I9" s="1">
        <v>1</v>
      </c>
      <c r="J9" s="1">
        <v>0.2</v>
      </c>
    </row>
    <row r="10" spans="1:12" x14ac:dyDescent="0.2">
      <c r="A10" s="1">
        <v>9</v>
      </c>
      <c r="B10" s="2">
        <v>40544</v>
      </c>
      <c r="C10" s="1">
        <v>1</v>
      </c>
      <c r="D10" s="1">
        <f t="shared" si="0"/>
        <v>2011</v>
      </c>
      <c r="E10" s="1" t="str">
        <f t="shared" si="1"/>
        <v>January</v>
      </c>
      <c r="F10" s="1">
        <v>8</v>
      </c>
      <c r="G10" s="1" t="b">
        <f t="shared" si="2"/>
        <v>0</v>
      </c>
      <c r="H10" s="1" t="str">
        <f t="shared" si="3"/>
        <v>Saturday</v>
      </c>
      <c r="I10" s="1">
        <v>1</v>
      </c>
      <c r="J10" s="1">
        <v>0.24</v>
      </c>
    </row>
    <row r="11" spans="1:12" x14ac:dyDescent="0.2">
      <c r="A11" s="1">
        <v>10</v>
      </c>
      <c r="B11" s="2">
        <v>40544</v>
      </c>
      <c r="C11" s="1">
        <v>1</v>
      </c>
      <c r="D11" s="1">
        <f t="shared" si="0"/>
        <v>2011</v>
      </c>
      <c r="E11" s="1" t="str">
        <f t="shared" si="1"/>
        <v>January</v>
      </c>
      <c r="F11" s="1">
        <v>9</v>
      </c>
      <c r="G11" s="1" t="b">
        <f t="shared" si="2"/>
        <v>0</v>
      </c>
      <c r="H11" s="1" t="str">
        <f t="shared" si="3"/>
        <v>Saturday</v>
      </c>
      <c r="I11" s="1">
        <v>1</v>
      </c>
      <c r="J11" s="1">
        <v>0.32</v>
      </c>
    </row>
    <row r="12" spans="1:12" x14ac:dyDescent="0.2">
      <c r="A12" s="1">
        <v>11</v>
      </c>
      <c r="B12" s="2">
        <v>40544</v>
      </c>
      <c r="C12" s="1">
        <v>1</v>
      </c>
      <c r="D12" s="1">
        <f t="shared" si="0"/>
        <v>2011</v>
      </c>
      <c r="E12" s="1" t="str">
        <f t="shared" si="1"/>
        <v>January</v>
      </c>
      <c r="F12" s="1">
        <v>10</v>
      </c>
      <c r="G12" s="1" t="b">
        <f t="shared" si="2"/>
        <v>0</v>
      </c>
      <c r="H12" s="1" t="str">
        <f t="shared" si="3"/>
        <v>Saturday</v>
      </c>
      <c r="I12" s="1">
        <v>1</v>
      </c>
      <c r="J12" s="1">
        <v>0.38</v>
      </c>
    </row>
    <row r="13" spans="1:12" x14ac:dyDescent="0.2">
      <c r="A13" s="1">
        <v>12</v>
      </c>
      <c r="B13" s="2">
        <v>40544</v>
      </c>
      <c r="C13" s="1">
        <v>1</v>
      </c>
      <c r="D13" s="1">
        <f t="shared" si="0"/>
        <v>2011</v>
      </c>
      <c r="E13" s="1" t="str">
        <f t="shared" si="1"/>
        <v>January</v>
      </c>
      <c r="F13" s="1">
        <v>11</v>
      </c>
      <c r="G13" s="1" t="b">
        <f t="shared" si="2"/>
        <v>0</v>
      </c>
      <c r="H13" s="1" t="str">
        <f t="shared" si="3"/>
        <v>Saturday</v>
      </c>
      <c r="I13" s="1">
        <v>1</v>
      </c>
      <c r="J13" s="1">
        <v>0.36</v>
      </c>
    </row>
    <row r="14" spans="1:12" x14ac:dyDescent="0.2">
      <c r="A14" s="1">
        <v>13</v>
      </c>
      <c r="B14" s="2">
        <v>40544</v>
      </c>
      <c r="C14" s="1">
        <v>1</v>
      </c>
      <c r="D14" s="1">
        <f t="shared" si="0"/>
        <v>2011</v>
      </c>
      <c r="E14" s="1" t="str">
        <f t="shared" si="1"/>
        <v>January</v>
      </c>
      <c r="F14" s="1">
        <v>12</v>
      </c>
      <c r="G14" s="1" t="b">
        <f t="shared" si="2"/>
        <v>0</v>
      </c>
      <c r="H14" s="1" t="str">
        <f t="shared" si="3"/>
        <v>Saturday</v>
      </c>
      <c r="I14" s="1">
        <v>1</v>
      </c>
      <c r="J14" s="1">
        <v>0.42</v>
      </c>
    </row>
    <row r="15" spans="1:12" x14ac:dyDescent="0.2">
      <c r="A15" s="1">
        <v>14</v>
      </c>
      <c r="B15" s="2">
        <v>40544</v>
      </c>
      <c r="C15" s="1">
        <v>1</v>
      </c>
      <c r="D15" s="1">
        <f t="shared" si="0"/>
        <v>2011</v>
      </c>
      <c r="E15" s="1" t="str">
        <f t="shared" si="1"/>
        <v>January</v>
      </c>
      <c r="F15" s="1">
        <v>13</v>
      </c>
      <c r="G15" s="1" t="b">
        <f t="shared" si="2"/>
        <v>0</v>
      </c>
      <c r="H15" s="1" t="str">
        <f t="shared" si="3"/>
        <v>Saturday</v>
      </c>
      <c r="I15" s="1">
        <v>2</v>
      </c>
      <c r="J15" s="1">
        <v>0.46</v>
      </c>
    </row>
    <row r="16" spans="1:12" x14ac:dyDescent="0.2">
      <c r="A16" s="1">
        <v>15</v>
      </c>
      <c r="B16" s="2">
        <v>40544</v>
      </c>
      <c r="C16" s="1">
        <v>1</v>
      </c>
      <c r="D16" s="1">
        <f t="shared" si="0"/>
        <v>2011</v>
      </c>
      <c r="E16" s="1" t="str">
        <f t="shared" si="1"/>
        <v>January</v>
      </c>
      <c r="F16" s="1">
        <v>14</v>
      </c>
      <c r="G16" s="1" t="b">
        <f t="shared" si="2"/>
        <v>0</v>
      </c>
      <c r="H16" s="1" t="str">
        <f t="shared" si="3"/>
        <v>Saturday</v>
      </c>
      <c r="I16" s="1">
        <v>2</v>
      </c>
      <c r="J16" s="1">
        <v>0.46</v>
      </c>
    </row>
    <row r="17" spans="1:10" x14ac:dyDescent="0.2">
      <c r="A17" s="1">
        <v>16</v>
      </c>
      <c r="B17" s="2">
        <v>40544</v>
      </c>
      <c r="C17" s="1">
        <v>1</v>
      </c>
      <c r="D17" s="1">
        <f t="shared" si="0"/>
        <v>2011</v>
      </c>
      <c r="E17" s="1" t="str">
        <f t="shared" si="1"/>
        <v>January</v>
      </c>
      <c r="F17" s="1">
        <v>15</v>
      </c>
      <c r="G17" s="1" t="b">
        <f t="shared" si="2"/>
        <v>0</v>
      </c>
      <c r="H17" s="1" t="str">
        <f t="shared" si="3"/>
        <v>Saturday</v>
      </c>
      <c r="I17" s="1">
        <v>2</v>
      </c>
      <c r="J17" s="1">
        <v>0.44</v>
      </c>
    </row>
    <row r="18" spans="1:10" x14ac:dyDescent="0.2">
      <c r="A18" s="1">
        <v>17</v>
      </c>
      <c r="B18" s="2">
        <v>40544</v>
      </c>
      <c r="C18" s="1">
        <v>1</v>
      </c>
      <c r="D18" s="1">
        <f t="shared" si="0"/>
        <v>2011</v>
      </c>
      <c r="E18" s="1" t="str">
        <f t="shared" si="1"/>
        <v>January</v>
      </c>
      <c r="F18" s="1">
        <v>16</v>
      </c>
      <c r="G18" s="1" t="b">
        <f t="shared" si="2"/>
        <v>0</v>
      </c>
      <c r="H18" s="1" t="str">
        <f t="shared" si="3"/>
        <v>Saturday</v>
      </c>
      <c r="I18" s="1">
        <v>2</v>
      </c>
      <c r="J18" s="1">
        <v>0.42</v>
      </c>
    </row>
    <row r="19" spans="1:10" x14ac:dyDescent="0.2">
      <c r="A19" s="1">
        <v>18</v>
      </c>
      <c r="B19" s="2">
        <v>40544</v>
      </c>
      <c r="C19" s="1">
        <v>1</v>
      </c>
      <c r="D19" s="1">
        <f t="shared" si="0"/>
        <v>2011</v>
      </c>
      <c r="E19" s="1" t="str">
        <f t="shared" si="1"/>
        <v>January</v>
      </c>
      <c r="F19" s="1">
        <v>17</v>
      </c>
      <c r="G19" s="1" t="b">
        <f t="shared" si="2"/>
        <v>0</v>
      </c>
      <c r="H19" s="1" t="str">
        <f t="shared" si="3"/>
        <v>Saturday</v>
      </c>
      <c r="I19" s="1">
        <v>2</v>
      </c>
      <c r="J19" s="1">
        <v>0.44</v>
      </c>
    </row>
    <row r="20" spans="1:10" x14ac:dyDescent="0.2">
      <c r="A20" s="1">
        <v>19</v>
      </c>
      <c r="B20" s="2">
        <v>40544</v>
      </c>
      <c r="C20" s="1">
        <v>1</v>
      </c>
      <c r="D20" s="1">
        <f t="shared" si="0"/>
        <v>2011</v>
      </c>
      <c r="E20" s="1" t="str">
        <f t="shared" si="1"/>
        <v>January</v>
      </c>
      <c r="F20" s="1">
        <v>18</v>
      </c>
      <c r="G20" s="1" t="b">
        <f t="shared" si="2"/>
        <v>0</v>
      </c>
      <c r="H20" s="1" t="str">
        <f t="shared" si="3"/>
        <v>Saturday</v>
      </c>
      <c r="I20" s="1">
        <v>3</v>
      </c>
      <c r="J20" s="1">
        <v>0.42</v>
      </c>
    </row>
    <row r="21" spans="1:10" x14ac:dyDescent="0.2">
      <c r="A21" s="1">
        <v>20</v>
      </c>
      <c r="B21" s="2">
        <v>40544</v>
      </c>
      <c r="C21" s="1">
        <v>1</v>
      </c>
      <c r="D21" s="1">
        <f t="shared" si="0"/>
        <v>2011</v>
      </c>
      <c r="E21" s="1" t="str">
        <f t="shared" si="1"/>
        <v>January</v>
      </c>
      <c r="F21" s="1">
        <v>19</v>
      </c>
      <c r="G21" s="1" t="b">
        <f t="shared" si="2"/>
        <v>0</v>
      </c>
      <c r="H21" s="1" t="str">
        <f t="shared" si="3"/>
        <v>Saturday</v>
      </c>
      <c r="I21" s="1">
        <v>3</v>
      </c>
      <c r="J21" s="1">
        <v>0.42</v>
      </c>
    </row>
    <row r="22" spans="1:10" x14ac:dyDescent="0.2">
      <c r="A22" s="1">
        <v>21</v>
      </c>
      <c r="B22" s="2">
        <v>40544</v>
      </c>
      <c r="C22" s="1">
        <v>1</v>
      </c>
      <c r="D22" s="1">
        <f t="shared" si="0"/>
        <v>2011</v>
      </c>
      <c r="E22" s="1" t="str">
        <f t="shared" si="1"/>
        <v>January</v>
      </c>
      <c r="F22" s="1">
        <v>20</v>
      </c>
      <c r="G22" s="1" t="b">
        <f t="shared" si="2"/>
        <v>0</v>
      </c>
      <c r="H22" s="1" t="str">
        <f t="shared" si="3"/>
        <v>Saturday</v>
      </c>
      <c r="I22" s="1">
        <v>2</v>
      </c>
      <c r="J22" s="1">
        <v>0.4</v>
      </c>
    </row>
    <row r="23" spans="1:10" x14ac:dyDescent="0.2">
      <c r="A23" s="1">
        <v>22</v>
      </c>
      <c r="B23" s="2">
        <v>40544</v>
      </c>
      <c r="C23" s="1">
        <v>1</v>
      </c>
      <c r="D23" s="1">
        <f t="shared" si="0"/>
        <v>2011</v>
      </c>
      <c r="E23" s="1" t="str">
        <f t="shared" si="1"/>
        <v>January</v>
      </c>
      <c r="F23" s="1">
        <v>21</v>
      </c>
      <c r="G23" s="1" t="b">
        <f t="shared" si="2"/>
        <v>0</v>
      </c>
      <c r="H23" s="1" t="str">
        <f t="shared" si="3"/>
        <v>Saturday</v>
      </c>
      <c r="I23" s="1">
        <v>2</v>
      </c>
      <c r="J23" s="1">
        <v>0.4</v>
      </c>
    </row>
    <row r="24" spans="1:10" x14ac:dyDescent="0.2">
      <c r="A24" s="1">
        <v>23</v>
      </c>
      <c r="B24" s="2">
        <v>40544</v>
      </c>
      <c r="C24" s="1">
        <v>1</v>
      </c>
      <c r="D24" s="1">
        <f t="shared" si="0"/>
        <v>2011</v>
      </c>
      <c r="E24" s="1" t="str">
        <f t="shared" si="1"/>
        <v>January</v>
      </c>
      <c r="F24" s="1">
        <v>22</v>
      </c>
      <c r="G24" s="1" t="b">
        <f t="shared" si="2"/>
        <v>0</v>
      </c>
      <c r="H24" s="1" t="str">
        <f t="shared" si="3"/>
        <v>Saturday</v>
      </c>
      <c r="I24" s="1">
        <v>2</v>
      </c>
      <c r="J24" s="1">
        <v>0.4</v>
      </c>
    </row>
    <row r="25" spans="1:10" x14ac:dyDescent="0.2">
      <c r="A25" s="1">
        <v>24</v>
      </c>
      <c r="B25" s="2">
        <v>40544</v>
      </c>
      <c r="C25" s="1">
        <v>1</v>
      </c>
      <c r="D25" s="1">
        <f t="shared" si="0"/>
        <v>2011</v>
      </c>
      <c r="E25" s="1" t="str">
        <f t="shared" si="1"/>
        <v>January</v>
      </c>
      <c r="F25" s="1">
        <v>23</v>
      </c>
      <c r="G25" s="1" t="b">
        <f t="shared" si="2"/>
        <v>0</v>
      </c>
      <c r="H25" s="1" t="str">
        <f t="shared" si="3"/>
        <v>Saturday</v>
      </c>
      <c r="I25" s="1">
        <v>2</v>
      </c>
      <c r="J25" s="1">
        <v>0.46</v>
      </c>
    </row>
    <row r="26" spans="1:10" x14ac:dyDescent="0.2">
      <c r="A26" s="1">
        <v>25</v>
      </c>
      <c r="B26" s="2">
        <v>40545</v>
      </c>
      <c r="C26" s="1">
        <v>1</v>
      </c>
      <c r="D26" s="1">
        <f t="shared" si="0"/>
        <v>2011</v>
      </c>
      <c r="E26" s="1" t="str">
        <f t="shared" si="1"/>
        <v>January</v>
      </c>
      <c r="F26" s="1">
        <v>0</v>
      </c>
      <c r="G26" s="1" t="b">
        <f t="shared" si="2"/>
        <v>1</v>
      </c>
      <c r="H26" s="1" t="str">
        <f t="shared" si="3"/>
        <v>Sunday</v>
      </c>
      <c r="I26" s="1">
        <v>2</v>
      </c>
      <c r="J26" s="1">
        <v>0.46</v>
      </c>
    </row>
    <row r="27" spans="1:10" x14ac:dyDescent="0.2">
      <c r="A27" s="1">
        <v>26</v>
      </c>
      <c r="B27" s="2">
        <v>40545</v>
      </c>
      <c r="C27" s="1">
        <v>1</v>
      </c>
      <c r="D27" s="1">
        <f t="shared" si="0"/>
        <v>2011</v>
      </c>
      <c r="E27" s="1" t="str">
        <f t="shared" si="1"/>
        <v>January</v>
      </c>
      <c r="F27" s="1">
        <v>1</v>
      </c>
      <c r="G27" s="1" t="b">
        <f t="shared" si="2"/>
        <v>1</v>
      </c>
      <c r="H27" s="1" t="str">
        <f t="shared" si="3"/>
        <v>Sunday</v>
      </c>
      <c r="I27" s="1">
        <v>2</v>
      </c>
      <c r="J27" s="1">
        <v>0.44</v>
      </c>
    </row>
    <row r="28" spans="1:10" x14ac:dyDescent="0.2">
      <c r="A28" s="1">
        <v>27</v>
      </c>
      <c r="B28" s="2">
        <v>40545</v>
      </c>
      <c r="C28" s="1">
        <v>1</v>
      </c>
      <c r="D28" s="1">
        <f t="shared" si="0"/>
        <v>2011</v>
      </c>
      <c r="E28" s="1" t="str">
        <f t="shared" si="1"/>
        <v>January</v>
      </c>
      <c r="F28" s="1">
        <v>2</v>
      </c>
      <c r="G28" s="1" t="b">
        <f t="shared" si="2"/>
        <v>1</v>
      </c>
      <c r="H28" s="1" t="str">
        <f t="shared" si="3"/>
        <v>Sunday</v>
      </c>
      <c r="I28" s="1">
        <v>2</v>
      </c>
      <c r="J28" s="1">
        <v>0.42</v>
      </c>
    </row>
    <row r="29" spans="1:10" x14ac:dyDescent="0.2">
      <c r="A29" s="1">
        <v>28</v>
      </c>
      <c r="B29" s="2">
        <v>40545</v>
      </c>
      <c r="C29" s="1">
        <v>1</v>
      </c>
      <c r="D29" s="1">
        <f t="shared" si="0"/>
        <v>2011</v>
      </c>
      <c r="E29" s="1" t="str">
        <f t="shared" si="1"/>
        <v>January</v>
      </c>
      <c r="F29" s="1">
        <v>3</v>
      </c>
      <c r="G29" s="1" t="b">
        <f t="shared" si="2"/>
        <v>1</v>
      </c>
      <c r="H29" s="1" t="str">
        <f t="shared" si="3"/>
        <v>Sunday</v>
      </c>
      <c r="I29" s="1">
        <v>2</v>
      </c>
      <c r="J29" s="1">
        <v>0.46</v>
      </c>
    </row>
    <row r="30" spans="1:10" x14ac:dyDescent="0.2">
      <c r="A30" s="1">
        <v>29</v>
      </c>
      <c r="B30" s="2">
        <v>40545</v>
      </c>
      <c r="C30" s="1">
        <v>1</v>
      </c>
      <c r="D30" s="1">
        <f t="shared" si="0"/>
        <v>2011</v>
      </c>
      <c r="E30" s="1" t="str">
        <f t="shared" si="1"/>
        <v>January</v>
      </c>
      <c r="F30" s="1">
        <v>4</v>
      </c>
      <c r="G30" s="1" t="b">
        <f t="shared" si="2"/>
        <v>1</v>
      </c>
      <c r="H30" s="1" t="str">
        <f t="shared" si="3"/>
        <v>Sunday</v>
      </c>
      <c r="I30" s="1">
        <v>2</v>
      </c>
      <c r="J30" s="1">
        <v>0.46</v>
      </c>
    </row>
    <row r="31" spans="1:10" x14ac:dyDescent="0.2">
      <c r="A31" s="1">
        <v>30</v>
      </c>
      <c r="B31" s="2">
        <v>40545</v>
      </c>
      <c r="C31" s="1">
        <v>1</v>
      </c>
      <c r="D31" s="1">
        <f t="shared" si="0"/>
        <v>2011</v>
      </c>
      <c r="E31" s="1" t="str">
        <f t="shared" si="1"/>
        <v>January</v>
      </c>
      <c r="F31" s="1">
        <v>6</v>
      </c>
      <c r="G31" s="1" t="b">
        <f t="shared" si="2"/>
        <v>1</v>
      </c>
      <c r="H31" s="1" t="str">
        <f t="shared" si="3"/>
        <v>Sunday</v>
      </c>
      <c r="I31" s="1">
        <v>3</v>
      </c>
      <c r="J31" s="1">
        <v>0.42</v>
      </c>
    </row>
    <row r="32" spans="1:10" x14ac:dyDescent="0.2">
      <c r="A32" s="1">
        <v>31</v>
      </c>
      <c r="B32" s="2">
        <v>40545</v>
      </c>
      <c r="C32" s="1">
        <v>1</v>
      </c>
      <c r="D32" s="1">
        <f t="shared" si="0"/>
        <v>2011</v>
      </c>
      <c r="E32" s="1" t="str">
        <f t="shared" si="1"/>
        <v>January</v>
      </c>
      <c r="F32" s="1">
        <v>7</v>
      </c>
      <c r="G32" s="1" t="b">
        <f t="shared" si="2"/>
        <v>1</v>
      </c>
      <c r="H32" s="1" t="str">
        <f t="shared" si="3"/>
        <v>Sunday</v>
      </c>
      <c r="I32" s="1">
        <v>2</v>
      </c>
      <c r="J32" s="1">
        <v>0.4</v>
      </c>
    </row>
    <row r="33" spans="1:10" x14ac:dyDescent="0.2">
      <c r="A33" s="1">
        <v>32</v>
      </c>
      <c r="B33" s="2">
        <v>40545</v>
      </c>
      <c r="C33" s="1">
        <v>1</v>
      </c>
      <c r="D33" s="1">
        <f t="shared" si="0"/>
        <v>2011</v>
      </c>
      <c r="E33" s="1" t="str">
        <f t="shared" si="1"/>
        <v>January</v>
      </c>
      <c r="F33" s="1">
        <v>8</v>
      </c>
      <c r="G33" s="1" t="b">
        <f t="shared" si="2"/>
        <v>1</v>
      </c>
      <c r="H33" s="1" t="str">
        <f t="shared" si="3"/>
        <v>Sunday</v>
      </c>
      <c r="I33" s="1">
        <v>3</v>
      </c>
      <c r="J33" s="1">
        <v>0.4</v>
      </c>
    </row>
    <row r="34" spans="1:10" x14ac:dyDescent="0.2">
      <c r="A34" s="1">
        <v>33</v>
      </c>
      <c r="B34" s="2">
        <v>40545</v>
      </c>
      <c r="C34" s="1">
        <v>1</v>
      </c>
      <c r="D34" s="1">
        <f t="shared" si="0"/>
        <v>2011</v>
      </c>
      <c r="E34" s="1" t="str">
        <f t="shared" si="1"/>
        <v>January</v>
      </c>
      <c r="F34" s="1">
        <v>9</v>
      </c>
      <c r="G34" s="1" t="b">
        <f t="shared" si="2"/>
        <v>1</v>
      </c>
      <c r="H34" s="1" t="str">
        <f t="shared" si="3"/>
        <v>Sunday</v>
      </c>
      <c r="I34" s="1">
        <v>2</v>
      </c>
      <c r="J34" s="1">
        <v>0.38</v>
      </c>
    </row>
    <row r="35" spans="1:10" x14ac:dyDescent="0.2">
      <c r="A35" s="1">
        <v>34</v>
      </c>
      <c r="B35" s="2">
        <v>40545</v>
      </c>
      <c r="C35" s="1">
        <v>1</v>
      </c>
      <c r="D35" s="1">
        <f t="shared" si="0"/>
        <v>2011</v>
      </c>
      <c r="E35" s="1" t="str">
        <f t="shared" si="1"/>
        <v>January</v>
      </c>
      <c r="F35" s="1">
        <v>10</v>
      </c>
      <c r="G35" s="1" t="b">
        <f t="shared" si="2"/>
        <v>1</v>
      </c>
      <c r="H35" s="1" t="str">
        <f t="shared" si="3"/>
        <v>Sunday</v>
      </c>
      <c r="I35" s="1">
        <v>2</v>
      </c>
      <c r="J35" s="1">
        <v>0.36</v>
      </c>
    </row>
    <row r="36" spans="1:10" x14ac:dyDescent="0.2">
      <c r="A36" s="1">
        <v>35</v>
      </c>
      <c r="B36" s="2">
        <v>40545</v>
      </c>
      <c r="C36" s="1">
        <v>1</v>
      </c>
      <c r="D36" s="1">
        <f t="shared" si="0"/>
        <v>2011</v>
      </c>
      <c r="E36" s="1" t="str">
        <f t="shared" si="1"/>
        <v>January</v>
      </c>
      <c r="F36" s="1">
        <v>11</v>
      </c>
      <c r="G36" s="1" t="b">
        <f t="shared" si="2"/>
        <v>1</v>
      </c>
      <c r="H36" s="1" t="str">
        <f t="shared" si="3"/>
        <v>Sunday</v>
      </c>
      <c r="I36" s="1">
        <v>2</v>
      </c>
      <c r="J36" s="1">
        <v>0.36</v>
      </c>
    </row>
    <row r="37" spans="1:10" x14ac:dyDescent="0.2">
      <c r="A37" s="1">
        <v>36</v>
      </c>
      <c r="B37" s="2">
        <v>40545</v>
      </c>
      <c r="C37" s="1">
        <v>1</v>
      </c>
      <c r="D37" s="1">
        <f t="shared" si="0"/>
        <v>2011</v>
      </c>
      <c r="E37" s="1" t="str">
        <f t="shared" si="1"/>
        <v>January</v>
      </c>
      <c r="F37" s="1">
        <v>12</v>
      </c>
      <c r="G37" s="1" t="b">
        <f t="shared" si="2"/>
        <v>1</v>
      </c>
      <c r="H37" s="1" t="str">
        <f t="shared" si="3"/>
        <v>Sunday</v>
      </c>
      <c r="I37" s="1">
        <v>2</v>
      </c>
      <c r="J37" s="1">
        <v>0.36</v>
      </c>
    </row>
    <row r="38" spans="1:10" x14ac:dyDescent="0.2">
      <c r="A38" s="1">
        <v>37</v>
      </c>
      <c r="B38" s="2">
        <v>40545</v>
      </c>
      <c r="C38" s="1">
        <v>1</v>
      </c>
      <c r="D38" s="1">
        <f t="shared" si="0"/>
        <v>2011</v>
      </c>
      <c r="E38" s="1" t="str">
        <f t="shared" si="1"/>
        <v>January</v>
      </c>
      <c r="F38" s="1">
        <v>13</v>
      </c>
      <c r="G38" s="1" t="b">
        <f t="shared" si="2"/>
        <v>1</v>
      </c>
      <c r="H38" s="1" t="str">
        <f t="shared" si="3"/>
        <v>Sunday</v>
      </c>
      <c r="I38" s="1">
        <v>2</v>
      </c>
      <c r="J38" s="1">
        <v>0.36</v>
      </c>
    </row>
    <row r="39" spans="1:10" x14ac:dyDescent="0.2">
      <c r="A39" s="1">
        <v>38</v>
      </c>
      <c r="B39" s="2">
        <v>40545</v>
      </c>
      <c r="C39" s="1">
        <v>1</v>
      </c>
      <c r="D39" s="1">
        <f t="shared" si="0"/>
        <v>2011</v>
      </c>
      <c r="E39" s="1" t="str">
        <f t="shared" si="1"/>
        <v>January</v>
      </c>
      <c r="F39" s="1">
        <v>14</v>
      </c>
      <c r="G39" s="1" t="b">
        <f t="shared" si="2"/>
        <v>1</v>
      </c>
      <c r="H39" s="1" t="str">
        <f t="shared" si="3"/>
        <v>Sunday</v>
      </c>
      <c r="I39" s="1">
        <v>3</v>
      </c>
      <c r="J39" s="1">
        <v>0.36</v>
      </c>
    </row>
    <row r="40" spans="1:10" x14ac:dyDescent="0.2">
      <c r="A40" s="1">
        <v>39</v>
      </c>
      <c r="B40" s="2">
        <v>40545</v>
      </c>
      <c r="C40" s="1">
        <v>1</v>
      </c>
      <c r="D40" s="1">
        <f t="shared" si="0"/>
        <v>2011</v>
      </c>
      <c r="E40" s="1" t="str">
        <f t="shared" si="1"/>
        <v>January</v>
      </c>
      <c r="F40" s="1">
        <v>15</v>
      </c>
      <c r="G40" s="1" t="b">
        <f t="shared" si="2"/>
        <v>1</v>
      </c>
      <c r="H40" s="1" t="str">
        <f t="shared" si="3"/>
        <v>Sunday</v>
      </c>
      <c r="I40" s="1">
        <v>3</v>
      </c>
      <c r="J40" s="1">
        <v>0.34</v>
      </c>
    </row>
    <row r="41" spans="1:10" x14ac:dyDescent="0.2">
      <c r="A41" s="1">
        <v>40</v>
      </c>
      <c r="B41" s="2">
        <v>40545</v>
      </c>
      <c r="C41" s="1">
        <v>1</v>
      </c>
      <c r="D41" s="1">
        <f t="shared" si="0"/>
        <v>2011</v>
      </c>
      <c r="E41" s="1" t="str">
        <f t="shared" si="1"/>
        <v>January</v>
      </c>
      <c r="F41" s="1">
        <v>16</v>
      </c>
      <c r="G41" s="1" t="b">
        <f t="shared" si="2"/>
        <v>1</v>
      </c>
      <c r="H41" s="1" t="str">
        <f t="shared" si="3"/>
        <v>Sunday</v>
      </c>
      <c r="I41" s="1">
        <v>3</v>
      </c>
      <c r="J41" s="1">
        <v>0.34</v>
      </c>
    </row>
    <row r="42" spans="1:10" x14ac:dyDescent="0.2">
      <c r="A42" s="1">
        <v>41</v>
      </c>
      <c r="B42" s="2">
        <v>40545</v>
      </c>
      <c r="C42" s="1">
        <v>1</v>
      </c>
      <c r="D42" s="1">
        <f t="shared" si="0"/>
        <v>2011</v>
      </c>
      <c r="E42" s="1" t="str">
        <f t="shared" si="1"/>
        <v>January</v>
      </c>
      <c r="F42" s="1">
        <v>17</v>
      </c>
      <c r="G42" s="1" t="b">
        <f t="shared" si="2"/>
        <v>1</v>
      </c>
      <c r="H42" s="1" t="str">
        <f t="shared" si="3"/>
        <v>Sunday</v>
      </c>
      <c r="I42" s="1">
        <v>1</v>
      </c>
      <c r="J42" s="1">
        <v>0.34</v>
      </c>
    </row>
    <row r="43" spans="1:10" x14ac:dyDescent="0.2">
      <c r="A43" s="1">
        <v>42</v>
      </c>
      <c r="B43" s="2">
        <v>40545</v>
      </c>
      <c r="C43" s="1">
        <v>1</v>
      </c>
      <c r="D43" s="1">
        <f t="shared" si="0"/>
        <v>2011</v>
      </c>
      <c r="E43" s="1" t="str">
        <f t="shared" si="1"/>
        <v>January</v>
      </c>
      <c r="F43" s="1">
        <v>18</v>
      </c>
      <c r="G43" s="1" t="b">
        <f t="shared" si="2"/>
        <v>1</v>
      </c>
      <c r="H43" s="1" t="str">
        <f t="shared" si="3"/>
        <v>Sunday</v>
      </c>
      <c r="I43" s="1">
        <v>2</v>
      </c>
      <c r="J43" s="1">
        <v>0.36</v>
      </c>
    </row>
    <row r="44" spans="1:10" x14ac:dyDescent="0.2">
      <c r="A44" s="1">
        <v>43</v>
      </c>
      <c r="B44" s="2">
        <v>40545</v>
      </c>
      <c r="C44" s="1">
        <v>1</v>
      </c>
      <c r="D44" s="1">
        <f t="shared" si="0"/>
        <v>2011</v>
      </c>
      <c r="E44" s="1" t="str">
        <f t="shared" si="1"/>
        <v>January</v>
      </c>
      <c r="F44" s="1">
        <v>19</v>
      </c>
      <c r="G44" s="1" t="b">
        <f t="shared" si="2"/>
        <v>1</v>
      </c>
      <c r="H44" s="1" t="str">
        <f t="shared" si="3"/>
        <v>Sunday</v>
      </c>
      <c r="I44" s="1">
        <v>1</v>
      </c>
      <c r="J44" s="1">
        <v>0.32</v>
      </c>
    </row>
    <row r="45" spans="1:10" x14ac:dyDescent="0.2">
      <c r="A45" s="1">
        <v>44</v>
      </c>
      <c r="B45" s="2">
        <v>40545</v>
      </c>
      <c r="C45" s="1">
        <v>1</v>
      </c>
      <c r="D45" s="1">
        <f t="shared" si="0"/>
        <v>2011</v>
      </c>
      <c r="E45" s="1" t="str">
        <f t="shared" si="1"/>
        <v>January</v>
      </c>
      <c r="F45" s="1">
        <v>20</v>
      </c>
      <c r="G45" s="1" t="b">
        <f t="shared" si="2"/>
        <v>1</v>
      </c>
      <c r="H45" s="1" t="str">
        <f t="shared" si="3"/>
        <v>Sunday</v>
      </c>
      <c r="I45" s="1">
        <v>1</v>
      </c>
      <c r="J45" s="1">
        <v>0.3</v>
      </c>
    </row>
    <row r="46" spans="1:10" x14ac:dyDescent="0.2">
      <c r="A46" s="1">
        <v>45</v>
      </c>
      <c r="B46" s="2">
        <v>40545</v>
      </c>
      <c r="C46" s="1">
        <v>1</v>
      </c>
      <c r="D46" s="1">
        <f t="shared" si="0"/>
        <v>2011</v>
      </c>
      <c r="E46" s="1" t="str">
        <f t="shared" si="1"/>
        <v>January</v>
      </c>
      <c r="F46" s="1">
        <v>21</v>
      </c>
      <c r="G46" s="1" t="b">
        <f t="shared" si="2"/>
        <v>1</v>
      </c>
      <c r="H46" s="1" t="str">
        <f t="shared" si="3"/>
        <v>Sunday</v>
      </c>
      <c r="I46" s="1">
        <v>1</v>
      </c>
      <c r="J46" s="1">
        <v>0.26</v>
      </c>
    </row>
    <row r="47" spans="1:10" x14ac:dyDescent="0.2">
      <c r="A47" s="1">
        <v>46</v>
      </c>
      <c r="B47" s="2">
        <v>40545</v>
      </c>
      <c r="C47" s="1">
        <v>1</v>
      </c>
      <c r="D47" s="1">
        <f t="shared" si="0"/>
        <v>2011</v>
      </c>
      <c r="E47" s="1" t="str">
        <f t="shared" si="1"/>
        <v>January</v>
      </c>
      <c r="F47" s="1">
        <v>22</v>
      </c>
      <c r="G47" s="1" t="b">
        <f t="shared" si="2"/>
        <v>1</v>
      </c>
      <c r="H47" s="1" t="str">
        <f t="shared" si="3"/>
        <v>Sunday</v>
      </c>
      <c r="I47" s="1">
        <v>1</v>
      </c>
      <c r="J47" s="1">
        <v>0.24</v>
      </c>
    </row>
    <row r="48" spans="1:10" x14ac:dyDescent="0.2">
      <c r="A48" s="1">
        <v>47</v>
      </c>
      <c r="B48" s="2">
        <v>40545</v>
      </c>
      <c r="C48" s="1">
        <v>1</v>
      </c>
      <c r="D48" s="1">
        <f t="shared" si="0"/>
        <v>2011</v>
      </c>
      <c r="E48" s="1" t="str">
        <f t="shared" si="1"/>
        <v>January</v>
      </c>
      <c r="F48" s="1">
        <v>23</v>
      </c>
      <c r="G48" s="1" t="b">
        <f t="shared" si="2"/>
        <v>1</v>
      </c>
      <c r="H48" s="1" t="str">
        <f t="shared" si="3"/>
        <v>Sunday</v>
      </c>
      <c r="I48" s="1">
        <v>1</v>
      </c>
      <c r="J48" s="1">
        <v>0.22</v>
      </c>
    </row>
    <row r="49" spans="1:10" x14ac:dyDescent="0.2">
      <c r="A49" s="1">
        <v>48</v>
      </c>
      <c r="B49" s="2">
        <v>40546</v>
      </c>
      <c r="C49" s="1">
        <v>1</v>
      </c>
      <c r="D49" s="1">
        <f t="shared" si="0"/>
        <v>2011</v>
      </c>
      <c r="E49" s="1" t="str">
        <f t="shared" si="1"/>
        <v>January</v>
      </c>
      <c r="F49" s="1">
        <v>0</v>
      </c>
      <c r="G49" s="1" t="b">
        <f t="shared" si="2"/>
        <v>0</v>
      </c>
      <c r="H49" s="1" t="str">
        <f t="shared" si="3"/>
        <v>Monday</v>
      </c>
      <c r="I49" s="1">
        <v>1</v>
      </c>
      <c r="J49" s="1">
        <v>0.22</v>
      </c>
    </row>
    <row r="50" spans="1:10" x14ac:dyDescent="0.2">
      <c r="A50" s="1">
        <v>49</v>
      </c>
      <c r="B50" s="2">
        <v>40546</v>
      </c>
      <c r="C50" s="1">
        <v>1</v>
      </c>
      <c r="D50" s="1">
        <f t="shared" si="0"/>
        <v>2011</v>
      </c>
      <c r="E50" s="1" t="str">
        <f t="shared" si="1"/>
        <v>January</v>
      </c>
      <c r="F50" s="1">
        <v>1</v>
      </c>
      <c r="G50" s="1" t="b">
        <f t="shared" si="2"/>
        <v>0</v>
      </c>
      <c r="H50" s="1" t="str">
        <f t="shared" si="3"/>
        <v>Monday</v>
      </c>
      <c r="I50" s="1">
        <v>1</v>
      </c>
      <c r="J50" s="1">
        <v>0.2</v>
      </c>
    </row>
    <row r="51" spans="1:10" x14ac:dyDescent="0.2">
      <c r="A51" s="1">
        <v>50</v>
      </c>
      <c r="B51" s="2">
        <v>40546</v>
      </c>
      <c r="C51" s="1">
        <v>1</v>
      </c>
      <c r="D51" s="1">
        <f t="shared" si="0"/>
        <v>2011</v>
      </c>
      <c r="E51" s="1" t="str">
        <f t="shared" si="1"/>
        <v>January</v>
      </c>
      <c r="F51" s="1">
        <v>4</v>
      </c>
      <c r="G51" s="1" t="b">
        <f t="shared" si="2"/>
        <v>0</v>
      </c>
      <c r="H51" s="1" t="str">
        <f t="shared" si="3"/>
        <v>Monday</v>
      </c>
      <c r="I51" s="1">
        <v>1</v>
      </c>
      <c r="J51" s="1">
        <v>0.16</v>
      </c>
    </row>
    <row r="52" spans="1:10" x14ac:dyDescent="0.2">
      <c r="A52" s="1">
        <v>51</v>
      </c>
      <c r="B52" s="2">
        <v>40546</v>
      </c>
      <c r="C52" s="1">
        <v>1</v>
      </c>
      <c r="D52" s="1">
        <f t="shared" si="0"/>
        <v>2011</v>
      </c>
      <c r="E52" s="1" t="str">
        <f t="shared" si="1"/>
        <v>January</v>
      </c>
      <c r="F52" s="1">
        <v>5</v>
      </c>
      <c r="G52" s="1" t="b">
        <f t="shared" si="2"/>
        <v>0</v>
      </c>
      <c r="H52" s="1" t="str">
        <f t="shared" si="3"/>
        <v>Monday</v>
      </c>
      <c r="I52" s="1">
        <v>1</v>
      </c>
      <c r="J52" s="1">
        <v>0.16</v>
      </c>
    </row>
    <row r="53" spans="1:10" x14ac:dyDescent="0.2">
      <c r="A53" s="1">
        <v>52</v>
      </c>
      <c r="B53" s="2">
        <v>40546</v>
      </c>
      <c r="C53" s="1">
        <v>1</v>
      </c>
      <c r="D53" s="1">
        <f t="shared" si="0"/>
        <v>2011</v>
      </c>
      <c r="E53" s="1" t="str">
        <f t="shared" si="1"/>
        <v>January</v>
      </c>
      <c r="F53" s="1">
        <v>6</v>
      </c>
      <c r="G53" s="1" t="b">
        <f t="shared" si="2"/>
        <v>0</v>
      </c>
      <c r="H53" s="1" t="str">
        <f t="shared" si="3"/>
        <v>Monday</v>
      </c>
      <c r="I53" s="1">
        <v>1</v>
      </c>
      <c r="J53" s="1">
        <v>0.14000000000000001</v>
      </c>
    </row>
    <row r="54" spans="1:10" x14ac:dyDescent="0.2">
      <c r="A54" s="1">
        <v>53</v>
      </c>
      <c r="B54" s="2">
        <v>40546</v>
      </c>
      <c r="C54" s="1">
        <v>1</v>
      </c>
      <c r="D54" s="1">
        <f t="shared" si="0"/>
        <v>2011</v>
      </c>
      <c r="E54" s="1" t="str">
        <f t="shared" si="1"/>
        <v>January</v>
      </c>
      <c r="F54" s="1">
        <v>7</v>
      </c>
      <c r="G54" s="1" t="b">
        <f t="shared" si="2"/>
        <v>0</v>
      </c>
      <c r="H54" s="1" t="str">
        <f t="shared" si="3"/>
        <v>Monday</v>
      </c>
      <c r="I54" s="1">
        <v>1</v>
      </c>
      <c r="J54" s="1">
        <v>0.14000000000000001</v>
      </c>
    </row>
    <row r="55" spans="1:10" x14ac:dyDescent="0.2">
      <c r="A55" s="1">
        <v>54</v>
      </c>
      <c r="B55" s="2">
        <v>40546</v>
      </c>
      <c r="C55" s="1">
        <v>1</v>
      </c>
      <c r="D55" s="1">
        <f t="shared" si="0"/>
        <v>2011</v>
      </c>
      <c r="E55" s="1" t="str">
        <f t="shared" si="1"/>
        <v>January</v>
      </c>
      <c r="F55" s="1">
        <v>8</v>
      </c>
      <c r="G55" s="1" t="b">
        <f t="shared" si="2"/>
        <v>0</v>
      </c>
      <c r="H55" s="1" t="str">
        <f t="shared" si="3"/>
        <v>Monday</v>
      </c>
      <c r="I55" s="1">
        <v>1</v>
      </c>
      <c r="J55" s="1">
        <v>0.14000000000000001</v>
      </c>
    </row>
    <row r="56" spans="1:10" x14ac:dyDescent="0.2">
      <c r="A56" s="1">
        <v>55</v>
      </c>
      <c r="B56" s="2">
        <v>40546</v>
      </c>
      <c r="C56" s="1">
        <v>1</v>
      </c>
      <c r="D56" s="1">
        <f t="shared" si="0"/>
        <v>2011</v>
      </c>
      <c r="E56" s="1" t="str">
        <f t="shared" si="1"/>
        <v>January</v>
      </c>
      <c r="F56" s="1">
        <v>9</v>
      </c>
      <c r="G56" s="1" t="b">
        <f t="shared" si="2"/>
        <v>0</v>
      </c>
      <c r="H56" s="1" t="str">
        <f t="shared" si="3"/>
        <v>Monday</v>
      </c>
      <c r="I56" s="1">
        <v>1</v>
      </c>
      <c r="J56" s="1">
        <v>0.16</v>
      </c>
    </row>
    <row r="57" spans="1:10" x14ac:dyDescent="0.2">
      <c r="A57" s="1">
        <v>56</v>
      </c>
      <c r="B57" s="2">
        <v>40546</v>
      </c>
      <c r="C57" s="1">
        <v>1</v>
      </c>
      <c r="D57" s="1">
        <f t="shared" si="0"/>
        <v>2011</v>
      </c>
      <c r="E57" s="1" t="str">
        <f t="shared" si="1"/>
        <v>January</v>
      </c>
      <c r="F57" s="1">
        <v>10</v>
      </c>
      <c r="G57" s="1" t="b">
        <f t="shared" si="2"/>
        <v>0</v>
      </c>
      <c r="H57" s="1" t="str">
        <f t="shared" si="3"/>
        <v>Monday</v>
      </c>
      <c r="I57" s="1">
        <v>1</v>
      </c>
      <c r="J57" s="1">
        <v>0.18</v>
      </c>
    </row>
    <row r="58" spans="1:10" x14ac:dyDescent="0.2">
      <c r="A58" s="1">
        <v>57</v>
      </c>
      <c r="B58" s="2">
        <v>40546</v>
      </c>
      <c r="C58" s="1">
        <v>1</v>
      </c>
      <c r="D58" s="1">
        <f t="shared" si="0"/>
        <v>2011</v>
      </c>
      <c r="E58" s="1" t="str">
        <f t="shared" si="1"/>
        <v>January</v>
      </c>
      <c r="F58" s="1">
        <v>11</v>
      </c>
      <c r="G58" s="1" t="b">
        <f t="shared" si="2"/>
        <v>0</v>
      </c>
      <c r="H58" s="1" t="str">
        <f t="shared" si="3"/>
        <v>Monday</v>
      </c>
      <c r="I58" s="1">
        <v>1</v>
      </c>
      <c r="J58" s="1">
        <v>0.2</v>
      </c>
    </row>
    <row r="59" spans="1:10" x14ac:dyDescent="0.2">
      <c r="A59" s="1">
        <v>58</v>
      </c>
      <c r="B59" s="2">
        <v>40546</v>
      </c>
      <c r="C59" s="1">
        <v>1</v>
      </c>
      <c r="D59" s="1">
        <f t="shared" si="0"/>
        <v>2011</v>
      </c>
      <c r="E59" s="1" t="str">
        <f t="shared" si="1"/>
        <v>January</v>
      </c>
      <c r="F59" s="1">
        <v>12</v>
      </c>
      <c r="G59" s="1" t="b">
        <f t="shared" si="2"/>
        <v>0</v>
      </c>
      <c r="H59" s="1" t="str">
        <f t="shared" si="3"/>
        <v>Monday</v>
      </c>
      <c r="I59" s="1">
        <v>1</v>
      </c>
      <c r="J59" s="1">
        <v>0.22</v>
      </c>
    </row>
    <row r="60" spans="1:10" x14ac:dyDescent="0.2">
      <c r="A60" s="1">
        <v>59</v>
      </c>
      <c r="B60" s="2">
        <v>40546</v>
      </c>
      <c r="C60" s="1">
        <v>1</v>
      </c>
      <c r="D60" s="1">
        <f t="shared" si="0"/>
        <v>2011</v>
      </c>
      <c r="E60" s="1" t="str">
        <f t="shared" si="1"/>
        <v>January</v>
      </c>
      <c r="F60" s="1">
        <v>13</v>
      </c>
      <c r="G60" s="1" t="b">
        <f t="shared" si="2"/>
        <v>0</v>
      </c>
      <c r="H60" s="1" t="str">
        <f t="shared" si="3"/>
        <v>Monday</v>
      </c>
      <c r="I60" s="1">
        <v>1</v>
      </c>
      <c r="J60" s="1">
        <v>0.24</v>
      </c>
    </row>
    <row r="61" spans="1:10" x14ac:dyDescent="0.2">
      <c r="A61" s="1">
        <v>60</v>
      </c>
      <c r="B61" s="2">
        <v>40546</v>
      </c>
      <c r="C61" s="1">
        <v>1</v>
      </c>
      <c r="D61" s="1">
        <f t="shared" si="0"/>
        <v>2011</v>
      </c>
      <c r="E61" s="1" t="str">
        <f t="shared" si="1"/>
        <v>January</v>
      </c>
      <c r="F61" s="1">
        <v>14</v>
      </c>
      <c r="G61" s="1" t="b">
        <f t="shared" si="2"/>
        <v>0</v>
      </c>
      <c r="H61" s="1" t="str">
        <f t="shared" si="3"/>
        <v>Monday</v>
      </c>
      <c r="I61" s="1">
        <v>1</v>
      </c>
      <c r="J61" s="1">
        <v>0.26</v>
      </c>
    </row>
    <row r="62" spans="1:10" x14ac:dyDescent="0.2">
      <c r="A62" s="1">
        <v>61</v>
      </c>
      <c r="B62" s="2">
        <v>40546</v>
      </c>
      <c r="C62" s="1">
        <v>1</v>
      </c>
      <c r="D62" s="1">
        <f t="shared" si="0"/>
        <v>2011</v>
      </c>
      <c r="E62" s="1" t="str">
        <f t="shared" si="1"/>
        <v>January</v>
      </c>
      <c r="F62" s="1">
        <v>15</v>
      </c>
      <c r="G62" s="1" t="b">
        <f t="shared" si="2"/>
        <v>0</v>
      </c>
      <c r="H62" s="1" t="str">
        <f t="shared" si="3"/>
        <v>Monday</v>
      </c>
      <c r="I62" s="1">
        <v>1</v>
      </c>
      <c r="J62" s="1">
        <v>0.26</v>
      </c>
    </row>
    <row r="63" spans="1:10" x14ac:dyDescent="0.2">
      <c r="A63" s="1">
        <v>62</v>
      </c>
      <c r="B63" s="2">
        <v>40546</v>
      </c>
      <c r="C63" s="1">
        <v>1</v>
      </c>
      <c r="D63" s="1">
        <f t="shared" si="0"/>
        <v>2011</v>
      </c>
      <c r="E63" s="1" t="str">
        <f t="shared" si="1"/>
        <v>January</v>
      </c>
      <c r="F63" s="1">
        <v>16</v>
      </c>
      <c r="G63" s="1" t="b">
        <f t="shared" si="2"/>
        <v>0</v>
      </c>
      <c r="H63" s="1" t="str">
        <f t="shared" si="3"/>
        <v>Monday</v>
      </c>
      <c r="I63" s="1">
        <v>1</v>
      </c>
      <c r="J63" s="1">
        <v>0.26</v>
      </c>
    </row>
    <row r="64" spans="1:10" x14ac:dyDescent="0.2">
      <c r="A64" s="1">
        <v>63</v>
      </c>
      <c r="B64" s="2">
        <v>40546</v>
      </c>
      <c r="C64" s="1">
        <v>1</v>
      </c>
      <c r="D64" s="1">
        <f t="shared" si="0"/>
        <v>2011</v>
      </c>
      <c r="E64" s="1" t="str">
        <f t="shared" si="1"/>
        <v>January</v>
      </c>
      <c r="F64" s="1">
        <v>17</v>
      </c>
      <c r="G64" s="1" t="b">
        <f t="shared" si="2"/>
        <v>0</v>
      </c>
      <c r="H64" s="1" t="str">
        <f t="shared" si="3"/>
        <v>Monday</v>
      </c>
      <c r="I64" s="1">
        <v>1</v>
      </c>
      <c r="J64" s="1">
        <v>0.24</v>
      </c>
    </row>
    <row r="65" spans="1:10" x14ac:dyDescent="0.2">
      <c r="A65" s="1">
        <v>64</v>
      </c>
      <c r="B65" s="2">
        <v>40546</v>
      </c>
      <c r="C65" s="1">
        <v>1</v>
      </c>
      <c r="D65" s="1">
        <f t="shared" si="0"/>
        <v>2011</v>
      </c>
      <c r="E65" s="1" t="str">
        <f t="shared" si="1"/>
        <v>January</v>
      </c>
      <c r="F65" s="1">
        <v>18</v>
      </c>
      <c r="G65" s="1" t="b">
        <f t="shared" si="2"/>
        <v>0</v>
      </c>
      <c r="H65" s="1" t="str">
        <f t="shared" si="3"/>
        <v>Monday</v>
      </c>
      <c r="I65" s="1">
        <v>1</v>
      </c>
      <c r="J65" s="1">
        <v>0.24</v>
      </c>
    </row>
    <row r="66" spans="1:10" x14ac:dyDescent="0.2">
      <c r="A66" s="1">
        <v>65</v>
      </c>
      <c r="B66" s="2">
        <v>40546</v>
      </c>
      <c r="C66" s="1">
        <v>1</v>
      </c>
      <c r="D66" s="1">
        <f t="shared" si="0"/>
        <v>2011</v>
      </c>
      <c r="E66" s="1" t="str">
        <f t="shared" si="1"/>
        <v>January</v>
      </c>
      <c r="F66" s="1">
        <v>19</v>
      </c>
      <c r="G66" s="1" t="b">
        <f t="shared" si="2"/>
        <v>0</v>
      </c>
      <c r="H66" s="1" t="str">
        <f t="shared" si="3"/>
        <v>Monday</v>
      </c>
      <c r="I66" s="1">
        <v>1</v>
      </c>
      <c r="J66" s="1">
        <v>0.2</v>
      </c>
    </row>
    <row r="67" spans="1:10" x14ac:dyDescent="0.2">
      <c r="A67" s="1">
        <v>66</v>
      </c>
      <c r="B67" s="2">
        <v>40546</v>
      </c>
      <c r="C67" s="1">
        <v>1</v>
      </c>
      <c r="D67" s="1">
        <f t="shared" ref="D67:D130" si="4">YEAR(B67)</f>
        <v>2011</v>
      </c>
      <c r="E67" s="1" t="str">
        <f t="shared" ref="E67:E130" si="5">TEXT(B67,"MMMM")</f>
        <v>January</v>
      </c>
      <c r="F67" s="1">
        <v>20</v>
      </c>
      <c r="G67" s="1" t="b">
        <f t="shared" ref="G67:G130" si="6">IF(H67="Sunday",TRUE,FALSE)</f>
        <v>0</v>
      </c>
      <c r="H67" s="1" t="str">
        <f t="shared" ref="H67:H130" si="7">TEXT(B67,"DDDD")</f>
        <v>Monday</v>
      </c>
      <c r="I67" s="1">
        <v>1</v>
      </c>
      <c r="J67" s="1">
        <v>0.2</v>
      </c>
    </row>
    <row r="68" spans="1:10" x14ac:dyDescent="0.2">
      <c r="A68" s="1">
        <v>67</v>
      </c>
      <c r="B68" s="2">
        <v>40546</v>
      </c>
      <c r="C68" s="1">
        <v>1</v>
      </c>
      <c r="D68" s="1">
        <f t="shared" si="4"/>
        <v>2011</v>
      </c>
      <c r="E68" s="1" t="str">
        <f t="shared" si="5"/>
        <v>January</v>
      </c>
      <c r="F68" s="1">
        <v>21</v>
      </c>
      <c r="G68" s="1" t="b">
        <f t="shared" si="6"/>
        <v>0</v>
      </c>
      <c r="H68" s="1" t="str">
        <f t="shared" si="7"/>
        <v>Monday</v>
      </c>
      <c r="I68" s="1">
        <v>1</v>
      </c>
      <c r="J68" s="1">
        <v>0.18</v>
      </c>
    </row>
    <row r="69" spans="1:10" x14ac:dyDescent="0.2">
      <c r="A69" s="1">
        <v>68</v>
      </c>
      <c r="B69" s="2">
        <v>40546</v>
      </c>
      <c r="C69" s="1">
        <v>1</v>
      </c>
      <c r="D69" s="1">
        <f t="shared" si="4"/>
        <v>2011</v>
      </c>
      <c r="E69" s="1" t="str">
        <f t="shared" si="5"/>
        <v>January</v>
      </c>
      <c r="F69" s="1">
        <v>22</v>
      </c>
      <c r="G69" s="1" t="b">
        <f t="shared" si="6"/>
        <v>0</v>
      </c>
      <c r="H69" s="1" t="str">
        <f t="shared" si="7"/>
        <v>Monday</v>
      </c>
      <c r="I69" s="1">
        <v>1</v>
      </c>
      <c r="J69" s="1">
        <v>0.14000000000000001</v>
      </c>
    </row>
    <row r="70" spans="1:10" x14ac:dyDescent="0.2">
      <c r="A70" s="1">
        <v>69</v>
      </c>
      <c r="B70" s="2">
        <v>40546</v>
      </c>
      <c r="C70" s="1">
        <v>1</v>
      </c>
      <c r="D70" s="1">
        <f t="shared" si="4"/>
        <v>2011</v>
      </c>
      <c r="E70" s="1" t="str">
        <f t="shared" si="5"/>
        <v>January</v>
      </c>
      <c r="F70" s="1">
        <v>23</v>
      </c>
      <c r="G70" s="1" t="b">
        <f t="shared" si="6"/>
        <v>0</v>
      </c>
      <c r="H70" s="1" t="str">
        <f t="shared" si="7"/>
        <v>Monday</v>
      </c>
      <c r="I70" s="1">
        <v>1</v>
      </c>
      <c r="J70" s="1">
        <v>0.18</v>
      </c>
    </row>
    <row r="71" spans="1:10" x14ac:dyDescent="0.2">
      <c r="A71" s="1">
        <v>70</v>
      </c>
      <c r="B71" s="2">
        <v>40547</v>
      </c>
      <c r="C71" s="1">
        <v>1</v>
      </c>
      <c r="D71" s="1">
        <f t="shared" si="4"/>
        <v>2011</v>
      </c>
      <c r="E71" s="1" t="str">
        <f t="shared" si="5"/>
        <v>January</v>
      </c>
      <c r="F71" s="1">
        <v>0</v>
      </c>
      <c r="G71" s="1" t="b">
        <f t="shared" si="6"/>
        <v>0</v>
      </c>
      <c r="H71" s="1" t="str">
        <f t="shared" si="7"/>
        <v>Tuesday</v>
      </c>
      <c r="I71" s="1">
        <v>1</v>
      </c>
      <c r="J71" s="1">
        <v>0.16</v>
      </c>
    </row>
    <row r="72" spans="1:10" x14ac:dyDescent="0.2">
      <c r="A72" s="1">
        <v>71</v>
      </c>
      <c r="B72" s="2">
        <v>40547</v>
      </c>
      <c r="C72" s="1">
        <v>1</v>
      </c>
      <c r="D72" s="1">
        <f t="shared" si="4"/>
        <v>2011</v>
      </c>
      <c r="E72" s="1" t="str">
        <f t="shared" si="5"/>
        <v>January</v>
      </c>
      <c r="F72" s="1">
        <v>1</v>
      </c>
      <c r="G72" s="1" t="b">
        <f t="shared" si="6"/>
        <v>0</v>
      </c>
      <c r="H72" s="1" t="str">
        <f t="shared" si="7"/>
        <v>Tuesday</v>
      </c>
      <c r="I72" s="1">
        <v>1</v>
      </c>
      <c r="J72" s="1">
        <v>0.16</v>
      </c>
    </row>
    <row r="73" spans="1:10" x14ac:dyDescent="0.2">
      <c r="A73" s="1">
        <v>72</v>
      </c>
      <c r="B73" s="2">
        <v>40547</v>
      </c>
      <c r="C73" s="1">
        <v>1</v>
      </c>
      <c r="D73" s="1">
        <f t="shared" si="4"/>
        <v>2011</v>
      </c>
      <c r="E73" s="1" t="str">
        <f t="shared" si="5"/>
        <v>January</v>
      </c>
      <c r="F73" s="1">
        <v>2</v>
      </c>
      <c r="G73" s="1" t="b">
        <f t="shared" si="6"/>
        <v>0</v>
      </c>
      <c r="H73" s="1" t="str">
        <f t="shared" si="7"/>
        <v>Tuesday</v>
      </c>
      <c r="I73" s="1">
        <v>1</v>
      </c>
      <c r="J73" s="1">
        <v>0.14000000000000001</v>
      </c>
    </row>
    <row r="74" spans="1:10" x14ac:dyDescent="0.2">
      <c r="A74" s="1">
        <v>73</v>
      </c>
      <c r="B74" s="2">
        <v>40547</v>
      </c>
      <c r="C74" s="1">
        <v>1</v>
      </c>
      <c r="D74" s="1">
        <f t="shared" si="4"/>
        <v>2011</v>
      </c>
      <c r="E74" s="1" t="str">
        <f t="shared" si="5"/>
        <v>January</v>
      </c>
      <c r="F74" s="1">
        <v>4</v>
      </c>
      <c r="G74" s="1" t="b">
        <f t="shared" si="6"/>
        <v>0</v>
      </c>
      <c r="H74" s="1" t="str">
        <f t="shared" si="7"/>
        <v>Tuesday</v>
      </c>
      <c r="I74" s="1">
        <v>1</v>
      </c>
      <c r="J74" s="1">
        <v>0.14000000000000001</v>
      </c>
    </row>
    <row r="75" spans="1:10" x14ac:dyDescent="0.2">
      <c r="A75" s="1">
        <v>74</v>
      </c>
      <c r="B75" s="2">
        <v>40547</v>
      </c>
      <c r="C75" s="1">
        <v>1</v>
      </c>
      <c r="D75" s="1">
        <f t="shared" si="4"/>
        <v>2011</v>
      </c>
      <c r="E75" s="1" t="str">
        <f t="shared" si="5"/>
        <v>January</v>
      </c>
      <c r="F75" s="1">
        <v>5</v>
      </c>
      <c r="G75" s="1" t="b">
        <f t="shared" si="6"/>
        <v>0</v>
      </c>
      <c r="H75" s="1" t="str">
        <f t="shared" si="7"/>
        <v>Tuesday</v>
      </c>
      <c r="I75" s="1">
        <v>1</v>
      </c>
      <c r="J75" s="1">
        <v>0.12</v>
      </c>
    </row>
    <row r="76" spans="1:10" x14ac:dyDescent="0.2">
      <c r="A76" s="1">
        <v>75</v>
      </c>
      <c r="B76" s="2">
        <v>40547</v>
      </c>
      <c r="C76" s="1">
        <v>1</v>
      </c>
      <c r="D76" s="1">
        <f t="shared" si="4"/>
        <v>2011</v>
      </c>
      <c r="E76" s="1" t="str">
        <f t="shared" si="5"/>
        <v>January</v>
      </c>
      <c r="F76" s="1">
        <v>6</v>
      </c>
      <c r="G76" s="1" t="b">
        <f t="shared" si="6"/>
        <v>0</v>
      </c>
      <c r="H76" s="1" t="str">
        <f t="shared" si="7"/>
        <v>Tuesday</v>
      </c>
      <c r="I76" s="1">
        <v>1</v>
      </c>
      <c r="J76" s="1">
        <v>0.12</v>
      </c>
    </row>
    <row r="77" spans="1:10" x14ac:dyDescent="0.2">
      <c r="A77" s="1">
        <v>76</v>
      </c>
      <c r="B77" s="2">
        <v>40547</v>
      </c>
      <c r="C77" s="1">
        <v>1</v>
      </c>
      <c r="D77" s="1">
        <f t="shared" si="4"/>
        <v>2011</v>
      </c>
      <c r="E77" s="1" t="str">
        <f t="shared" si="5"/>
        <v>January</v>
      </c>
      <c r="F77" s="1">
        <v>7</v>
      </c>
      <c r="G77" s="1" t="b">
        <f t="shared" si="6"/>
        <v>0</v>
      </c>
      <c r="H77" s="1" t="str">
        <f t="shared" si="7"/>
        <v>Tuesday</v>
      </c>
      <c r="I77" s="1">
        <v>1</v>
      </c>
      <c r="J77" s="1">
        <v>0.12</v>
      </c>
    </row>
    <row r="78" spans="1:10" x14ac:dyDescent="0.2">
      <c r="A78" s="1">
        <v>77</v>
      </c>
      <c r="B78" s="2">
        <v>40547</v>
      </c>
      <c r="C78" s="1">
        <v>1</v>
      </c>
      <c r="D78" s="1">
        <f t="shared" si="4"/>
        <v>2011</v>
      </c>
      <c r="E78" s="1" t="str">
        <f t="shared" si="5"/>
        <v>January</v>
      </c>
      <c r="F78" s="1">
        <v>8</v>
      </c>
      <c r="G78" s="1" t="b">
        <f t="shared" si="6"/>
        <v>0</v>
      </c>
      <c r="H78" s="1" t="str">
        <f t="shared" si="7"/>
        <v>Tuesday</v>
      </c>
      <c r="I78" s="1">
        <v>1</v>
      </c>
      <c r="J78" s="1">
        <v>0.14000000000000001</v>
      </c>
    </row>
    <row r="79" spans="1:10" x14ac:dyDescent="0.2">
      <c r="A79" s="1">
        <v>78</v>
      </c>
      <c r="B79" s="2">
        <v>40547</v>
      </c>
      <c r="C79" s="1">
        <v>1</v>
      </c>
      <c r="D79" s="1">
        <f t="shared" si="4"/>
        <v>2011</v>
      </c>
      <c r="E79" s="1" t="str">
        <f t="shared" si="5"/>
        <v>January</v>
      </c>
      <c r="F79" s="1">
        <v>9</v>
      </c>
      <c r="G79" s="1" t="b">
        <f t="shared" si="6"/>
        <v>0</v>
      </c>
      <c r="H79" s="1" t="str">
        <f t="shared" si="7"/>
        <v>Tuesday</v>
      </c>
      <c r="I79" s="1">
        <v>1</v>
      </c>
      <c r="J79" s="1">
        <v>0.16</v>
      </c>
    </row>
    <row r="80" spans="1:10" x14ac:dyDescent="0.2">
      <c r="A80" s="1">
        <v>79</v>
      </c>
      <c r="B80" s="2">
        <v>40547</v>
      </c>
      <c r="C80" s="1">
        <v>1</v>
      </c>
      <c r="D80" s="1">
        <f t="shared" si="4"/>
        <v>2011</v>
      </c>
      <c r="E80" s="1" t="str">
        <f t="shared" si="5"/>
        <v>January</v>
      </c>
      <c r="F80" s="1">
        <v>10</v>
      </c>
      <c r="G80" s="1" t="b">
        <f t="shared" si="6"/>
        <v>0</v>
      </c>
      <c r="H80" s="1" t="str">
        <f t="shared" si="7"/>
        <v>Tuesday</v>
      </c>
      <c r="I80" s="1">
        <v>2</v>
      </c>
      <c r="J80" s="1">
        <v>0.16</v>
      </c>
    </row>
    <row r="81" spans="1:10" x14ac:dyDescent="0.2">
      <c r="A81" s="1">
        <v>80</v>
      </c>
      <c r="B81" s="2">
        <v>40547</v>
      </c>
      <c r="C81" s="1">
        <v>1</v>
      </c>
      <c r="D81" s="1">
        <f t="shared" si="4"/>
        <v>2011</v>
      </c>
      <c r="E81" s="1" t="str">
        <f t="shared" si="5"/>
        <v>January</v>
      </c>
      <c r="F81" s="1">
        <v>11</v>
      </c>
      <c r="G81" s="1" t="b">
        <f t="shared" si="6"/>
        <v>0</v>
      </c>
      <c r="H81" s="1" t="str">
        <f t="shared" si="7"/>
        <v>Tuesday</v>
      </c>
      <c r="I81" s="1">
        <v>1</v>
      </c>
      <c r="J81" s="1">
        <v>0.22</v>
      </c>
    </row>
    <row r="82" spans="1:10" x14ac:dyDescent="0.2">
      <c r="A82" s="1">
        <v>81</v>
      </c>
      <c r="B82" s="2">
        <v>40547</v>
      </c>
      <c r="C82" s="1">
        <v>1</v>
      </c>
      <c r="D82" s="1">
        <f t="shared" si="4"/>
        <v>2011</v>
      </c>
      <c r="E82" s="1" t="str">
        <f t="shared" si="5"/>
        <v>January</v>
      </c>
      <c r="F82" s="1">
        <v>12</v>
      </c>
      <c r="G82" s="1" t="b">
        <f t="shared" si="6"/>
        <v>0</v>
      </c>
      <c r="H82" s="1" t="str">
        <f t="shared" si="7"/>
        <v>Tuesday</v>
      </c>
      <c r="I82" s="1">
        <v>1</v>
      </c>
      <c r="J82" s="1">
        <v>0.22</v>
      </c>
    </row>
    <row r="83" spans="1:10" x14ac:dyDescent="0.2">
      <c r="A83" s="1">
        <v>82</v>
      </c>
      <c r="B83" s="2">
        <v>40547</v>
      </c>
      <c r="C83" s="1">
        <v>1</v>
      </c>
      <c r="D83" s="1">
        <f t="shared" si="4"/>
        <v>2011</v>
      </c>
      <c r="E83" s="1" t="str">
        <f t="shared" si="5"/>
        <v>January</v>
      </c>
      <c r="F83" s="1">
        <v>13</v>
      </c>
      <c r="G83" s="1" t="b">
        <f t="shared" si="6"/>
        <v>0</v>
      </c>
      <c r="H83" s="1" t="str">
        <f t="shared" si="7"/>
        <v>Tuesday</v>
      </c>
      <c r="I83" s="1">
        <v>1</v>
      </c>
      <c r="J83" s="1">
        <v>0.24</v>
      </c>
    </row>
    <row r="84" spans="1:10" x14ac:dyDescent="0.2">
      <c r="A84" s="1">
        <v>83</v>
      </c>
      <c r="B84" s="2">
        <v>40547</v>
      </c>
      <c r="C84" s="1">
        <v>1</v>
      </c>
      <c r="D84" s="1">
        <f t="shared" si="4"/>
        <v>2011</v>
      </c>
      <c r="E84" s="1" t="str">
        <f t="shared" si="5"/>
        <v>January</v>
      </c>
      <c r="F84" s="1">
        <v>14</v>
      </c>
      <c r="G84" s="1" t="b">
        <f t="shared" si="6"/>
        <v>0</v>
      </c>
      <c r="H84" s="1" t="str">
        <f t="shared" si="7"/>
        <v>Tuesday</v>
      </c>
      <c r="I84" s="1">
        <v>1</v>
      </c>
      <c r="J84" s="1">
        <v>0.26</v>
      </c>
    </row>
    <row r="85" spans="1:10" x14ac:dyDescent="0.2">
      <c r="A85" s="1">
        <v>84</v>
      </c>
      <c r="B85" s="2">
        <v>40547</v>
      </c>
      <c r="C85" s="1">
        <v>1</v>
      </c>
      <c r="D85" s="1">
        <f t="shared" si="4"/>
        <v>2011</v>
      </c>
      <c r="E85" s="1" t="str">
        <f t="shared" si="5"/>
        <v>January</v>
      </c>
      <c r="F85" s="1">
        <v>15</v>
      </c>
      <c r="G85" s="1" t="b">
        <f t="shared" si="6"/>
        <v>0</v>
      </c>
      <c r="H85" s="1" t="str">
        <f t="shared" si="7"/>
        <v>Tuesday</v>
      </c>
      <c r="I85" s="1">
        <v>1</v>
      </c>
      <c r="J85" s="1">
        <v>0.28000000000000003</v>
      </c>
    </row>
    <row r="86" spans="1:10" x14ac:dyDescent="0.2">
      <c r="A86" s="1">
        <v>85</v>
      </c>
      <c r="B86" s="2">
        <v>40547</v>
      </c>
      <c r="C86" s="1">
        <v>1</v>
      </c>
      <c r="D86" s="1">
        <f t="shared" si="4"/>
        <v>2011</v>
      </c>
      <c r="E86" s="1" t="str">
        <f t="shared" si="5"/>
        <v>January</v>
      </c>
      <c r="F86" s="1">
        <v>16</v>
      </c>
      <c r="G86" s="1" t="b">
        <f t="shared" si="6"/>
        <v>0</v>
      </c>
      <c r="H86" s="1" t="str">
        <f t="shared" si="7"/>
        <v>Tuesday</v>
      </c>
      <c r="I86" s="1">
        <v>1</v>
      </c>
      <c r="J86" s="1">
        <v>0.3</v>
      </c>
    </row>
    <row r="87" spans="1:10" x14ac:dyDescent="0.2">
      <c r="A87" s="1">
        <v>86</v>
      </c>
      <c r="B87" s="2">
        <v>40547</v>
      </c>
      <c r="C87" s="1">
        <v>1</v>
      </c>
      <c r="D87" s="1">
        <f t="shared" si="4"/>
        <v>2011</v>
      </c>
      <c r="E87" s="1" t="str">
        <f t="shared" si="5"/>
        <v>January</v>
      </c>
      <c r="F87" s="1">
        <v>17</v>
      </c>
      <c r="G87" s="1" t="b">
        <f t="shared" si="6"/>
        <v>0</v>
      </c>
      <c r="H87" s="1" t="str">
        <f t="shared" si="7"/>
        <v>Tuesday</v>
      </c>
      <c r="I87" s="1">
        <v>1</v>
      </c>
      <c r="J87" s="1">
        <v>0.28000000000000003</v>
      </c>
    </row>
    <row r="88" spans="1:10" x14ac:dyDescent="0.2">
      <c r="A88" s="1">
        <v>87</v>
      </c>
      <c r="B88" s="2">
        <v>40547</v>
      </c>
      <c r="C88" s="1">
        <v>1</v>
      </c>
      <c r="D88" s="1">
        <f t="shared" si="4"/>
        <v>2011</v>
      </c>
      <c r="E88" s="1" t="str">
        <f t="shared" si="5"/>
        <v>January</v>
      </c>
      <c r="F88" s="1">
        <v>18</v>
      </c>
      <c r="G88" s="1" t="b">
        <f t="shared" si="6"/>
        <v>0</v>
      </c>
      <c r="H88" s="1" t="str">
        <f t="shared" si="7"/>
        <v>Tuesday</v>
      </c>
      <c r="I88" s="1">
        <v>1</v>
      </c>
      <c r="J88" s="1">
        <v>0.26</v>
      </c>
    </row>
    <row r="89" spans="1:10" x14ac:dyDescent="0.2">
      <c r="A89" s="1">
        <v>88</v>
      </c>
      <c r="B89" s="2">
        <v>40547</v>
      </c>
      <c r="C89" s="1">
        <v>1</v>
      </c>
      <c r="D89" s="1">
        <f t="shared" si="4"/>
        <v>2011</v>
      </c>
      <c r="E89" s="1" t="str">
        <f t="shared" si="5"/>
        <v>January</v>
      </c>
      <c r="F89" s="1">
        <v>19</v>
      </c>
      <c r="G89" s="1" t="b">
        <f t="shared" si="6"/>
        <v>0</v>
      </c>
      <c r="H89" s="1" t="str">
        <f t="shared" si="7"/>
        <v>Tuesday</v>
      </c>
      <c r="I89" s="1">
        <v>1</v>
      </c>
      <c r="J89" s="1">
        <v>0.24</v>
      </c>
    </row>
    <row r="90" spans="1:10" x14ac:dyDescent="0.2">
      <c r="A90" s="1">
        <v>89</v>
      </c>
      <c r="B90" s="2">
        <v>40547</v>
      </c>
      <c r="C90" s="1">
        <v>1</v>
      </c>
      <c r="D90" s="1">
        <f t="shared" si="4"/>
        <v>2011</v>
      </c>
      <c r="E90" s="1" t="str">
        <f t="shared" si="5"/>
        <v>January</v>
      </c>
      <c r="F90" s="1">
        <v>20</v>
      </c>
      <c r="G90" s="1" t="b">
        <f t="shared" si="6"/>
        <v>0</v>
      </c>
      <c r="H90" s="1" t="str">
        <f t="shared" si="7"/>
        <v>Tuesday</v>
      </c>
      <c r="I90" s="1">
        <v>1</v>
      </c>
      <c r="J90" s="1">
        <v>0.24</v>
      </c>
    </row>
    <row r="91" spans="1:10" x14ac:dyDescent="0.2">
      <c r="A91" s="1">
        <v>90</v>
      </c>
      <c r="B91" s="2">
        <v>40547</v>
      </c>
      <c r="C91" s="1">
        <v>1</v>
      </c>
      <c r="D91" s="1">
        <f t="shared" si="4"/>
        <v>2011</v>
      </c>
      <c r="E91" s="1" t="str">
        <f t="shared" si="5"/>
        <v>January</v>
      </c>
      <c r="F91" s="1">
        <v>21</v>
      </c>
      <c r="G91" s="1" t="b">
        <f t="shared" si="6"/>
        <v>0</v>
      </c>
      <c r="H91" s="1" t="str">
        <f t="shared" si="7"/>
        <v>Tuesday</v>
      </c>
      <c r="I91" s="1">
        <v>1</v>
      </c>
      <c r="J91" s="1">
        <v>0.22</v>
      </c>
    </row>
    <row r="92" spans="1:10" x14ac:dyDescent="0.2">
      <c r="A92" s="1">
        <v>91</v>
      </c>
      <c r="B92" s="2">
        <v>40547</v>
      </c>
      <c r="C92" s="1">
        <v>1</v>
      </c>
      <c r="D92" s="1">
        <f t="shared" si="4"/>
        <v>2011</v>
      </c>
      <c r="E92" s="1" t="str">
        <f t="shared" si="5"/>
        <v>January</v>
      </c>
      <c r="F92" s="1">
        <v>22</v>
      </c>
      <c r="G92" s="1" t="b">
        <f t="shared" si="6"/>
        <v>0</v>
      </c>
      <c r="H92" s="1" t="str">
        <f t="shared" si="7"/>
        <v>Tuesday</v>
      </c>
      <c r="I92" s="1">
        <v>1</v>
      </c>
      <c r="J92" s="1">
        <v>0.22</v>
      </c>
    </row>
    <row r="93" spans="1:10" x14ac:dyDescent="0.2">
      <c r="A93" s="1">
        <v>92</v>
      </c>
      <c r="B93" s="2">
        <v>40547</v>
      </c>
      <c r="C93" s="1">
        <v>1</v>
      </c>
      <c r="D93" s="1">
        <f t="shared" si="4"/>
        <v>2011</v>
      </c>
      <c r="E93" s="1" t="str">
        <f t="shared" si="5"/>
        <v>January</v>
      </c>
      <c r="F93" s="1">
        <v>23</v>
      </c>
      <c r="G93" s="1" t="b">
        <f t="shared" si="6"/>
        <v>0</v>
      </c>
      <c r="H93" s="1" t="str">
        <f t="shared" si="7"/>
        <v>Tuesday</v>
      </c>
      <c r="I93" s="1">
        <v>1</v>
      </c>
      <c r="J93" s="1">
        <v>0.2</v>
      </c>
    </row>
    <row r="94" spans="1:10" x14ac:dyDescent="0.2">
      <c r="A94" s="1">
        <v>93</v>
      </c>
      <c r="B94" s="2">
        <v>40548</v>
      </c>
      <c r="C94" s="1">
        <v>1</v>
      </c>
      <c r="D94" s="1">
        <f t="shared" si="4"/>
        <v>2011</v>
      </c>
      <c r="E94" s="1" t="str">
        <f t="shared" si="5"/>
        <v>January</v>
      </c>
      <c r="F94" s="1">
        <v>0</v>
      </c>
      <c r="G94" s="1" t="b">
        <f t="shared" si="6"/>
        <v>0</v>
      </c>
      <c r="H94" s="1" t="str">
        <f t="shared" si="7"/>
        <v>Wednesday</v>
      </c>
      <c r="I94" s="1">
        <v>1</v>
      </c>
      <c r="J94" s="1">
        <v>0.2</v>
      </c>
    </row>
    <row r="95" spans="1:10" x14ac:dyDescent="0.2">
      <c r="A95" s="1">
        <v>94</v>
      </c>
      <c r="B95" s="2">
        <v>40548</v>
      </c>
      <c r="C95" s="1">
        <v>1</v>
      </c>
      <c r="D95" s="1">
        <f t="shared" si="4"/>
        <v>2011</v>
      </c>
      <c r="E95" s="1" t="str">
        <f t="shared" si="5"/>
        <v>January</v>
      </c>
      <c r="F95" s="1">
        <v>1</v>
      </c>
      <c r="G95" s="1" t="b">
        <f t="shared" si="6"/>
        <v>0</v>
      </c>
      <c r="H95" s="1" t="str">
        <f t="shared" si="7"/>
        <v>Wednesday</v>
      </c>
      <c r="I95" s="1">
        <v>1</v>
      </c>
      <c r="J95" s="1">
        <v>0.16</v>
      </c>
    </row>
    <row r="96" spans="1:10" x14ac:dyDescent="0.2">
      <c r="A96" s="1">
        <v>95</v>
      </c>
      <c r="B96" s="2">
        <v>40548</v>
      </c>
      <c r="C96" s="1">
        <v>1</v>
      </c>
      <c r="D96" s="1">
        <f t="shared" si="4"/>
        <v>2011</v>
      </c>
      <c r="E96" s="1" t="str">
        <f t="shared" si="5"/>
        <v>January</v>
      </c>
      <c r="F96" s="1">
        <v>2</v>
      </c>
      <c r="G96" s="1" t="b">
        <f t="shared" si="6"/>
        <v>0</v>
      </c>
      <c r="H96" s="1" t="str">
        <f t="shared" si="7"/>
        <v>Wednesday</v>
      </c>
      <c r="I96" s="1">
        <v>1</v>
      </c>
      <c r="J96" s="1">
        <v>0.16</v>
      </c>
    </row>
    <row r="97" spans="1:10" x14ac:dyDescent="0.2">
      <c r="A97" s="1">
        <v>96</v>
      </c>
      <c r="B97" s="2">
        <v>40548</v>
      </c>
      <c r="C97" s="1">
        <v>1</v>
      </c>
      <c r="D97" s="1">
        <f t="shared" si="4"/>
        <v>2011</v>
      </c>
      <c r="E97" s="1" t="str">
        <f t="shared" si="5"/>
        <v>January</v>
      </c>
      <c r="F97" s="1">
        <v>4</v>
      </c>
      <c r="G97" s="1" t="b">
        <f t="shared" si="6"/>
        <v>0</v>
      </c>
      <c r="H97" s="1" t="str">
        <f t="shared" si="7"/>
        <v>Wednesday</v>
      </c>
      <c r="I97" s="1">
        <v>1</v>
      </c>
      <c r="J97" s="1">
        <v>0.24</v>
      </c>
    </row>
    <row r="98" spans="1:10" x14ac:dyDescent="0.2">
      <c r="A98" s="1">
        <v>97</v>
      </c>
      <c r="B98" s="2">
        <v>40548</v>
      </c>
      <c r="C98" s="1">
        <v>1</v>
      </c>
      <c r="D98" s="1">
        <f t="shared" si="4"/>
        <v>2011</v>
      </c>
      <c r="E98" s="1" t="str">
        <f t="shared" si="5"/>
        <v>January</v>
      </c>
      <c r="F98" s="1">
        <v>5</v>
      </c>
      <c r="G98" s="1" t="b">
        <f t="shared" si="6"/>
        <v>0</v>
      </c>
      <c r="H98" s="1" t="str">
        <f t="shared" si="7"/>
        <v>Wednesday</v>
      </c>
      <c r="I98" s="1">
        <v>1</v>
      </c>
      <c r="J98" s="1">
        <v>0.22</v>
      </c>
    </row>
    <row r="99" spans="1:10" x14ac:dyDescent="0.2">
      <c r="A99" s="1">
        <v>98</v>
      </c>
      <c r="B99" s="2">
        <v>40548</v>
      </c>
      <c r="C99" s="1">
        <v>1</v>
      </c>
      <c r="D99" s="1">
        <f t="shared" si="4"/>
        <v>2011</v>
      </c>
      <c r="E99" s="1" t="str">
        <f t="shared" si="5"/>
        <v>January</v>
      </c>
      <c r="F99" s="1">
        <v>6</v>
      </c>
      <c r="G99" s="1" t="b">
        <f t="shared" si="6"/>
        <v>0</v>
      </c>
      <c r="H99" s="1" t="str">
        <f t="shared" si="7"/>
        <v>Wednesday</v>
      </c>
      <c r="I99" s="1">
        <v>1</v>
      </c>
      <c r="J99" s="1">
        <v>0.2</v>
      </c>
    </row>
    <row r="100" spans="1:10" x14ac:dyDescent="0.2">
      <c r="A100" s="1">
        <v>99</v>
      </c>
      <c r="B100" s="2">
        <v>40548</v>
      </c>
      <c r="C100" s="1">
        <v>1</v>
      </c>
      <c r="D100" s="1">
        <f t="shared" si="4"/>
        <v>2011</v>
      </c>
      <c r="E100" s="1" t="str">
        <f t="shared" si="5"/>
        <v>January</v>
      </c>
      <c r="F100" s="1">
        <v>7</v>
      </c>
      <c r="G100" s="1" t="b">
        <f t="shared" si="6"/>
        <v>0</v>
      </c>
      <c r="H100" s="1" t="str">
        <f t="shared" si="7"/>
        <v>Wednesday</v>
      </c>
      <c r="I100" s="1">
        <v>1</v>
      </c>
      <c r="J100" s="1">
        <v>0.18</v>
      </c>
    </row>
    <row r="101" spans="1:10" x14ac:dyDescent="0.2">
      <c r="A101" s="1">
        <v>100</v>
      </c>
      <c r="B101" s="2">
        <v>40548</v>
      </c>
      <c r="C101" s="1">
        <v>1</v>
      </c>
      <c r="D101" s="1">
        <f t="shared" si="4"/>
        <v>2011</v>
      </c>
      <c r="E101" s="1" t="str">
        <f t="shared" si="5"/>
        <v>January</v>
      </c>
      <c r="F101" s="1">
        <v>8</v>
      </c>
      <c r="G101" s="1" t="b">
        <f t="shared" si="6"/>
        <v>0</v>
      </c>
      <c r="H101" s="1" t="str">
        <f t="shared" si="7"/>
        <v>Wednesday</v>
      </c>
      <c r="I101" s="1">
        <v>1</v>
      </c>
      <c r="J101" s="1">
        <v>0.2</v>
      </c>
    </row>
    <row r="102" spans="1:10" x14ac:dyDescent="0.2">
      <c r="A102" s="1">
        <v>101</v>
      </c>
      <c r="B102" s="2">
        <v>40548</v>
      </c>
      <c r="C102" s="1">
        <v>1</v>
      </c>
      <c r="D102" s="1">
        <f t="shared" si="4"/>
        <v>2011</v>
      </c>
      <c r="E102" s="1" t="str">
        <f t="shared" si="5"/>
        <v>January</v>
      </c>
      <c r="F102" s="1">
        <v>9</v>
      </c>
      <c r="G102" s="1" t="b">
        <f t="shared" si="6"/>
        <v>0</v>
      </c>
      <c r="H102" s="1" t="str">
        <f t="shared" si="7"/>
        <v>Wednesday</v>
      </c>
      <c r="I102" s="1">
        <v>1</v>
      </c>
      <c r="J102" s="1">
        <v>0.22</v>
      </c>
    </row>
    <row r="103" spans="1:10" x14ac:dyDescent="0.2">
      <c r="A103" s="1">
        <v>102</v>
      </c>
      <c r="B103" s="2">
        <v>40548</v>
      </c>
      <c r="C103" s="1">
        <v>1</v>
      </c>
      <c r="D103" s="1">
        <f t="shared" si="4"/>
        <v>2011</v>
      </c>
      <c r="E103" s="1" t="str">
        <f t="shared" si="5"/>
        <v>January</v>
      </c>
      <c r="F103" s="1">
        <v>10</v>
      </c>
      <c r="G103" s="1" t="b">
        <f t="shared" si="6"/>
        <v>0</v>
      </c>
      <c r="H103" s="1" t="str">
        <f t="shared" si="7"/>
        <v>Wednesday</v>
      </c>
      <c r="I103" s="1">
        <v>1</v>
      </c>
      <c r="J103" s="1">
        <v>0.22</v>
      </c>
    </row>
    <row r="104" spans="1:10" x14ac:dyDescent="0.2">
      <c r="A104" s="1">
        <v>103</v>
      </c>
      <c r="B104" s="2">
        <v>40548</v>
      </c>
      <c r="C104" s="1">
        <v>1</v>
      </c>
      <c r="D104" s="1">
        <f t="shared" si="4"/>
        <v>2011</v>
      </c>
      <c r="E104" s="1" t="str">
        <f t="shared" si="5"/>
        <v>January</v>
      </c>
      <c r="F104" s="1">
        <v>11</v>
      </c>
      <c r="G104" s="1" t="b">
        <f t="shared" si="6"/>
        <v>0</v>
      </c>
      <c r="H104" s="1" t="str">
        <f t="shared" si="7"/>
        <v>Wednesday</v>
      </c>
      <c r="I104" s="1">
        <v>1</v>
      </c>
      <c r="J104" s="1">
        <v>0.26</v>
      </c>
    </row>
    <row r="105" spans="1:10" x14ac:dyDescent="0.2">
      <c r="A105" s="1">
        <v>104</v>
      </c>
      <c r="B105" s="2">
        <v>40548</v>
      </c>
      <c r="C105" s="1">
        <v>1</v>
      </c>
      <c r="D105" s="1">
        <f t="shared" si="4"/>
        <v>2011</v>
      </c>
      <c r="E105" s="1" t="str">
        <f t="shared" si="5"/>
        <v>January</v>
      </c>
      <c r="F105" s="1">
        <v>12</v>
      </c>
      <c r="G105" s="1" t="b">
        <f t="shared" si="6"/>
        <v>0</v>
      </c>
      <c r="H105" s="1" t="str">
        <f t="shared" si="7"/>
        <v>Wednesday</v>
      </c>
      <c r="I105" s="1">
        <v>1</v>
      </c>
      <c r="J105" s="1">
        <v>0.26</v>
      </c>
    </row>
    <row r="106" spans="1:10" x14ac:dyDescent="0.2">
      <c r="A106" s="1">
        <v>105</v>
      </c>
      <c r="B106" s="2">
        <v>40548</v>
      </c>
      <c r="C106" s="1">
        <v>1</v>
      </c>
      <c r="D106" s="1">
        <f t="shared" si="4"/>
        <v>2011</v>
      </c>
      <c r="E106" s="1" t="str">
        <f t="shared" si="5"/>
        <v>January</v>
      </c>
      <c r="F106" s="1">
        <v>13</v>
      </c>
      <c r="G106" s="1" t="b">
        <f t="shared" si="6"/>
        <v>0</v>
      </c>
      <c r="H106" s="1" t="str">
        <f t="shared" si="7"/>
        <v>Wednesday</v>
      </c>
      <c r="I106" s="1">
        <v>1</v>
      </c>
      <c r="J106" s="1">
        <v>0.28000000000000003</v>
      </c>
    </row>
    <row r="107" spans="1:10" x14ac:dyDescent="0.2">
      <c r="A107" s="1">
        <v>106</v>
      </c>
      <c r="B107" s="2">
        <v>40548</v>
      </c>
      <c r="C107" s="1">
        <v>1</v>
      </c>
      <c r="D107" s="1">
        <f t="shared" si="4"/>
        <v>2011</v>
      </c>
      <c r="E107" s="1" t="str">
        <f t="shared" si="5"/>
        <v>January</v>
      </c>
      <c r="F107" s="1">
        <v>14</v>
      </c>
      <c r="G107" s="1" t="b">
        <f t="shared" si="6"/>
        <v>0</v>
      </c>
      <c r="H107" s="1" t="str">
        <f t="shared" si="7"/>
        <v>Wednesday</v>
      </c>
      <c r="I107" s="1">
        <v>1</v>
      </c>
      <c r="J107" s="1">
        <v>0.3</v>
      </c>
    </row>
    <row r="108" spans="1:10" x14ac:dyDescent="0.2">
      <c r="A108" s="1">
        <v>107</v>
      </c>
      <c r="B108" s="2">
        <v>40548</v>
      </c>
      <c r="C108" s="1">
        <v>1</v>
      </c>
      <c r="D108" s="1">
        <f t="shared" si="4"/>
        <v>2011</v>
      </c>
      <c r="E108" s="1" t="str">
        <f t="shared" si="5"/>
        <v>January</v>
      </c>
      <c r="F108" s="1">
        <v>15</v>
      </c>
      <c r="G108" s="1" t="b">
        <f t="shared" si="6"/>
        <v>0</v>
      </c>
      <c r="H108" s="1" t="str">
        <f t="shared" si="7"/>
        <v>Wednesday</v>
      </c>
      <c r="I108" s="1">
        <v>1</v>
      </c>
      <c r="J108" s="1">
        <v>0.3</v>
      </c>
    </row>
    <row r="109" spans="1:10" x14ac:dyDescent="0.2">
      <c r="A109" s="1">
        <v>108</v>
      </c>
      <c r="B109" s="2">
        <v>40548</v>
      </c>
      <c r="C109" s="1">
        <v>1</v>
      </c>
      <c r="D109" s="1">
        <f t="shared" si="4"/>
        <v>2011</v>
      </c>
      <c r="E109" s="1" t="str">
        <f t="shared" si="5"/>
        <v>January</v>
      </c>
      <c r="F109" s="1">
        <v>16</v>
      </c>
      <c r="G109" s="1" t="b">
        <f t="shared" si="6"/>
        <v>0</v>
      </c>
      <c r="H109" s="1" t="str">
        <f t="shared" si="7"/>
        <v>Wednesday</v>
      </c>
      <c r="I109" s="1">
        <v>1</v>
      </c>
      <c r="J109" s="1">
        <v>0.3</v>
      </c>
    </row>
    <row r="110" spans="1:10" x14ac:dyDescent="0.2">
      <c r="A110" s="1">
        <v>109</v>
      </c>
      <c r="B110" s="2">
        <v>40548</v>
      </c>
      <c r="C110" s="1">
        <v>1</v>
      </c>
      <c r="D110" s="1">
        <f t="shared" si="4"/>
        <v>2011</v>
      </c>
      <c r="E110" s="1" t="str">
        <f t="shared" si="5"/>
        <v>January</v>
      </c>
      <c r="F110" s="1">
        <v>17</v>
      </c>
      <c r="G110" s="1" t="b">
        <f t="shared" si="6"/>
        <v>0</v>
      </c>
      <c r="H110" s="1" t="str">
        <f t="shared" si="7"/>
        <v>Wednesday</v>
      </c>
      <c r="I110" s="1">
        <v>1</v>
      </c>
      <c r="J110" s="1">
        <v>0.24</v>
      </c>
    </row>
    <row r="111" spans="1:10" x14ac:dyDescent="0.2">
      <c r="A111" s="1">
        <v>110</v>
      </c>
      <c r="B111" s="2">
        <v>40548</v>
      </c>
      <c r="C111" s="1">
        <v>1</v>
      </c>
      <c r="D111" s="1">
        <f t="shared" si="4"/>
        <v>2011</v>
      </c>
      <c r="E111" s="1" t="str">
        <f t="shared" si="5"/>
        <v>January</v>
      </c>
      <c r="F111" s="1">
        <v>18</v>
      </c>
      <c r="G111" s="1" t="b">
        <f t="shared" si="6"/>
        <v>0</v>
      </c>
      <c r="H111" s="1" t="str">
        <f t="shared" si="7"/>
        <v>Wednesday</v>
      </c>
      <c r="I111" s="1">
        <v>1</v>
      </c>
      <c r="J111" s="1">
        <v>0.24</v>
      </c>
    </row>
    <row r="112" spans="1:10" x14ac:dyDescent="0.2">
      <c r="A112" s="1">
        <v>111</v>
      </c>
      <c r="B112" s="2">
        <v>40548</v>
      </c>
      <c r="C112" s="1">
        <v>1</v>
      </c>
      <c r="D112" s="1">
        <f t="shared" si="4"/>
        <v>2011</v>
      </c>
      <c r="E112" s="1" t="str">
        <f t="shared" si="5"/>
        <v>January</v>
      </c>
      <c r="F112" s="1">
        <v>19</v>
      </c>
      <c r="G112" s="1" t="b">
        <f t="shared" si="6"/>
        <v>0</v>
      </c>
      <c r="H112" s="1" t="str">
        <f t="shared" si="7"/>
        <v>Wednesday</v>
      </c>
      <c r="I112" s="1">
        <v>1</v>
      </c>
      <c r="J112" s="1">
        <v>0.24</v>
      </c>
    </row>
    <row r="113" spans="1:10" x14ac:dyDescent="0.2">
      <c r="A113" s="1">
        <v>112</v>
      </c>
      <c r="B113" s="2">
        <v>40548</v>
      </c>
      <c r="C113" s="1">
        <v>1</v>
      </c>
      <c r="D113" s="1">
        <f t="shared" si="4"/>
        <v>2011</v>
      </c>
      <c r="E113" s="1" t="str">
        <f t="shared" si="5"/>
        <v>January</v>
      </c>
      <c r="F113" s="1">
        <v>20</v>
      </c>
      <c r="G113" s="1" t="b">
        <f t="shared" si="6"/>
        <v>0</v>
      </c>
      <c r="H113" s="1" t="str">
        <f t="shared" si="7"/>
        <v>Wednesday</v>
      </c>
      <c r="I113" s="1">
        <v>1</v>
      </c>
      <c r="J113" s="1">
        <v>0.22</v>
      </c>
    </row>
    <row r="114" spans="1:10" x14ac:dyDescent="0.2">
      <c r="A114" s="1">
        <v>113</v>
      </c>
      <c r="B114" s="2">
        <v>40548</v>
      </c>
      <c r="C114" s="1">
        <v>1</v>
      </c>
      <c r="D114" s="1">
        <f t="shared" si="4"/>
        <v>2011</v>
      </c>
      <c r="E114" s="1" t="str">
        <f t="shared" si="5"/>
        <v>January</v>
      </c>
      <c r="F114" s="1">
        <v>21</v>
      </c>
      <c r="G114" s="1" t="b">
        <f t="shared" si="6"/>
        <v>0</v>
      </c>
      <c r="H114" s="1" t="str">
        <f t="shared" si="7"/>
        <v>Wednesday</v>
      </c>
      <c r="I114" s="1">
        <v>1</v>
      </c>
      <c r="J114" s="1">
        <v>0.2</v>
      </c>
    </row>
    <row r="115" spans="1:10" x14ac:dyDescent="0.2">
      <c r="A115" s="1">
        <v>114</v>
      </c>
      <c r="B115" s="2">
        <v>40548</v>
      </c>
      <c r="C115" s="1">
        <v>1</v>
      </c>
      <c r="D115" s="1">
        <f t="shared" si="4"/>
        <v>2011</v>
      </c>
      <c r="E115" s="1" t="str">
        <f t="shared" si="5"/>
        <v>January</v>
      </c>
      <c r="F115" s="1">
        <v>22</v>
      </c>
      <c r="G115" s="1" t="b">
        <f t="shared" si="6"/>
        <v>0</v>
      </c>
      <c r="H115" s="1" t="str">
        <f t="shared" si="7"/>
        <v>Wednesday</v>
      </c>
      <c r="I115" s="1">
        <v>1</v>
      </c>
      <c r="J115" s="1">
        <v>0.18</v>
      </c>
    </row>
    <row r="116" spans="1:10" x14ac:dyDescent="0.2">
      <c r="A116" s="1">
        <v>115</v>
      </c>
      <c r="B116" s="2">
        <v>40548</v>
      </c>
      <c r="C116" s="1">
        <v>1</v>
      </c>
      <c r="D116" s="1">
        <f t="shared" si="4"/>
        <v>2011</v>
      </c>
      <c r="E116" s="1" t="str">
        <f t="shared" si="5"/>
        <v>January</v>
      </c>
      <c r="F116" s="1">
        <v>23</v>
      </c>
      <c r="G116" s="1" t="b">
        <f t="shared" si="6"/>
        <v>0</v>
      </c>
      <c r="H116" s="1" t="str">
        <f t="shared" si="7"/>
        <v>Wednesday</v>
      </c>
      <c r="I116" s="1">
        <v>1</v>
      </c>
      <c r="J116" s="1">
        <v>0.2</v>
      </c>
    </row>
    <row r="117" spans="1:10" x14ac:dyDescent="0.2">
      <c r="A117" s="1">
        <v>116</v>
      </c>
      <c r="B117" s="2">
        <v>40549</v>
      </c>
      <c r="C117" s="1">
        <v>1</v>
      </c>
      <c r="D117" s="1">
        <f t="shared" si="4"/>
        <v>2011</v>
      </c>
      <c r="E117" s="1" t="str">
        <f t="shared" si="5"/>
        <v>January</v>
      </c>
      <c r="F117" s="1">
        <v>0</v>
      </c>
      <c r="G117" s="1" t="b">
        <f t="shared" si="6"/>
        <v>0</v>
      </c>
      <c r="H117" s="1" t="str">
        <f t="shared" si="7"/>
        <v>Thursday</v>
      </c>
      <c r="I117" s="1">
        <v>1</v>
      </c>
      <c r="J117" s="1">
        <v>0.18</v>
      </c>
    </row>
    <row r="118" spans="1:10" x14ac:dyDescent="0.2">
      <c r="A118" s="1">
        <v>117</v>
      </c>
      <c r="B118" s="2">
        <v>40549</v>
      </c>
      <c r="C118" s="1">
        <v>1</v>
      </c>
      <c r="D118" s="1">
        <f t="shared" si="4"/>
        <v>2011</v>
      </c>
      <c r="E118" s="1" t="str">
        <f t="shared" si="5"/>
        <v>January</v>
      </c>
      <c r="F118" s="1">
        <v>1</v>
      </c>
      <c r="G118" s="1" t="b">
        <f t="shared" si="6"/>
        <v>0</v>
      </c>
      <c r="H118" s="1" t="str">
        <f t="shared" si="7"/>
        <v>Thursday</v>
      </c>
      <c r="I118" s="1">
        <v>1</v>
      </c>
      <c r="J118" s="1">
        <v>0.16</v>
      </c>
    </row>
    <row r="119" spans="1:10" x14ac:dyDescent="0.2">
      <c r="A119" s="1">
        <v>118</v>
      </c>
      <c r="B119" s="2">
        <v>40549</v>
      </c>
      <c r="C119" s="1">
        <v>1</v>
      </c>
      <c r="D119" s="1">
        <f t="shared" si="4"/>
        <v>2011</v>
      </c>
      <c r="E119" s="1" t="str">
        <f t="shared" si="5"/>
        <v>January</v>
      </c>
      <c r="F119" s="1">
        <v>2</v>
      </c>
      <c r="G119" s="1" t="b">
        <f t="shared" si="6"/>
        <v>0</v>
      </c>
      <c r="H119" s="1" t="str">
        <f t="shared" si="7"/>
        <v>Thursday</v>
      </c>
      <c r="I119" s="1">
        <v>1</v>
      </c>
      <c r="J119" s="1">
        <v>0.16</v>
      </c>
    </row>
    <row r="120" spans="1:10" x14ac:dyDescent="0.2">
      <c r="A120" s="1">
        <v>119</v>
      </c>
      <c r="B120" s="2">
        <v>40549</v>
      </c>
      <c r="C120" s="1">
        <v>1</v>
      </c>
      <c r="D120" s="1">
        <f t="shared" si="4"/>
        <v>2011</v>
      </c>
      <c r="E120" s="1" t="str">
        <f t="shared" si="5"/>
        <v>January</v>
      </c>
      <c r="F120" s="1">
        <v>4</v>
      </c>
      <c r="G120" s="1" t="b">
        <f t="shared" si="6"/>
        <v>0</v>
      </c>
      <c r="H120" s="1" t="str">
        <f t="shared" si="7"/>
        <v>Thursday</v>
      </c>
      <c r="I120" s="1">
        <v>2</v>
      </c>
      <c r="J120" s="1">
        <v>0.16</v>
      </c>
    </row>
    <row r="121" spans="1:10" x14ac:dyDescent="0.2">
      <c r="A121" s="1">
        <v>120</v>
      </c>
      <c r="B121" s="2">
        <v>40549</v>
      </c>
      <c r="C121" s="1">
        <v>1</v>
      </c>
      <c r="D121" s="1">
        <f t="shared" si="4"/>
        <v>2011</v>
      </c>
      <c r="E121" s="1" t="str">
        <f t="shared" si="5"/>
        <v>January</v>
      </c>
      <c r="F121" s="1">
        <v>5</v>
      </c>
      <c r="G121" s="1" t="b">
        <f t="shared" si="6"/>
        <v>0</v>
      </c>
      <c r="H121" s="1" t="str">
        <f t="shared" si="7"/>
        <v>Thursday</v>
      </c>
      <c r="I121" s="1">
        <v>2</v>
      </c>
      <c r="J121" s="1">
        <v>0.14000000000000001</v>
      </c>
    </row>
    <row r="122" spans="1:10" x14ac:dyDescent="0.2">
      <c r="A122" s="1">
        <v>121</v>
      </c>
      <c r="B122" s="2">
        <v>40549</v>
      </c>
      <c r="C122" s="1">
        <v>1</v>
      </c>
      <c r="D122" s="1">
        <f t="shared" si="4"/>
        <v>2011</v>
      </c>
      <c r="E122" s="1" t="str">
        <f t="shared" si="5"/>
        <v>January</v>
      </c>
      <c r="F122" s="1">
        <v>6</v>
      </c>
      <c r="G122" s="1" t="b">
        <f t="shared" si="6"/>
        <v>0</v>
      </c>
      <c r="H122" s="1" t="str">
        <f t="shared" si="7"/>
        <v>Thursday</v>
      </c>
      <c r="I122" s="1">
        <v>2</v>
      </c>
      <c r="J122" s="1">
        <v>0.14000000000000001</v>
      </c>
    </row>
    <row r="123" spans="1:10" x14ac:dyDescent="0.2">
      <c r="A123" s="1">
        <v>122</v>
      </c>
      <c r="B123" s="2">
        <v>40549</v>
      </c>
      <c r="C123" s="1">
        <v>1</v>
      </c>
      <c r="D123" s="1">
        <f t="shared" si="4"/>
        <v>2011</v>
      </c>
      <c r="E123" s="1" t="str">
        <f t="shared" si="5"/>
        <v>January</v>
      </c>
      <c r="F123" s="1">
        <v>7</v>
      </c>
      <c r="G123" s="1" t="b">
        <f t="shared" si="6"/>
        <v>0</v>
      </c>
      <c r="H123" s="1" t="str">
        <f t="shared" si="7"/>
        <v>Thursday</v>
      </c>
      <c r="I123" s="1">
        <v>2</v>
      </c>
      <c r="J123" s="1">
        <v>0.16</v>
      </c>
    </row>
    <row r="124" spans="1:10" x14ac:dyDescent="0.2">
      <c r="A124" s="1">
        <v>123</v>
      </c>
      <c r="B124" s="2">
        <v>40549</v>
      </c>
      <c r="C124" s="1">
        <v>1</v>
      </c>
      <c r="D124" s="1">
        <f t="shared" si="4"/>
        <v>2011</v>
      </c>
      <c r="E124" s="1" t="str">
        <f t="shared" si="5"/>
        <v>January</v>
      </c>
      <c r="F124" s="1">
        <v>8</v>
      </c>
      <c r="G124" s="1" t="b">
        <f t="shared" si="6"/>
        <v>0</v>
      </c>
      <c r="H124" s="1" t="str">
        <f t="shared" si="7"/>
        <v>Thursday</v>
      </c>
      <c r="I124" s="1">
        <v>1</v>
      </c>
      <c r="J124" s="1">
        <v>0.16</v>
      </c>
    </row>
    <row r="125" spans="1:10" x14ac:dyDescent="0.2">
      <c r="A125" s="1">
        <v>124</v>
      </c>
      <c r="B125" s="2">
        <v>40549</v>
      </c>
      <c r="C125" s="1">
        <v>1</v>
      </c>
      <c r="D125" s="1">
        <f t="shared" si="4"/>
        <v>2011</v>
      </c>
      <c r="E125" s="1" t="str">
        <f t="shared" si="5"/>
        <v>January</v>
      </c>
      <c r="F125" s="1">
        <v>9</v>
      </c>
      <c r="G125" s="1" t="b">
        <f t="shared" si="6"/>
        <v>0</v>
      </c>
      <c r="H125" s="1" t="str">
        <f t="shared" si="7"/>
        <v>Thursday</v>
      </c>
      <c r="I125" s="1">
        <v>2</v>
      </c>
      <c r="J125" s="1">
        <v>0.18</v>
      </c>
    </row>
    <row r="126" spans="1:10" x14ac:dyDescent="0.2">
      <c r="A126" s="1">
        <v>125</v>
      </c>
      <c r="B126" s="2">
        <v>40549</v>
      </c>
      <c r="C126" s="1">
        <v>1</v>
      </c>
      <c r="D126" s="1">
        <f t="shared" si="4"/>
        <v>2011</v>
      </c>
      <c r="E126" s="1" t="str">
        <f t="shared" si="5"/>
        <v>January</v>
      </c>
      <c r="F126" s="1">
        <v>10</v>
      </c>
      <c r="G126" s="1" t="b">
        <f t="shared" si="6"/>
        <v>0</v>
      </c>
      <c r="H126" s="1" t="str">
        <f t="shared" si="7"/>
        <v>Thursday</v>
      </c>
      <c r="I126" s="1">
        <v>1</v>
      </c>
      <c r="J126" s="1">
        <v>0.2</v>
      </c>
    </row>
    <row r="127" spans="1:10" x14ac:dyDescent="0.2">
      <c r="A127" s="1">
        <v>126</v>
      </c>
      <c r="B127" s="2">
        <v>40549</v>
      </c>
      <c r="C127" s="1">
        <v>1</v>
      </c>
      <c r="D127" s="1">
        <f t="shared" si="4"/>
        <v>2011</v>
      </c>
      <c r="E127" s="1" t="str">
        <f t="shared" si="5"/>
        <v>January</v>
      </c>
      <c r="F127" s="1">
        <v>11</v>
      </c>
      <c r="G127" s="1" t="b">
        <f t="shared" si="6"/>
        <v>0</v>
      </c>
      <c r="H127" s="1" t="str">
        <f t="shared" si="7"/>
        <v>Thursday</v>
      </c>
      <c r="I127" s="1">
        <v>1</v>
      </c>
      <c r="J127" s="1">
        <v>0.22</v>
      </c>
    </row>
    <row r="128" spans="1:10" x14ac:dyDescent="0.2">
      <c r="A128" s="1">
        <v>127</v>
      </c>
      <c r="B128" s="2">
        <v>40549</v>
      </c>
      <c r="C128" s="1">
        <v>1</v>
      </c>
      <c r="D128" s="1">
        <f t="shared" si="4"/>
        <v>2011</v>
      </c>
      <c r="E128" s="1" t="str">
        <f t="shared" si="5"/>
        <v>January</v>
      </c>
      <c r="F128" s="1">
        <v>12</v>
      </c>
      <c r="G128" s="1" t="b">
        <f t="shared" si="6"/>
        <v>0</v>
      </c>
      <c r="H128" s="1" t="str">
        <f t="shared" si="7"/>
        <v>Thursday</v>
      </c>
      <c r="I128" s="1">
        <v>1</v>
      </c>
      <c r="J128" s="1">
        <v>0.26</v>
      </c>
    </row>
    <row r="129" spans="1:10" x14ac:dyDescent="0.2">
      <c r="A129" s="1">
        <v>128</v>
      </c>
      <c r="B129" s="2">
        <v>40549</v>
      </c>
      <c r="C129" s="1">
        <v>1</v>
      </c>
      <c r="D129" s="1">
        <f t="shared" si="4"/>
        <v>2011</v>
      </c>
      <c r="E129" s="1" t="str">
        <f t="shared" si="5"/>
        <v>January</v>
      </c>
      <c r="F129" s="1">
        <v>13</v>
      </c>
      <c r="G129" s="1" t="b">
        <f t="shared" si="6"/>
        <v>0</v>
      </c>
      <c r="H129" s="1" t="str">
        <f t="shared" si="7"/>
        <v>Thursday</v>
      </c>
      <c r="I129" s="1">
        <v>1</v>
      </c>
      <c r="J129" s="1">
        <v>0.26</v>
      </c>
    </row>
    <row r="130" spans="1:10" x14ac:dyDescent="0.2">
      <c r="A130" s="1">
        <v>129</v>
      </c>
      <c r="B130" s="2">
        <v>40549</v>
      </c>
      <c r="C130" s="1">
        <v>1</v>
      </c>
      <c r="D130" s="1">
        <f t="shared" si="4"/>
        <v>2011</v>
      </c>
      <c r="E130" s="1" t="str">
        <f t="shared" si="5"/>
        <v>January</v>
      </c>
      <c r="F130" s="1">
        <v>14</v>
      </c>
      <c r="G130" s="1" t="b">
        <f t="shared" si="6"/>
        <v>0</v>
      </c>
      <c r="H130" s="1" t="str">
        <f t="shared" si="7"/>
        <v>Thursday</v>
      </c>
      <c r="I130" s="1">
        <v>1</v>
      </c>
      <c r="J130" s="1">
        <v>0.28000000000000003</v>
      </c>
    </row>
    <row r="131" spans="1:10" x14ac:dyDescent="0.2">
      <c r="A131" s="1">
        <v>130</v>
      </c>
      <c r="B131" s="2">
        <v>40549</v>
      </c>
      <c r="C131" s="1">
        <v>1</v>
      </c>
      <c r="D131" s="1">
        <f t="shared" ref="D131:D194" si="8">YEAR(B131)</f>
        <v>2011</v>
      </c>
      <c r="E131" s="1" t="str">
        <f t="shared" ref="E131:E194" si="9">TEXT(B131,"MMMM")</f>
        <v>January</v>
      </c>
      <c r="F131" s="1">
        <v>15</v>
      </c>
      <c r="G131" s="1" t="b">
        <f t="shared" ref="G131:G194" si="10">IF(H131="Sunday",TRUE,FALSE)</f>
        <v>0</v>
      </c>
      <c r="H131" s="1" t="str">
        <f t="shared" ref="H131:H194" si="11">TEXT(B131,"DDDD")</f>
        <v>Thursday</v>
      </c>
      <c r="I131" s="1">
        <v>1</v>
      </c>
      <c r="J131" s="1">
        <v>0.28000000000000003</v>
      </c>
    </row>
    <row r="132" spans="1:10" x14ac:dyDescent="0.2">
      <c r="A132" s="1">
        <v>131</v>
      </c>
      <c r="B132" s="2">
        <v>40549</v>
      </c>
      <c r="C132" s="1">
        <v>1</v>
      </c>
      <c r="D132" s="1">
        <f t="shared" si="8"/>
        <v>2011</v>
      </c>
      <c r="E132" s="1" t="str">
        <f t="shared" si="9"/>
        <v>January</v>
      </c>
      <c r="F132" s="1">
        <v>16</v>
      </c>
      <c r="G132" s="1" t="b">
        <f t="shared" si="10"/>
        <v>0</v>
      </c>
      <c r="H132" s="1" t="str">
        <f t="shared" si="11"/>
        <v>Thursday</v>
      </c>
      <c r="I132" s="1">
        <v>1</v>
      </c>
      <c r="J132" s="1">
        <v>0.26</v>
      </c>
    </row>
    <row r="133" spans="1:10" x14ac:dyDescent="0.2">
      <c r="A133" s="1">
        <v>132</v>
      </c>
      <c r="B133" s="2">
        <v>40549</v>
      </c>
      <c r="C133" s="1">
        <v>1</v>
      </c>
      <c r="D133" s="1">
        <f t="shared" si="8"/>
        <v>2011</v>
      </c>
      <c r="E133" s="1" t="str">
        <f t="shared" si="9"/>
        <v>January</v>
      </c>
      <c r="F133" s="1">
        <v>17</v>
      </c>
      <c r="G133" s="1" t="b">
        <f t="shared" si="10"/>
        <v>0</v>
      </c>
      <c r="H133" s="1" t="str">
        <f t="shared" si="11"/>
        <v>Thursday</v>
      </c>
      <c r="I133" s="1">
        <v>1</v>
      </c>
      <c r="J133" s="1">
        <v>0.22</v>
      </c>
    </row>
    <row r="134" spans="1:10" x14ac:dyDescent="0.2">
      <c r="A134" s="1">
        <v>133</v>
      </c>
      <c r="B134" s="2">
        <v>40549</v>
      </c>
      <c r="C134" s="1">
        <v>1</v>
      </c>
      <c r="D134" s="1">
        <f t="shared" si="8"/>
        <v>2011</v>
      </c>
      <c r="E134" s="1" t="str">
        <f t="shared" si="9"/>
        <v>January</v>
      </c>
      <c r="F134" s="1">
        <v>18</v>
      </c>
      <c r="G134" s="1" t="b">
        <f t="shared" si="10"/>
        <v>0</v>
      </c>
      <c r="H134" s="1" t="str">
        <f t="shared" si="11"/>
        <v>Thursday</v>
      </c>
      <c r="I134" s="1">
        <v>1</v>
      </c>
      <c r="J134" s="1">
        <v>0.22</v>
      </c>
    </row>
    <row r="135" spans="1:10" x14ac:dyDescent="0.2">
      <c r="A135" s="1">
        <v>134</v>
      </c>
      <c r="B135" s="2">
        <v>40549</v>
      </c>
      <c r="C135" s="1">
        <v>1</v>
      </c>
      <c r="D135" s="1">
        <f t="shared" si="8"/>
        <v>2011</v>
      </c>
      <c r="E135" s="1" t="str">
        <f t="shared" si="9"/>
        <v>January</v>
      </c>
      <c r="F135" s="1">
        <v>19</v>
      </c>
      <c r="G135" s="1" t="b">
        <f t="shared" si="10"/>
        <v>0</v>
      </c>
      <c r="H135" s="1" t="str">
        <f t="shared" si="11"/>
        <v>Thursday</v>
      </c>
      <c r="I135" s="1">
        <v>1</v>
      </c>
      <c r="J135" s="1">
        <v>0.22</v>
      </c>
    </row>
    <row r="136" spans="1:10" x14ac:dyDescent="0.2">
      <c r="A136" s="1">
        <v>135</v>
      </c>
      <c r="B136" s="2">
        <v>40549</v>
      </c>
      <c r="C136" s="1">
        <v>1</v>
      </c>
      <c r="D136" s="1">
        <f t="shared" si="8"/>
        <v>2011</v>
      </c>
      <c r="E136" s="1" t="str">
        <f t="shared" si="9"/>
        <v>January</v>
      </c>
      <c r="F136" s="1">
        <v>20</v>
      </c>
      <c r="G136" s="1" t="b">
        <f t="shared" si="10"/>
        <v>0</v>
      </c>
      <c r="H136" s="1" t="str">
        <f t="shared" si="11"/>
        <v>Thursday</v>
      </c>
      <c r="I136" s="1">
        <v>1</v>
      </c>
      <c r="J136" s="1">
        <v>0.2</v>
      </c>
    </row>
    <row r="137" spans="1:10" x14ac:dyDescent="0.2">
      <c r="A137" s="1">
        <v>136</v>
      </c>
      <c r="B137" s="2">
        <v>40549</v>
      </c>
      <c r="C137" s="1">
        <v>1</v>
      </c>
      <c r="D137" s="1">
        <f t="shared" si="8"/>
        <v>2011</v>
      </c>
      <c r="E137" s="1" t="str">
        <f t="shared" si="9"/>
        <v>January</v>
      </c>
      <c r="F137" s="1">
        <v>21</v>
      </c>
      <c r="G137" s="1" t="b">
        <f t="shared" si="10"/>
        <v>0</v>
      </c>
      <c r="H137" s="1" t="str">
        <f t="shared" si="11"/>
        <v>Thursday</v>
      </c>
      <c r="I137" s="1">
        <v>2</v>
      </c>
      <c r="J137" s="1">
        <v>0.22</v>
      </c>
    </row>
    <row r="138" spans="1:10" x14ac:dyDescent="0.2">
      <c r="A138" s="1">
        <v>137</v>
      </c>
      <c r="B138" s="2">
        <v>40549</v>
      </c>
      <c r="C138" s="1">
        <v>1</v>
      </c>
      <c r="D138" s="1">
        <f t="shared" si="8"/>
        <v>2011</v>
      </c>
      <c r="E138" s="1" t="str">
        <f t="shared" si="9"/>
        <v>January</v>
      </c>
      <c r="F138" s="1">
        <v>22</v>
      </c>
      <c r="G138" s="1" t="b">
        <f t="shared" si="10"/>
        <v>0</v>
      </c>
      <c r="H138" s="1" t="str">
        <f t="shared" si="11"/>
        <v>Thursday</v>
      </c>
      <c r="I138" s="1">
        <v>2</v>
      </c>
      <c r="J138" s="1">
        <v>0.22</v>
      </c>
    </row>
    <row r="139" spans="1:10" x14ac:dyDescent="0.2">
      <c r="A139" s="1">
        <v>138</v>
      </c>
      <c r="B139" s="2">
        <v>40549</v>
      </c>
      <c r="C139" s="1">
        <v>1</v>
      </c>
      <c r="D139" s="1">
        <f t="shared" si="8"/>
        <v>2011</v>
      </c>
      <c r="E139" s="1" t="str">
        <f t="shared" si="9"/>
        <v>January</v>
      </c>
      <c r="F139" s="1">
        <v>23</v>
      </c>
      <c r="G139" s="1" t="b">
        <f t="shared" si="10"/>
        <v>0</v>
      </c>
      <c r="H139" s="1" t="str">
        <f t="shared" si="11"/>
        <v>Thursday</v>
      </c>
      <c r="I139" s="1">
        <v>2</v>
      </c>
      <c r="J139" s="1">
        <v>0.2</v>
      </c>
    </row>
    <row r="140" spans="1:10" x14ac:dyDescent="0.2">
      <c r="A140" s="1">
        <v>139</v>
      </c>
      <c r="B140" s="2">
        <v>40550</v>
      </c>
      <c r="C140" s="1">
        <v>1</v>
      </c>
      <c r="D140" s="1">
        <f t="shared" si="8"/>
        <v>2011</v>
      </c>
      <c r="E140" s="1" t="str">
        <f t="shared" si="9"/>
        <v>January</v>
      </c>
      <c r="F140" s="1">
        <v>0</v>
      </c>
      <c r="G140" s="1" t="b">
        <f t="shared" si="10"/>
        <v>0</v>
      </c>
      <c r="H140" s="1" t="str">
        <f t="shared" si="11"/>
        <v>Friday</v>
      </c>
      <c r="I140" s="1">
        <v>2</v>
      </c>
      <c r="J140" s="1">
        <v>0.2</v>
      </c>
    </row>
    <row r="141" spans="1:10" x14ac:dyDescent="0.2">
      <c r="A141" s="1">
        <v>140</v>
      </c>
      <c r="B141" s="2">
        <v>40550</v>
      </c>
      <c r="C141" s="1">
        <v>1</v>
      </c>
      <c r="D141" s="1">
        <f t="shared" si="8"/>
        <v>2011</v>
      </c>
      <c r="E141" s="1" t="str">
        <f t="shared" si="9"/>
        <v>January</v>
      </c>
      <c r="F141" s="1">
        <v>1</v>
      </c>
      <c r="G141" s="1" t="b">
        <f t="shared" si="10"/>
        <v>0</v>
      </c>
      <c r="H141" s="1" t="str">
        <f t="shared" si="11"/>
        <v>Friday</v>
      </c>
      <c r="I141" s="1">
        <v>2</v>
      </c>
      <c r="J141" s="1">
        <v>0.2</v>
      </c>
    </row>
    <row r="142" spans="1:10" x14ac:dyDescent="0.2">
      <c r="A142" s="1">
        <v>141</v>
      </c>
      <c r="B142" s="2">
        <v>40550</v>
      </c>
      <c r="C142" s="1">
        <v>1</v>
      </c>
      <c r="D142" s="1">
        <f t="shared" si="8"/>
        <v>2011</v>
      </c>
      <c r="E142" s="1" t="str">
        <f t="shared" si="9"/>
        <v>January</v>
      </c>
      <c r="F142" s="1">
        <v>2</v>
      </c>
      <c r="G142" s="1" t="b">
        <f t="shared" si="10"/>
        <v>0</v>
      </c>
      <c r="H142" s="1" t="str">
        <f t="shared" si="11"/>
        <v>Friday</v>
      </c>
      <c r="I142" s="1">
        <v>2</v>
      </c>
      <c r="J142" s="1">
        <v>0.2</v>
      </c>
    </row>
    <row r="143" spans="1:10" x14ac:dyDescent="0.2">
      <c r="A143" s="1">
        <v>142</v>
      </c>
      <c r="B143" s="2">
        <v>40550</v>
      </c>
      <c r="C143" s="1">
        <v>1</v>
      </c>
      <c r="D143" s="1">
        <f t="shared" si="8"/>
        <v>2011</v>
      </c>
      <c r="E143" s="1" t="str">
        <f t="shared" si="9"/>
        <v>January</v>
      </c>
      <c r="F143" s="1">
        <v>4</v>
      </c>
      <c r="G143" s="1" t="b">
        <f t="shared" si="10"/>
        <v>0</v>
      </c>
      <c r="H143" s="1" t="str">
        <f t="shared" si="11"/>
        <v>Friday</v>
      </c>
      <c r="I143" s="1">
        <v>2</v>
      </c>
      <c r="J143" s="1">
        <v>0.2</v>
      </c>
    </row>
    <row r="144" spans="1:10" x14ac:dyDescent="0.2">
      <c r="A144" s="1">
        <v>143</v>
      </c>
      <c r="B144" s="2">
        <v>40550</v>
      </c>
      <c r="C144" s="1">
        <v>1</v>
      </c>
      <c r="D144" s="1">
        <f t="shared" si="8"/>
        <v>2011</v>
      </c>
      <c r="E144" s="1" t="str">
        <f t="shared" si="9"/>
        <v>January</v>
      </c>
      <c r="F144" s="1">
        <v>5</v>
      </c>
      <c r="G144" s="1" t="b">
        <f t="shared" si="10"/>
        <v>0</v>
      </c>
      <c r="H144" s="1" t="str">
        <f t="shared" si="11"/>
        <v>Friday</v>
      </c>
      <c r="I144" s="1">
        <v>3</v>
      </c>
      <c r="J144" s="1">
        <v>0.22</v>
      </c>
    </row>
    <row r="145" spans="1:10" x14ac:dyDescent="0.2">
      <c r="A145" s="1">
        <v>144</v>
      </c>
      <c r="B145" s="2">
        <v>40550</v>
      </c>
      <c r="C145" s="1">
        <v>1</v>
      </c>
      <c r="D145" s="1">
        <f t="shared" si="8"/>
        <v>2011</v>
      </c>
      <c r="E145" s="1" t="str">
        <f t="shared" si="9"/>
        <v>January</v>
      </c>
      <c r="F145" s="1">
        <v>6</v>
      </c>
      <c r="G145" s="1" t="b">
        <f t="shared" si="10"/>
        <v>0</v>
      </c>
      <c r="H145" s="1" t="str">
        <f t="shared" si="11"/>
        <v>Friday</v>
      </c>
      <c r="I145" s="1">
        <v>2</v>
      </c>
      <c r="J145" s="1">
        <v>0.2</v>
      </c>
    </row>
    <row r="146" spans="1:10" x14ac:dyDescent="0.2">
      <c r="A146" s="1">
        <v>145</v>
      </c>
      <c r="B146" s="2">
        <v>40550</v>
      </c>
      <c r="C146" s="1">
        <v>1</v>
      </c>
      <c r="D146" s="1">
        <f t="shared" si="8"/>
        <v>2011</v>
      </c>
      <c r="E146" s="1" t="str">
        <f t="shared" si="9"/>
        <v>January</v>
      </c>
      <c r="F146" s="1">
        <v>7</v>
      </c>
      <c r="G146" s="1" t="b">
        <f t="shared" si="10"/>
        <v>0</v>
      </c>
      <c r="H146" s="1" t="str">
        <f t="shared" si="11"/>
        <v>Friday</v>
      </c>
      <c r="I146" s="1">
        <v>1</v>
      </c>
      <c r="J146" s="1">
        <v>0.2</v>
      </c>
    </row>
    <row r="147" spans="1:10" x14ac:dyDescent="0.2">
      <c r="A147" s="1">
        <v>146</v>
      </c>
      <c r="B147" s="2">
        <v>40550</v>
      </c>
      <c r="C147" s="1">
        <v>1</v>
      </c>
      <c r="D147" s="1">
        <f t="shared" si="8"/>
        <v>2011</v>
      </c>
      <c r="E147" s="1" t="str">
        <f t="shared" si="9"/>
        <v>January</v>
      </c>
      <c r="F147" s="1">
        <v>8</v>
      </c>
      <c r="G147" s="1" t="b">
        <f t="shared" si="10"/>
        <v>0</v>
      </c>
      <c r="H147" s="1" t="str">
        <f t="shared" si="11"/>
        <v>Friday</v>
      </c>
      <c r="I147" s="1">
        <v>1</v>
      </c>
      <c r="J147" s="1">
        <v>0.2</v>
      </c>
    </row>
    <row r="148" spans="1:10" x14ac:dyDescent="0.2">
      <c r="A148" s="1">
        <v>147</v>
      </c>
      <c r="B148" s="2">
        <v>40550</v>
      </c>
      <c r="C148" s="1">
        <v>1</v>
      </c>
      <c r="D148" s="1">
        <f t="shared" si="8"/>
        <v>2011</v>
      </c>
      <c r="E148" s="1" t="str">
        <f t="shared" si="9"/>
        <v>January</v>
      </c>
      <c r="F148" s="1">
        <v>9</v>
      </c>
      <c r="G148" s="1" t="b">
        <f t="shared" si="10"/>
        <v>0</v>
      </c>
      <c r="H148" s="1" t="str">
        <f t="shared" si="11"/>
        <v>Friday</v>
      </c>
      <c r="I148" s="1">
        <v>1</v>
      </c>
      <c r="J148" s="1">
        <v>0.2</v>
      </c>
    </row>
    <row r="149" spans="1:10" x14ac:dyDescent="0.2">
      <c r="A149" s="1">
        <v>148</v>
      </c>
      <c r="B149" s="2">
        <v>40550</v>
      </c>
      <c r="C149" s="1">
        <v>1</v>
      </c>
      <c r="D149" s="1">
        <f t="shared" si="8"/>
        <v>2011</v>
      </c>
      <c r="E149" s="1" t="str">
        <f t="shared" si="9"/>
        <v>January</v>
      </c>
      <c r="F149" s="1">
        <v>10</v>
      </c>
      <c r="G149" s="1" t="b">
        <f t="shared" si="10"/>
        <v>0</v>
      </c>
      <c r="H149" s="1" t="str">
        <f t="shared" si="11"/>
        <v>Friday</v>
      </c>
      <c r="I149" s="1">
        <v>1</v>
      </c>
      <c r="J149" s="1">
        <v>0.22</v>
      </c>
    </row>
    <row r="150" spans="1:10" x14ac:dyDescent="0.2">
      <c r="A150" s="1">
        <v>149</v>
      </c>
      <c r="B150" s="2">
        <v>40550</v>
      </c>
      <c r="C150" s="1">
        <v>1</v>
      </c>
      <c r="D150" s="1">
        <f t="shared" si="8"/>
        <v>2011</v>
      </c>
      <c r="E150" s="1" t="str">
        <f t="shared" si="9"/>
        <v>January</v>
      </c>
      <c r="F150" s="1">
        <v>11</v>
      </c>
      <c r="G150" s="1" t="b">
        <f t="shared" si="10"/>
        <v>0</v>
      </c>
      <c r="H150" s="1" t="str">
        <f t="shared" si="11"/>
        <v>Friday</v>
      </c>
      <c r="I150" s="1">
        <v>2</v>
      </c>
      <c r="J150" s="1">
        <v>0.2</v>
      </c>
    </row>
    <row r="151" spans="1:10" x14ac:dyDescent="0.2">
      <c r="A151" s="1">
        <v>150</v>
      </c>
      <c r="B151" s="2">
        <v>40550</v>
      </c>
      <c r="C151" s="1">
        <v>1</v>
      </c>
      <c r="D151" s="1">
        <f t="shared" si="8"/>
        <v>2011</v>
      </c>
      <c r="E151" s="1" t="str">
        <f t="shared" si="9"/>
        <v>January</v>
      </c>
      <c r="F151" s="1">
        <v>12</v>
      </c>
      <c r="G151" s="1" t="b">
        <f t="shared" si="10"/>
        <v>0</v>
      </c>
      <c r="H151" s="1" t="str">
        <f t="shared" si="11"/>
        <v>Friday</v>
      </c>
      <c r="I151" s="1">
        <v>2</v>
      </c>
      <c r="J151" s="1">
        <v>0.2</v>
      </c>
    </row>
    <row r="152" spans="1:10" x14ac:dyDescent="0.2">
      <c r="A152" s="1">
        <v>151</v>
      </c>
      <c r="B152" s="2">
        <v>40550</v>
      </c>
      <c r="C152" s="1">
        <v>1</v>
      </c>
      <c r="D152" s="1">
        <f t="shared" si="8"/>
        <v>2011</v>
      </c>
      <c r="E152" s="1" t="str">
        <f t="shared" si="9"/>
        <v>January</v>
      </c>
      <c r="F152" s="1">
        <v>13</v>
      </c>
      <c r="G152" s="1" t="b">
        <f t="shared" si="10"/>
        <v>0</v>
      </c>
      <c r="H152" s="1" t="str">
        <f t="shared" si="11"/>
        <v>Friday</v>
      </c>
      <c r="I152" s="1">
        <v>2</v>
      </c>
      <c r="J152" s="1">
        <v>0.2</v>
      </c>
    </row>
    <row r="153" spans="1:10" x14ac:dyDescent="0.2">
      <c r="A153" s="1">
        <v>152</v>
      </c>
      <c r="B153" s="2">
        <v>40550</v>
      </c>
      <c r="C153" s="1">
        <v>1</v>
      </c>
      <c r="D153" s="1">
        <f t="shared" si="8"/>
        <v>2011</v>
      </c>
      <c r="E153" s="1" t="str">
        <f t="shared" si="9"/>
        <v>January</v>
      </c>
      <c r="F153" s="1">
        <v>14</v>
      </c>
      <c r="G153" s="1" t="b">
        <f t="shared" si="10"/>
        <v>0</v>
      </c>
      <c r="H153" s="1" t="str">
        <f t="shared" si="11"/>
        <v>Friday</v>
      </c>
      <c r="I153" s="1">
        <v>2</v>
      </c>
      <c r="J153" s="1">
        <v>0.2</v>
      </c>
    </row>
    <row r="154" spans="1:10" x14ac:dyDescent="0.2">
      <c r="A154" s="1">
        <v>153</v>
      </c>
      <c r="B154" s="2">
        <v>40550</v>
      </c>
      <c r="C154" s="1">
        <v>1</v>
      </c>
      <c r="D154" s="1">
        <f t="shared" si="8"/>
        <v>2011</v>
      </c>
      <c r="E154" s="1" t="str">
        <f t="shared" si="9"/>
        <v>January</v>
      </c>
      <c r="F154" s="1">
        <v>15</v>
      </c>
      <c r="G154" s="1" t="b">
        <f t="shared" si="10"/>
        <v>0</v>
      </c>
      <c r="H154" s="1" t="str">
        <f t="shared" si="11"/>
        <v>Friday</v>
      </c>
      <c r="I154" s="1">
        <v>2</v>
      </c>
      <c r="J154" s="1">
        <v>0.2</v>
      </c>
    </row>
    <row r="155" spans="1:10" x14ac:dyDescent="0.2">
      <c r="A155" s="1">
        <v>154</v>
      </c>
      <c r="B155" s="2">
        <v>40550</v>
      </c>
      <c r="C155" s="1">
        <v>1</v>
      </c>
      <c r="D155" s="1">
        <f t="shared" si="8"/>
        <v>2011</v>
      </c>
      <c r="E155" s="1" t="str">
        <f t="shared" si="9"/>
        <v>January</v>
      </c>
      <c r="F155" s="1">
        <v>16</v>
      </c>
      <c r="G155" s="1" t="b">
        <f t="shared" si="10"/>
        <v>0</v>
      </c>
      <c r="H155" s="1" t="str">
        <f t="shared" si="11"/>
        <v>Friday</v>
      </c>
      <c r="I155" s="1">
        <v>2</v>
      </c>
      <c r="J155" s="1">
        <v>0.2</v>
      </c>
    </row>
    <row r="156" spans="1:10" x14ac:dyDescent="0.2">
      <c r="A156" s="1">
        <v>155</v>
      </c>
      <c r="B156" s="2">
        <v>40550</v>
      </c>
      <c r="C156" s="1">
        <v>1</v>
      </c>
      <c r="D156" s="1">
        <f t="shared" si="8"/>
        <v>2011</v>
      </c>
      <c r="E156" s="1" t="str">
        <f t="shared" si="9"/>
        <v>January</v>
      </c>
      <c r="F156" s="1">
        <v>17</v>
      </c>
      <c r="G156" s="1" t="b">
        <f t="shared" si="10"/>
        <v>0</v>
      </c>
      <c r="H156" s="1" t="str">
        <f t="shared" si="11"/>
        <v>Friday</v>
      </c>
      <c r="I156" s="1">
        <v>2</v>
      </c>
      <c r="J156" s="1">
        <v>0.2</v>
      </c>
    </row>
    <row r="157" spans="1:10" x14ac:dyDescent="0.2">
      <c r="A157" s="1">
        <v>156</v>
      </c>
      <c r="B157" s="2">
        <v>40550</v>
      </c>
      <c r="C157" s="1">
        <v>1</v>
      </c>
      <c r="D157" s="1">
        <f t="shared" si="8"/>
        <v>2011</v>
      </c>
      <c r="E157" s="1" t="str">
        <f t="shared" si="9"/>
        <v>January</v>
      </c>
      <c r="F157" s="1">
        <v>18</v>
      </c>
      <c r="G157" s="1" t="b">
        <f t="shared" si="10"/>
        <v>0</v>
      </c>
      <c r="H157" s="1" t="str">
        <f t="shared" si="11"/>
        <v>Friday</v>
      </c>
      <c r="I157" s="1">
        <v>1</v>
      </c>
      <c r="J157" s="1">
        <v>0.2</v>
      </c>
    </row>
    <row r="158" spans="1:10" x14ac:dyDescent="0.2">
      <c r="A158" s="1">
        <v>157</v>
      </c>
      <c r="B158" s="2">
        <v>40550</v>
      </c>
      <c r="C158" s="1">
        <v>1</v>
      </c>
      <c r="D158" s="1">
        <f t="shared" si="8"/>
        <v>2011</v>
      </c>
      <c r="E158" s="1" t="str">
        <f t="shared" si="9"/>
        <v>January</v>
      </c>
      <c r="F158" s="1">
        <v>19</v>
      </c>
      <c r="G158" s="1" t="b">
        <f t="shared" si="10"/>
        <v>0</v>
      </c>
      <c r="H158" s="1" t="str">
        <f t="shared" si="11"/>
        <v>Friday</v>
      </c>
      <c r="I158" s="1">
        <v>1</v>
      </c>
      <c r="J158" s="1">
        <v>0.16</v>
      </c>
    </row>
    <row r="159" spans="1:10" x14ac:dyDescent="0.2">
      <c r="A159" s="1">
        <v>158</v>
      </c>
      <c r="B159" s="2">
        <v>40550</v>
      </c>
      <c r="C159" s="1">
        <v>1</v>
      </c>
      <c r="D159" s="1">
        <f t="shared" si="8"/>
        <v>2011</v>
      </c>
      <c r="E159" s="1" t="str">
        <f t="shared" si="9"/>
        <v>January</v>
      </c>
      <c r="F159" s="1">
        <v>20</v>
      </c>
      <c r="G159" s="1" t="b">
        <f t="shared" si="10"/>
        <v>0</v>
      </c>
      <c r="H159" s="1" t="str">
        <f t="shared" si="11"/>
        <v>Friday</v>
      </c>
      <c r="I159" s="1">
        <v>1</v>
      </c>
      <c r="J159" s="1">
        <v>0.18</v>
      </c>
    </row>
    <row r="160" spans="1:10" x14ac:dyDescent="0.2">
      <c r="A160" s="1">
        <v>159</v>
      </c>
      <c r="B160" s="2">
        <v>40550</v>
      </c>
      <c r="C160" s="1">
        <v>1</v>
      </c>
      <c r="D160" s="1">
        <f t="shared" si="8"/>
        <v>2011</v>
      </c>
      <c r="E160" s="1" t="str">
        <f t="shared" si="9"/>
        <v>January</v>
      </c>
      <c r="F160" s="1">
        <v>21</v>
      </c>
      <c r="G160" s="1" t="b">
        <f t="shared" si="10"/>
        <v>0</v>
      </c>
      <c r="H160" s="1" t="str">
        <f t="shared" si="11"/>
        <v>Friday</v>
      </c>
      <c r="I160" s="1">
        <v>1</v>
      </c>
      <c r="J160" s="1">
        <v>0.18</v>
      </c>
    </row>
    <row r="161" spans="1:10" x14ac:dyDescent="0.2">
      <c r="A161" s="1">
        <v>160</v>
      </c>
      <c r="B161" s="2">
        <v>40550</v>
      </c>
      <c r="C161" s="1">
        <v>1</v>
      </c>
      <c r="D161" s="1">
        <f t="shared" si="8"/>
        <v>2011</v>
      </c>
      <c r="E161" s="1" t="str">
        <f t="shared" si="9"/>
        <v>January</v>
      </c>
      <c r="F161" s="1">
        <v>22</v>
      </c>
      <c r="G161" s="1" t="b">
        <f t="shared" si="10"/>
        <v>0</v>
      </c>
      <c r="H161" s="1" t="str">
        <f t="shared" si="11"/>
        <v>Friday</v>
      </c>
      <c r="I161" s="1">
        <v>2</v>
      </c>
      <c r="J161" s="1">
        <v>0.18</v>
      </c>
    </row>
    <row r="162" spans="1:10" x14ac:dyDescent="0.2">
      <c r="A162" s="1">
        <v>161</v>
      </c>
      <c r="B162" s="2">
        <v>40550</v>
      </c>
      <c r="C162" s="1">
        <v>1</v>
      </c>
      <c r="D162" s="1">
        <f t="shared" si="8"/>
        <v>2011</v>
      </c>
      <c r="E162" s="1" t="str">
        <f t="shared" si="9"/>
        <v>January</v>
      </c>
      <c r="F162" s="1">
        <v>23</v>
      </c>
      <c r="G162" s="1" t="b">
        <f t="shared" si="10"/>
        <v>0</v>
      </c>
      <c r="H162" s="1" t="str">
        <f t="shared" si="11"/>
        <v>Friday</v>
      </c>
      <c r="I162" s="1">
        <v>2</v>
      </c>
      <c r="J162" s="1">
        <v>0.18</v>
      </c>
    </row>
    <row r="163" spans="1:10" x14ac:dyDescent="0.2">
      <c r="A163" s="1">
        <v>162</v>
      </c>
      <c r="B163" s="2">
        <v>40551</v>
      </c>
      <c r="C163" s="1">
        <v>1</v>
      </c>
      <c r="D163" s="1">
        <f t="shared" si="8"/>
        <v>2011</v>
      </c>
      <c r="E163" s="1" t="str">
        <f t="shared" si="9"/>
        <v>January</v>
      </c>
      <c r="F163" s="1">
        <v>0</v>
      </c>
      <c r="G163" s="1" t="b">
        <f t="shared" si="10"/>
        <v>0</v>
      </c>
      <c r="H163" s="1" t="str">
        <f t="shared" si="11"/>
        <v>Saturday</v>
      </c>
      <c r="I163" s="1">
        <v>2</v>
      </c>
      <c r="J163" s="1">
        <v>0.18</v>
      </c>
    </row>
    <row r="164" spans="1:10" x14ac:dyDescent="0.2">
      <c r="A164" s="1">
        <v>163</v>
      </c>
      <c r="B164" s="2">
        <v>40551</v>
      </c>
      <c r="C164" s="1">
        <v>1</v>
      </c>
      <c r="D164" s="1">
        <f t="shared" si="8"/>
        <v>2011</v>
      </c>
      <c r="E164" s="1" t="str">
        <f t="shared" si="9"/>
        <v>January</v>
      </c>
      <c r="F164" s="1">
        <v>1</v>
      </c>
      <c r="G164" s="1" t="b">
        <f t="shared" si="10"/>
        <v>0</v>
      </c>
      <c r="H164" s="1" t="str">
        <f t="shared" si="11"/>
        <v>Saturday</v>
      </c>
      <c r="I164" s="1">
        <v>2</v>
      </c>
      <c r="J164" s="1">
        <v>0.18</v>
      </c>
    </row>
    <row r="165" spans="1:10" x14ac:dyDescent="0.2">
      <c r="A165" s="1">
        <v>164</v>
      </c>
      <c r="B165" s="2">
        <v>40551</v>
      </c>
      <c r="C165" s="1">
        <v>1</v>
      </c>
      <c r="D165" s="1">
        <f t="shared" si="8"/>
        <v>2011</v>
      </c>
      <c r="E165" s="1" t="str">
        <f t="shared" si="9"/>
        <v>January</v>
      </c>
      <c r="F165" s="1">
        <v>2</v>
      </c>
      <c r="G165" s="1" t="b">
        <f t="shared" si="10"/>
        <v>0</v>
      </c>
      <c r="H165" s="1" t="str">
        <f t="shared" si="11"/>
        <v>Saturday</v>
      </c>
      <c r="I165" s="1">
        <v>2</v>
      </c>
      <c r="J165" s="1">
        <v>0.18</v>
      </c>
    </row>
    <row r="166" spans="1:10" x14ac:dyDescent="0.2">
      <c r="A166" s="1">
        <v>165</v>
      </c>
      <c r="B166" s="2">
        <v>40551</v>
      </c>
      <c r="C166" s="1">
        <v>1</v>
      </c>
      <c r="D166" s="1">
        <f t="shared" si="8"/>
        <v>2011</v>
      </c>
      <c r="E166" s="1" t="str">
        <f t="shared" si="9"/>
        <v>January</v>
      </c>
      <c r="F166" s="1">
        <v>3</v>
      </c>
      <c r="G166" s="1" t="b">
        <f t="shared" si="10"/>
        <v>0</v>
      </c>
      <c r="H166" s="1" t="str">
        <f t="shared" si="11"/>
        <v>Saturday</v>
      </c>
      <c r="I166" s="1">
        <v>3</v>
      </c>
      <c r="J166" s="1">
        <v>0.18</v>
      </c>
    </row>
    <row r="167" spans="1:10" x14ac:dyDescent="0.2">
      <c r="A167" s="1">
        <v>166</v>
      </c>
      <c r="B167" s="2">
        <v>40551</v>
      </c>
      <c r="C167" s="1">
        <v>1</v>
      </c>
      <c r="D167" s="1">
        <f t="shared" si="8"/>
        <v>2011</v>
      </c>
      <c r="E167" s="1" t="str">
        <f t="shared" si="9"/>
        <v>January</v>
      </c>
      <c r="F167" s="1">
        <v>4</v>
      </c>
      <c r="G167" s="1" t="b">
        <f t="shared" si="10"/>
        <v>0</v>
      </c>
      <c r="H167" s="1" t="str">
        <f t="shared" si="11"/>
        <v>Saturday</v>
      </c>
      <c r="I167" s="1">
        <v>3</v>
      </c>
      <c r="J167" s="1">
        <v>0.18</v>
      </c>
    </row>
    <row r="168" spans="1:10" x14ac:dyDescent="0.2">
      <c r="A168" s="1">
        <v>167</v>
      </c>
      <c r="B168" s="2">
        <v>40551</v>
      </c>
      <c r="C168" s="1">
        <v>1</v>
      </c>
      <c r="D168" s="1">
        <f t="shared" si="8"/>
        <v>2011</v>
      </c>
      <c r="E168" s="1" t="str">
        <f t="shared" si="9"/>
        <v>January</v>
      </c>
      <c r="F168" s="1">
        <v>5</v>
      </c>
      <c r="G168" s="1" t="b">
        <f t="shared" si="10"/>
        <v>0</v>
      </c>
      <c r="H168" s="1" t="str">
        <f t="shared" si="11"/>
        <v>Saturday</v>
      </c>
      <c r="I168" s="1">
        <v>2</v>
      </c>
      <c r="J168" s="1">
        <v>0.16</v>
      </c>
    </row>
    <row r="169" spans="1:10" x14ac:dyDescent="0.2">
      <c r="A169" s="1">
        <v>168</v>
      </c>
      <c r="B169" s="2">
        <v>40551</v>
      </c>
      <c r="C169" s="1">
        <v>1</v>
      </c>
      <c r="D169" s="1">
        <f t="shared" si="8"/>
        <v>2011</v>
      </c>
      <c r="E169" s="1" t="str">
        <f t="shared" si="9"/>
        <v>January</v>
      </c>
      <c r="F169" s="1">
        <v>6</v>
      </c>
      <c r="G169" s="1" t="b">
        <f t="shared" si="10"/>
        <v>0</v>
      </c>
      <c r="H169" s="1" t="str">
        <f t="shared" si="11"/>
        <v>Saturday</v>
      </c>
      <c r="I169" s="1">
        <v>2</v>
      </c>
      <c r="J169" s="1">
        <v>0.16</v>
      </c>
    </row>
    <row r="170" spans="1:10" x14ac:dyDescent="0.2">
      <c r="A170" s="1">
        <v>169</v>
      </c>
      <c r="B170" s="2">
        <v>40551</v>
      </c>
      <c r="C170" s="1">
        <v>1</v>
      </c>
      <c r="D170" s="1">
        <f t="shared" si="8"/>
        <v>2011</v>
      </c>
      <c r="E170" s="1" t="str">
        <f t="shared" si="9"/>
        <v>January</v>
      </c>
      <c r="F170" s="1">
        <v>7</v>
      </c>
      <c r="G170" s="1" t="b">
        <f t="shared" si="10"/>
        <v>0</v>
      </c>
      <c r="H170" s="1" t="str">
        <f t="shared" si="11"/>
        <v>Saturday</v>
      </c>
      <c r="I170" s="1">
        <v>2</v>
      </c>
      <c r="J170" s="1">
        <v>0.16</v>
      </c>
    </row>
    <row r="171" spans="1:10" x14ac:dyDescent="0.2">
      <c r="A171" s="1">
        <v>170</v>
      </c>
      <c r="B171" s="2">
        <v>40551</v>
      </c>
      <c r="C171" s="1">
        <v>1</v>
      </c>
      <c r="D171" s="1">
        <f t="shared" si="8"/>
        <v>2011</v>
      </c>
      <c r="E171" s="1" t="str">
        <f t="shared" si="9"/>
        <v>January</v>
      </c>
      <c r="F171" s="1">
        <v>8</v>
      </c>
      <c r="G171" s="1" t="b">
        <f t="shared" si="10"/>
        <v>0</v>
      </c>
      <c r="H171" s="1" t="str">
        <f t="shared" si="11"/>
        <v>Saturday</v>
      </c>
      <c r="I171" s="1">
        <v>3</v>
      </c>
      <c r="J171" s="1">
        <v>0.16</v>
      </c>
    </row>
    <row r="172" spans="1:10" x14ac:dyDescent="0.2">
      <c r="A172" s="1">
        <v>171</v>
      </c>
      <c r="B172" s="2">
        <v>40551</v>
      </c>
      <c r="C172" s="1">
        <v>1</v>
      </c>
      <c r="D172" s="1">
        <f t="shared" si="8"/>
        <v>2011</v>
      </c>
      <c r="E172" s="1" t="str">
        <f t="shared" si="9"/>
        <v>January</v>
      </c>
      <c r="F172" s="1">
        <v>9</v>
      </c>
      <c r="G172" s="1" t="b">
        <f t="shared" si="10"/>
        <v>0</v>
      </c>
      <c r="H172" s="1" t="str">
        <f t="shared" si="11"/>
        <v>Saturday</v>
      </c>
      <c r="I172" s="1">
        <v>3</v>
      </c>
      <c r="J172" s="1">
        <v>0.16</v>
      </c>
    </row>
    <row r="173" spans="1:10" x14ac:dyDescent="0.2">
      <c r="A173" s="1">
        <v>172</v>
      </c>
      <c r="B173" s="2">
        <v>40551</v>
      </c>
      <c r="C173" s="1">
        <v>1</v>
      </c>
      <c r="D173" s="1">
        <f t="shared" si="8"/>
        <v>2011</v>
      </c>
      <c r="E173" s="1" t="str">
        <f t="shared" si="9"/>
        <v>January</v>
      </c>
      <c r="F173" s="1">
        <v>10</v>
      </c>
      <c r="G173" s="1" t="b">
        <f t="shared" si="10"/>
        <v>0</v>
      </c>
      <c r="H173" s="1" t="str">
        <f t="shared" si="11"/>
        <v>Saturday</v>
      </c>
      <c r="I173" s="1">
        <v>2</v>
      </c>
      <c r="J173" s="1">
        <v>0.18</v>
      </c>
    </row>
    <row r="174" spans="1:10" x14ac:dyDescent="0.2">
      <c r="A174" s="1">
        <v>173</v>
      </c>
      <c r="B174" s="2">
        <v>40551</v>
      </c>
      <c r="C174" s="1">
        <v>1</v>
      </c>
      <c r="D174" s="1">
        <f t="shared" si="8"/>
        <v>2011</v>
      </c>
      <c r="E174" s="1" t="str">
        <f t="shared" si="9"/>
        <v>January</v>
      </c>
      <c r="F174" s="1">
        <v>11</v>
      </c>
      <c r="G174" s="1" t="b">
        <f t="shared" si="10"/>
        <v>0</v>
      </c>
      <c r="H174" s="1" t="str">
        <f t="shared" si="11"/>
        <v>Saturday</v>
      </c>
      <c r="I174" s="1">
        <v>2</v>
      </c>
      <c r="J174" s="1">
        <v>0.2</v>
      </c>
    </row>
    <row r="175" spans="1:10" x14ac:dyDescent="0.2">
      <c r="A175" s="1">
        <v>174</v>
      </c>
      <c r="B175" s="2">
        <v>40551</v>
      </c>
      <c r="C175" s="1">
        <v>1</v>
      </c>
      <c r="D175" s="1">
        <f t="shared" si="8"/>
        <v>2011</v>
      </c>
      <c r="E175" s="1" t="str">
        <f t="shared" si="9"/>
        <v>January</v>
      </c>
      <c r="F175" s="1">
        <v>12</v>
      </c>
      <c r="G175" s="1" t="b">
        <f t="shared" si="10"/>
        <v>0</v>
      </c>
      <c r="H175" s="1" t="str">
        <f t="shared" si="11"/>
        <v>Saturday</v>
      </c>
      <c r="I175" s="1">
        <v>2</v>
      </c>
      <c r="J175" s="1">
        <v>0.2</v>
      </c>
    </row>
    <row r="176" spans="1:10" x14ac:dyDescent="0.2">
      <c r="A176" s="1">
        <v>175</v>
      </c>
      <c r="B176" s="2">
        <v>40551</v>
      </c>
      <c r="C176" s="1">
        <v>1</v>
      </c>
      <c r="D176" s="1">
        <f t="shared" si="8"/>
        <v>2011</v>
      </c>
      <c r="E176" s="1" t="str">
        <f t="shared" si="9"/>
        <v>January</v>
      </c>
      <c r="F176" s="1">
        <v>13</v>
      </c>
      <c r="G176" s="1" t="b">
        <f t="shared" si="10"/>
        <v>0</v>
      </c>
      <c r="H176" s="1" t="str">
        <f t="shared" si="11"/>
        <v>Saturday</v>
      </c>
      <c r="I176" s="1">
        <v>1</v>
      </c>
      <c r="J176" s="1">
        <v>0.2</v>
      </c>
    </row>
    <row r="177" spans="1:10" x14ac:dyDescent="0.2">
      <c r="A177" s="1">
        <v>176</v>
      </c>
      <c r="B177" s="2">
        <v>40551</v>
      </c>
      <c r="C177" s="1">
        <v>1</v>
      </c>
      <c r="D177" s="1">
        <f t="shared" si="8"/>
        <v>2011</v>
      </c>
      <c r="E177" s="1" t="str">
        <f t="shared" si="9"/>
        <v>January</v>
      </c>
      <c r="F177" s="1">
        <v>14</v>
      </c>
      <c r="G177" s="1" t="b">
        <f t="shared" si="10"/>
        <v>0</v>
      </c>
      <c r="H177" s="1" t="str">
        <f t="shared" si="11"/>
        <v>Saturday</v>
      </c>
      <c r="I177" s="1">
        <v>1</v>
      </c>
      <c r="J177" s="1">
        <v>0.2</v>
      </c>
    </row>
    <row r="178" spans="1:10" x14ac:dyDescent="0.2">
      <c r="A178" s="1">
        <v>177</v>
      </c>
      <c r="B178" s="2">
        <v>40551</v>
      </c>
      <c r="C178" s="1">
        <v>1</v>
      </c>
      <c r="D178" s="1">
        <f t="shared" si="8"/>
        <v>2011</v>
      </c>
      <c r="E178" s="1" t="str">
        <f t="shared" si="9"/>
        <v>January</v>
      </c>
      <c r="F178" s="1">
        <v>15</v>
      </c>
      <c r="G178" s="1" t="b">
        <f t="shared" si="10"/>
        <v>0</v>
      </c>
      <c r="H178" s="1" t="str">
        <f t="shared" si="11"/>
        <v>Saturday</v>
      </c>
      <c r="I178" s="1">
        <v>1</v>
      </c>
      <c r="J178" s="1">
        <v>0.2</v>
      </c>
    </row>
    <row r="179" spans="1:10" x14ac:dyDescent="0.2">
      <c r="A179" s="1">
        <v>178</v>
      </c>
      <c r="B179" s="2">
        <v>40551</v>
      </c>
      <c r="C179" s="1">
        <v>1</v>
      </c>
      <c r="D179" s="1">
        <f t="shared" si="8"/>
        <v>2011</v>
      </c>
      <c r="E179" s="1" t="str">
        <f t="shared" si="9"/>
        <v>January</v>
      </c>
      <c r="F179" s="1">
        <v>16</v>
      </c>
      <c r="G179" s="1" t="b">
        <f t="shared" si="10"/>
        <v>0</v>
      </c>
      <c r="H179" s="1" t="str">
        <f t="shared" si="11"/>
        <v>Saturday</v>
      </c>
      <c r="I179" s="1">
        <v>1</v>
      </c>
      <c r="J179" s="1">
        <v>0.18</v>
      </c>
    </row>
    <row r="180" spans="1:10" x14ac:dyDescent="0.2">
      <c r="A180" s="1">
        <v>179</v>
      </c>
      <c r="B180" s="2">
        <v>40551</v>
      </c>
      <c r="C180" s="1">
        <v>1</v>
      </c>
      <c r="D180" s="1">
        <f t="shared" si="8"/>
        <v>2011</v>
      </c>
      <c r="E180" s="1" t="str">
        <f t="shared" si="9"/>
        <v>January</v>
      </c>
      <c r="F180" s="1">
        <v>17</v>
      </c>
      <c r="G180" s="1" t="b">
        <f t="shared" si="10"/>
        <v>0</v>
      </c>
      <c r="H180" s="1" t="str">
        <f t="shared" si="11"/>
        <v>Saturday</v>
      </c>
      <c r="I180" s="1">
        <v>1</v>
      </c>
      <c r="J180" s="1">
        <v>0.16</v>
      </c>
    </row>
    <row r="181" spans="1:10" x14ac:dyDescent="0.2">
      <c r="A181" s="1">
        <v>180</v>
      </c>
      <c r="B181" s="2">
        <v>40551</v>
      </c>
      <c r="C181" s="1">
        <v>1</v>
      </c>
      <c r="D181" s="1">
        <f t="shared" si="8"/>
        <v>2011</v>
      </c>
      <c r="E181" s="1" t="str">
        <f t="shared" si="9"/>
        <v>January</v>
      </c>
      <c r="F181" s="1">
        <v>18</v>
      </c>
      <c r="G181" s="1" t="b">
        <f t="shared" si="10"/>
        <v>0</v>
      </c>
      <c r="H181" s="1" t="str">
        <f t="shared" si="11"/>
        <v>Saturday</v>
      </c>
      <c r="I181" s="1">
        <v>1</v>
      </c>
      <c r="J181" s="1">
        <v>0.14000000000000001</v>
      </c>
    </row>
    <row r="182" spans="1:10" x14ac:dyDescent="0.2">
      <c r="A182" s="1">
        <v>181</v>
      </c>
      <c r="B182" s="2">
        <v>40551</v>
      </c>
      <c r="C182" s="1">
        <v>1</v>
      </c>
      <c r="D182" s="1">
        <f t="shared" si="8"/>
        <v>2011</v>
      </c>
      <c r="E182" s="1" t="str">
        <f t="shared" si="9"/>
        <v>January</v>
      </c>
      <c r="F182" s="1">
        <v>19</v>
      </c>
      <c r="G182" s="1" t="b">
        <f t="shared" si="10"/>
        <v>0</v>
      </c>
      <c r="H182" s="1" t="str">
        <f t="shared" si="11"/>
        <v>Saturday</v>
      </c>
      <c r="I182" s="1">
        <v>1</v>
      </c>
      <c r="J182" s="1">
        <v>0.14000000000000001</v>
      </c>
    </row>
    <row r="183" spans="1:10" x14ac:dyDescent="0.2">
      <c r="A183" s="1">
        <v>182</v>
      </c>
      <c r="B183" s="2">
        <v>40551</v>
      </c>
      <c r="C183" s="1">
        <v>1</v>
      </c>
      <c r="D183" s="1">
        <f t="shared" si="8"/>
        <v>2011</v>
      </c>
      <c r="E183" s="1" t="str">
        <f t="shared" si="9"/>
        <v>January</v>
      </c>
      <c r="F183" s="1">
        <v>20</v>
      </c>
      <c r="G183" s="1" t="b">
        <f t="shared" si="10"/>
        <v>0</v>
      </c>
      <c r="H183" s="1" t="str">
        <f t="shared" si="11"/>
        <v>Saturday</v>
      </c>
      <c r="I183" s="1">
        <v>1</v>
      </c>
      <c r="J183" s="1">
        <v>0.12</v>
      </c>
    </row>
    <row r="184" spans="1:10" x14ac:dyDescent="0.2">
      <c r="A184" s="1">
        <v>183</v>
      </c>
      <c r="B184" s="2">
        <v>40551</v>
      </c>
      <c r="C184" s="1">
        <v>1</v>
      </c>
      <c r="D184" s="1">
        <f t="shared" si="8"/>
        <v>2011</v>
      </c>
      <c r="E184" s="1" t="str">
        <f t="shared" si="9"/>
        <v>January</v>
      </c>
      <c r="F184" s="1">
        <v>21</v>
      </c>
      <c r="G184" s="1" t="b">
        <f t="shared" si="10"/>
        <v>0</v>
      </c>
      <c r="H184" s="1" t="str">
        <f t="shared" si="11"/>
        <v>Saturday</v>
      </c>
      <c r="I184" s="1">
        <v>1</v>
      </c>
      <c r="J184" s="1">
        <v>0.12</v>
      </c>
    </row>
    <row r="185" spans="1:10" x14ac:dyDescent="0.2">
      <c r="A185" s="1">
        <v>184</v>
      </c>
      <c r="B185" s="2">
        <v>40551</v>
      </c>
      <c r="C185" s="1">
        <v>1</v>
      </c>
      <c r="D185" s="1">
        <f t="shared" si="8"/>
        <v>2011</v>
      </c>
      <c r="E185" s="1" t="str">
        <f t="shared" si="9"/>
        <v>January</v>
      </c>
      <c r="F185" s="1">
        <v>22</v>
      </c>
      <c r="G185" s="1" t="b">
        <f t="shared" si="10"/>
        <v>0</v>
      </c>
      <c r="H185" s="1" t="str">
        <f t="shared" si="11"/>
        <v>Saturday</v>
      </c>
      <c r="I185" s="1">
        <v>1</v>
      </c>
      <c r="J185" s="1">
        <v>0.12</v>
      </c>
    </row>
    <row r="186" spans="1:10" x14ac:dyDescent="0.2">
      <c r="A186" s="1">
        <v>185</v>
      </c>
      <c r="B186" s="2">
        <v>40551</v>
      </c>
      <c r="C186" s="1">
        <v>1</v>
      </c>
      <c r="D186" s="1">
        <f t="shared" si="8"/>
        <v>2011</v>
      </c>
      <c r="E186" s="1" t="str">
        <f t="shared" si="9"/>
        <v>January</v>
      </c>
      <c r="F186" s="1">
        <v>23</v>
      </c>
      <c r="G186" s="1" t="b">
        <f t="shared" si="10"/>
        <v>0</v>
      </c>
      <c r="H186" s="1" t="str">
        <f t="shared" si="11"/>
        <v>Saturday</v>
      </c>
      <c r="I186" s="1">
        <v>1</v>
      </c>
      <c r="J186" s="1">
        <v>0.1</v>
      </c>
    </row>
    <row r="187" spans="1:10" x14ac:dyDescent="0.2">
      <c r="A187" s="1">
        <v>186</v>
      </c>
      <c r="B187" s="2">
        <v>40552</v>
      </c>
      <c r="C187" s="1">
        <v>1</v>
      </c>
      <c r="D187" s="1">
        <f t="shared" si="8"/>
        <v>2011</v>
      </c>
      <c r="E187" s="1" t="str">
        <f t="shared" si="9"/>
        <v>January</v>
      </c>
      <c r="F187" s="1">
        <v>0</v>
      </c>
      <c r="G187" s="1" t="b">
        <f t="shared" si="10"/>
        <v>1</v>
      </c>
      <c r="H187" s="1" t="str">
        <f t="shared" si="11"/>
        <v>Sunday</v>
      </c>
      <c r="I187" s="1">
        <v>1</v>
      </c>
      <c r="J187" s="1">
        <v>0.1</v>
      </c>
    </row>
    <row r="188" spans="1:10" x14ac:dyDescent="0.2">
      <c r="A188" s="1">
        <v>187</v>
      </c>
      <c r="B188" s="2">
        <v>40552</v>
      </c>
      <c r="C188" s="1">
        <v>1</v>
      </c>
      <c r="D188" s="1">
        <f t="shared" si="8"/>
        <v>2011</v>
      </c>
      <c r="E188" s="1" t="str">
        <f t="shared" si="9"/>
        <v>January</v>
      </c>
      <c r="F188" s="1">
        <v>1</v>
      </c>
      <c r="G188" s="1" t="b">
        <f t="shared" si="10"/>
        <v>1</v>
      </c>
      <c r="H188" s="1" t="str">
        <f t="shared" si="11"/>
        <v>Sunday</v>
      </c>
      <c r="I188" s="1">
        <v>1</v>
      </c>
      <c r="J188" s="1">
        <v>0.1</v>
      </c>
    </row>
    <row r="189" spans="1:10" x14ac:dyDescent="0.2">
      <c r="A189" s="1">
        <v>188</v>
      </c>
      <c r="B189" s="2">
        <v>40552</v>
      </c>
      <c r="C189" s="1">
        <v>1</v>
      </c>
      <c r="D189" s="1">
        <f t="shared" si="8"/>
        <v>2011</v>
      </c>
      <c r="E189" s="1" t="str">
        <f t="shared" si="9"/>
        <v>January</v>
      </c>
      <c r="F189" s="1">
        <v>2</v>
      </c>
      <c r="G189" s="1" t="b">
        <f t="shared" si="10"/>
        <v>1</v>
      </c>
      <c r="H189" s="1" t="str">
        <f t="shared" si="11"/>
        <v>Sunday</v>
      </c>
      <c r="I189" s="1">
        <v>1</v>
      </c>
      <c r="J189" s="1">
        <v>0.1</v>
      </c>
    </row>
    <row r="190" spans="1:10" x14ac:dyDescent="0.2">
      <c r="A190" s="1">
        <v>189</v>
      </c>
      <c r="B190" s="2">
        <v>40552</v>
      </c>
      <c r="C190" s="1">
        <v>1</v>
      </c>
      <c r="D190" s="1">
        <f t="shared" si="8"/>
        <v>2011</v>
      </c>
      <c r="E190" s="1" t="str">
        <f t="shared" si="9"/>
        <v>January</v>
      </c>
      <c r="F190" s="1">
        <v>3</v>
      </c>
      <c r="G190" s="1" t="b">
        <f t="shared" si="10"/>
        <v>1</v>
      </c>
      <c r="H190" s="1" t="str">
        <f t="shared" si="11"/>
        <v>Sunday</v>
      </c>
      <c r="I190" s="1">
        <v>1</v>
      </c>
      <c r="J190" s="1">
        <v>0.1</v>
      </c>
    </row>
    <row r="191" spans="1:10" x14ac:dyDescent="0.2">
      <c r="A191" s="1">
        <v>190</v>
      </c>
      <c r="B191" s="2">
        <v>40552</v>
      </c>
      <c r="C191" s="1">
        <v>1</v>
      </c>
      <c r="D191" s="1">
        <f t="shared" si="8"/>
        <v>2011</v>
      </c>
      <c r="E191" s="1" t="str">
        <f t="shared" si="9"/>
        <v>January</v>
      </c>
      <c r="F191" s="1">
        <v>4</v>
      </c>
      <c r="G191" s="1" t="b">
        <f t="shared" si="10"/>
        <v>1</v>
      </c>
      <c r="H191" s="1" t="str">
        <f t="shared" si="11"/>
        <v>Sunday</v>
      </c>
      <c r="I191" s="1">
        <v>1</v>
      </c>
      <c r="J191" s="1">
        <v>0.08</v>
      </c>
    </row>
    <row r="192" spans="1:10" x14ac:dyDescent="0.2">
      <c r="A192" s="1">
        <v>191</v>
      </c>
      <c r="B192" s="2">
        <v>40552</v>
      </c>
      <c r="C192" s="1">
        <v>1</v>
      </c>
      <c r="D192" s="1">
        <f t="shared" si="8"/>
        <v>2011</v>
      </c>
      <c r="E192" s="1" t="str">
        <f t="shared" si="9"/>
        <v>January</v>
      </c>
      <c r="F192" s="1">
        <v>5</v>
      </c>
      <c r="G192" s="1" t="b">
        <f t="shared" si="10"/>
        <v>1</v>
      </c>
      <c r="H192" s="1" t="str">
        <f t="shared" si="11"/>
        <v>Sunday</v>
      </c>
      <c r="I192" s="1">
        <v>1</v>
      </c>
      <c r="J192" s="1">
        <v>0.08</v>
      </c>
    </row>
    <row r="193" spans="1:10" x14ac:dyDescent="0.2">
      <c r="A193" s="1">
        <v>192</v>
      </c>
      <c r="B193" s="2">
        <v>40552</v>
      </c>
      <c r="C193" s="1">
        <v>1</v>
      </c>
      <c r="D193" s="1">
        <f t="shared" si="8"/>
        <v>2011</v>
      </c>
      <c r="E193" s="1" t="str">
        <f t="shared" si="9"/>
        <v>January</v>
      </c>
      <c r="F193" s="1">
        <v>6</v>
      </c>
      <c r="G193" s="1" t="b">
        <f t="shared" si="10"/>
        <v>1</v>
      </c>
      <c r="H193" s="1" t="str">
        <f t="shared" si="11"/>
        <v>Sunday</v>
      </c>
      <c r="I193" s="1">
        <v>1</v>
      </c>
      <c r="J193" s="1">
        <v>0.1</v>
      </c>
    </row>
    <row r="194" spans="1:10" x14ac:dyDescent="0.2">
      <c r="A194" s="1">
        <v>193</v>
      </c>
      <c r="B194" s="2">
        <v>40552</v>
      </c>
      <c r="C194" s="1">
        <v>1</v>
      </c>
      <c r="D194" s="1">
        <f t="shared" si="8"/>
        <v>2011</v>
      </c>
      <c r="E194" s="1" t="str">
        <f t="shared" si="9"/>
        <v>January</v>
      </c>
      <c r="F194" s="1">
        <v>7</v>
      </c>
      <c r="G194" s="1" t="b">
        <f t="shared" si="10"/>
        <v>1</v>
      </c>
      <c r="H194" s="1" t="str">
        <f t="shared" si="11"/>
        <v>Sunday</v>
      </c>
      <c r="I194" s="1">
        <v>1</v>
      </c>
      <c r="J194" s="1">
        <v>0.08</v>
      </c>
    </row>
    <row r="195" spans="1:10" x14ac:dyDescent="0.2">
      <c r="A195" s="1">
        <v>194</v>
      </c>
      <c r="B195" s="2">
        <v>40552</v>
      </c>
      <c r="C195" s="1">
        <v>1</v>
      </c>
      <c r="D195" s="1">
        <f t="shared" ref="D195:D258" si="12">YEAR(B195)</f>
        <v>2011</v>
      </c>
      <c r="E195" s="1" t="str">
        <f t="shared" ref="E195:E258" si="13">TEXT(B195,"MMMM")</f>
        <v>January</v>
      </c>
      <c r="F195" s="1">
        <v>8</v>
      </c>
      <c r="G195" s="1" t="b">
        <f t="shared" ref="G195:G258" si="14">IF(H195="Sunday",TRUE,FALSE)</f>
        <v>1</v>
      </c>
      <c r="H195" s="1" t="str">
        <f t="shared" ref="H195:H258" si="15">TEXT(B195,"DDDD")</f>
        <v>Sunday</v>
      </c>
      <c r="I195" s="1">
        <v>1</v>
      </c>
      <c r="J195" s="1">
        <v>0.1</v>
      </c>
    </row>
    <row r="196" spans="1:10" x14ac:dyDescent="0.2">
      <c r="A196" s="1">
        <v>195</v>
      </c>
      <c r="B196" s="2">
        <v>40552</v>
      </c>
      <c r="C196" s="1">
        <v>1</v>
      </c>
      <c r="D196" s="1">
        <f t="shared" si="12"/>
        <v>2011</v>
      </c>
      <c r="E196" s="1" t="str">
        <f t="shared" si="13"/>
        <v>January</v>
      </c>
      <c r="F196" s="1">
        <v>9</v>
      </c>
      <c r="G196" s="1" t="b">
        <f t="shared" si="14"/>
        <v>1</v>
      </c>
      <c r="H196" s="1" t="str">
        <f t="shared" si="15"/>
        <v>Sunday</v>
      </c>
      <c r="I196" s="1">
        <v>1</v>
      </c>
      <c r="J196" s="1">
        <v>0.12</v>
      </c>
    </row>
    <row r="197" spans="1:10" x14ac:dyDescent="0.2">
      <c r="A197" s="1">
        <v>196</v>
      </c>
      <c r="B197" s="2">
        <v>40552</v>
      </c>
      <c r="C197" s="1">
        <v>1</v>
      </c>
      <c r="D197" s="1">
        <f t="shared" si="12"/>
        <v>2011</v>
      </c>
      <c r="E197" s="1" t="str">
        <f t="shared" si="13"/>
        <v>January</v>
      </c>
      <c r="F197" s="1">
        <v>10</v>
      </c>
      <c r="G197" s="1" t="b">
        <f t="shared" si="14"/>
        <v>1</v>
      </c>
      <c r="H197" s="1" t="str">
        <f t="shared" si="15"/>
        <v>Sunday</v>
      </c>
      <c r="I197" s="1">
        <v>1</v>
      </c>
      <c r="J197" s="1">
        <v>0.14000000000000001</v>
      </c>
    </row>
    <row r="198" spans="1:10" x14ac:dyDescent="0.2">
      <c r="A198" s="1">
        <v>197</v>
      </c>
      <c r="B198" s="2">
        <v>40552</v>
      </c>
      <c r="C198" s="1">
        <v>1</v>
      </c>
      <c r="D198" s="1">
        <f t="shared" si="12"/>
        <v>2011</v>
      </c>
      <c r="E198" s="1" t="str">
        <f t="shared" si="13"/>
        <v>January</v>
      </c>
      <c r="F198" s="1">
        <v>11</v>
      </c>
      <c r="G198" s="1" t="b">
        <f t="shared" si="14"/>
        <v>1</v>
      </c>
      <c r="H198" s="1" t="str">
        <f t="shared" si="15"/>
        <v>Sunday</v>
      </c>
      <c r="I198" s="1">
        <v>1</v>
      </c>
      <c r="J198" s="1">
        <v>0.16</v>
      </c>
    </row>
    <row r="199" spans="1:10" x14ac:dyDescent="0.2">
      <c r="A199" s="1">
        <v>198</v>
      </c>
      <c r="B199" s="2">
        <v>40552</v>
      </c>
      <c r="C199" s="1">
        <v>1</v>
      </c>
      <c r="D199" s="1">
        <f t="shared" si="12"/>
        <v>2011</v>
      </c>
      <c r="E199" s="1" t="str">
        <f t="shared" si="13"/>
        <v>January</v>
      </c>
      <c r="F199" s="1">
        <v>12</v>
      </c>
      <c r="G199" s="1" t="b">
        <f t="shared" si="14"/>
        <v>1</v>
      </c>
      <c r="H199" s="1" t="str">
        <f t="shared" si="15"/>
        <v>Sunday</v>
      </c>
      <c r="I199" s="1">
        <v>1</v>
      </c>
      <c r="J199" s="1">
        <v>0.18</v>
      </c>
    </row>
    <row r="200" spans="1:10" x14ac:dyDescent="0.2">
      <c r="A200" s="1">
        <v>199</v>
      </c>
      <c r="B200" s="2">
        <v>40552</v>
      </c>
      <c r="C200" s="1">
        <v>1</v>
      </c>
      <c r="D200" s="1">
        <f t="shared" si="12"/>
        <v>2011</v>
      </c>
      <c r="E200" s="1" t="str">
        <f t="shared" si="13"/>
        <v>January</v>
      </c>
      <c r="F200" s="1">
        <v>13</v>
      </c>
      <c r="G200" s="1" t="b">
        <f t="shared" si="14"/>
        <v>1</v>
      </c>
      <c r="H200" s="1" t="str">
        <f t="shared" si="15"/>
        <v>Sunday</v>
      </c>
      <c r="I200" s="1">
        <v>1</v>
      </c>
      <c r="J200" s="1">
        <v>0.2</v>
      </c>
    </row>
    <row r="201" spans="1:10" x14ac:dyDescent="0.2">
      <c r="A201" s="1">
        <v>200</v>
      </c>
      <c r="B201" s="2">
        <v>40552</v>
      </c>
      <c r="C201" s="1">
        <v>1</v>
      </c>
      <c r="D201" s="1">
        <f t="shared" si="12"/>
        <v>2011</v>
      </c>
      <c r="E201" s="1" t="str">
        <f t="shared" si="13"/>
        <v>January</v>
      </c>
      <c r="F201" s="1">
        <v>14</v>
      </c>
      <c r="G201" s="1" t="b">
        <f t="shared" si="14"/>
        <v>1</v>
      </c>
      <c r="H201" s="1" t="str">
        <f t="shared" si="15"/>
        <v>Sunday</v>
      </c>
      <c r="I201" s="1">
        <v>1</v>
      </c>
      <c r="J201" s="1">
        <v>0.22</v>
      </c>
    </row>
    <row r="202" spans="1:10" x14ac:dyDescent="0.2">
      <c r="A202" s="1">
        <v>201</v>
      </c>
      <c r="B202" s="2">
        <v>40552</v>
      </c>
      <c r="C202" s="1">
        <v>1</v>
      </c>
      <c r="D202" s="1">
        <f t="shared" si="12"/>
        <v>2011</v>
      </c>
      <c r="E202" s="1" t="str">
        <f t="shared" si="13"/>
        <v>January</v>
      </c>
      <c r="F202" s="1">
        <v>15</v>
      </c>
      <c r="G202" s="1" t="b">
        <f t="shared" si="14"/>
        <v>1</v>
      </c>
      <c r="H202" s="1" t="str">
        <f t="shared" si="15"/>
        <v>Sunday</v>
      </c>
      <c r="I202" s="1">
        <v>1</v>
      </c>
      <c r="J202" s="1">
        <v>0.22</v>
      </c>
    </row>
    <row r="203" spans="1:10" x14ac:dyDescent="0.2">
      <c r="A203" s="1">
        <v>202</v>
      </c>
      <c r="B203" s="2">
        <v>40552</v>
      </c>
      <c r="C203" s="1">
        <v>1</v>
      </c>
      <c r="D203" s="1">
        <f t="shared" si="12"/>
        <v>2011</v>
      </c>
      <c r="E203" s="1" t="str">
        <f t="shared" si="13"/>
        <v>January</v>
      </c>
      <c r="F203" s="1">
        <v>16</v>
      </c>
      <c r="G203" s="1" t="b">
        <f t="shared" si="14"/>
        <v>1</v>
      </c>
      <c r="H203" s="1" t="str">
        <f t="shared" si="15"/>
        <v>Sunday</v>
      </c>
      <c r="I203" s="1">
        <v>1</v>
      </c>
      <c r="J203" s="1">
        <v>0.2</v>
      </c>
    </row>
    <row r="204" spans="1:10" x14ac:dyDescent="0.2">
      <c r="A204" s="1">
        <v>203</v>
      </c>
      <c r="B204" s="2">
        <v>40552</v>
      </c>
      <c r="C204" s="1">
        <v>1</v>
      </c>
      <c r="D204" s="1">
        <f t="shared" si="12"/>
        <v>2011</v>
      </c>
      <c r="E204" s="1" t="str">
        <f t="shared" si="13"/>
        <v>January</v>
      </c>
      <c r="F204" s="1">
        <v>17</v>
      </c>
      <c r="G204" s="1" t="b">
        <f t="shared" si="14"/>
        <v>1</v>
      </c>
      <c r="H204" s="1" t="str">
        <f t="shared" si="15"/>
        <v>Sunday</v>
      </c>
      <c r="I204" s="1">
        <v>1</v>
      </c>
      <c r="J204" s="1">
        <v>0.18</v>
      </c>
    </row>
    <row r="205" spans="1:10" x14ac:dyDescent="0.2">
      <c r="A205" s="1">
        <v>204</v>
      </c>
      <c r="B205" s="2">
        <v>40552</v>
      </c>
      <c r="C205" s="1">
        <v>1</v>
      </c>
      <c r="D205" s="1">
        <f t="shared" si="12"/>
        <v>2011</v>
      </c>
      <c r="E205" s="1" t="str">
        <f t="shared" si="13"/>
        <v>January</v>
      </c>
      <c r="F205" s="1">
        <v>18</v>
      </c>
      <c r="G205" s="1" t="b">
        <f t="shared" si="14"/>
        <v>1</v>
      </c>
      <c r="H205" s="1" t="str">
        <f t="shared" si="15"/>
        <v>Sunday</v>
      </c>
      <c r="I205" s="1">
        <v>1</v>
      </c>
      <c r="J205" s="1">
        <v>0.16</v>
      </c>
    </row>
    <row r="206" spans="1:10" x14ac:dyDescent="0.2">
      <c r="A206" s="1">
        <v>205</v>
      </c>
      <c r="B206" s="2">
        <v>40552</v>
      </c>
      <c r="C206" s="1">
        <v>1</v>
      </c>
      <c r="D206" s="1">
        <f t="shared" si="12"/>
        <v>2011</v>
      </c>
      <c r="E206" s="1" t="str">
        <f t="shared" si="13"/>
        <v>January</v>
      </c>
      <c r="F206" s="1">
        <v>19</v>
      </c>
      <c r="G206" s="1" t="b">
        <f t="shared" si="14"/>
        <v>1</v>
      </c>
      <c r="H206" s="1" t="str">
        <f t="shared" si="15"/>
        <v>Sunday</v>
      </c>
      <c r="I206" s="1">
        <v>1</v>
      </c>
      <c r="J206" s="1">
        <v>0.16</v>
      </c>
    </row>
    <row r="207" spans="1:10" x14ac:dyDescent="0.2">
      <c r="A207" s="1">
        <v>206</v>
      </c>
      <c r="B207" s="2">
        <v>40552</v>
      </c>
      <c r="C207" s="1">
        <v>1</v>
      </c>
      <c r="D207" s="1">
        <f t="shared" si="12"/>
        <v>2011</v>
      </c>
      <c r="E207" s="1" t="str">
        <f t="shared" si="13"/>
        <v>January</v>
      </c>
      <c r="F207" s="1">
        <v>20</v>
      </c>
      <c r="G207" s="1" t="b">
        <f t="shared" si="14"/>
        <v>1</v>
      </c>
      <c r="H207" s="1" t="str">
        <f t="shared" si="15"/>
        <v>Sunday</v>
      </c>
      <c r="I207" s="1">
        <v>1</v>
      </c>
      <c r="J207" s="1">
        <v>0.14000000000000001</v>
      </c>
    </row>
    <row r="208" spans="1:10" x14ac:dyDescent="0.2">
      <c r="A208" s="1">
        <v>207</v>
      </c>
      <c r="B208" s="2">
        <v>40552</v>
      </c>
      <c r="C208" s="1">
        <v>1</v>
      </c>
      <c r="D208" s="1">
        <f t="shared" si="12"/>
        <v>2011</v>
      </c>
      <c r="E208" s="1" t="str">
        <f t="shared" si="13"/>
        <v>January</v>
      </c>
      <c r="F208" s="1">
        <v>21</v>
      </c>
      <c r="G208" s="1" t="b">
        <f t="shared" si="14"/>
        <v>1</v>
      </c>
      <c r="H208" s="1" t="str">
        <f t="shared" si="15"/>
        <v>Sunday</v>
      </c>
      <c r="I208" s="1">
        <v>1</v>
      </c>
      <c r="J208" s="1">
        <v>0.14000000000000001</v>
      </c>
    </row>
    <row r="209" spans="1:10" x14ac:dyDescent="0.2">
      <c r="A209" s="1">
        <v>208</v>
      </c>
      <c r="B209" s="2">
        <v>40552</v>
      </c>
      <c r="C209" s="1">
        <v>1</v>
      </c>
      <c r="D209" s="1">
        <f t="shared" si="12"/>
        <v>2011</v>
      </c>
      <c r="E209" s="1" t="str">
        <f t="shared" si="13"/>
        <v>January</v>
      </c>
      <c r="F209" s="1">
        <v>22</v>
      </c>
      <c r="G209" s="1" t="b">
        <f t="shared" si="14"/>
        <v>1</v>
      </c>
      <c r="H209" s="1" t="str">
        <f t="shared" si="15"/>
        <v>Sunday</v>
      </c>
      <c r="I209" s="1">
        <v>1</v>
      </c>
      <c r="J209" s="1">
        <v>0.14000000000000001</v>
      </c>
    </row>
    <row r="210" spans="1:10" x14ac:dyDescent="0.2">
      <c r="A210" s="1">
        <v>209</v>
      </c>
      <c r="B210" s="2">
        <v>40552</v>
      </c>
      <c r="C210" s="1">
        <v>1</v>
      </c>
      <c r="D210" s="1">
        <f t="shared" si="12"/>
        <v>2011</v>
      </c>
      <c r="E210" s="1" t="str">
        <f t="shared" si="13"/>
        <v>January</v>
      </c>
      <c r="F210" s="1">
        <v>23</v>
      </c>
      <c r="G210" s="1" t="b">
        <f t="shared" si="14"/>
        <v>1</v>
      </c>
      <c r="H210" s="1" t="str">
        <f t="shared" si="15"/>
        <v>Sunday</v>
      </c>
      <c r="I210" s="1">
        <v>1</v>
      </c>
      <c r="J210" s="1">
        <v>0.12</v>
      </c>
    </row>
    <row r="211" spans="1:10" x14ac:dyDescent="0.2">
      <c r="A211" s="1">
        <v>210</v>
      </c>
      <c r="B211" s="2">
        <v>40553</v>
      </c>
      <c r="C211" s="1">
        <v>1</v>
      </c>
      <c r="D211" s="1">
        <f t="shared" si="12"/>
        <v>2011</v>
      </c>
      <c r="E211" s="1" t="str">
        <f t="shared" si="13"/>
        <v>January</v>
      </c>
      <c r="F211" s="1">
        <v>0</v>
      </c>
      <c r="G211" s="1" t="b">
        <f t="shared" si="14"/>
        <v>0</v>
      </c>
      <c r="H211" s="1" t="str">
        <f t="shared" si="15"/>
        <v>Monday</v>
      </c>
      <c r="I211" s="1">
        <v>1</v>
      </c>
      <c r="J211" s="1">
        <v>0.12</v>
      </c>
    </row>
    <row r="212" spans="1:10" x14ac:dyDescent="0.2">
      <c r="A212" s="1">
        <v>211</v>
      </c>
      <c r="B212" s="2">
        <v>40553</v>
      </c>
      <c r="C212" s="1">
        <v>1</v>
      </c>
      <c r="D212" s="1">
        <f t="shared" si="12"/>
        <v>2011</v>
      </c>
      <c r="E212" s="1" t="str">
        <f t="shared" si="13"/>
        <v>January</v>
      </c>
      <c r="F212" s="1">
        <v>1</v>
      </c>
      <c r="G212" s="1" t="b">
        <f t="shared" si="14"/>
        <v>0</v>
      </c>
      <c r="H212" s="1" t="str">
        <f t="shared" si="15"/>
        <v>Monday</v>
      </c>
      <c r="I212" s="1">
        <v>1</v>
      </c>
      <c r="J212" s="1">
        <v>0.12</v>
      </c>
    </row>
    <row r="213" spans="1:10" x14ac:dyDescent="0.2">
      <c r="A213" s="1">
        <v>212</v>
      </c>
      <c r="B213" s="2">
        <v>40553</v>
      </c>
      <c r="C213" s="1">
        <v>1</v>
      </c>
      <c r="D213" s="1">
        <f t="shared" si="12"/>
        <v>2011</v>
      </c>
      <c r="E213" s="1" t="str">
        <f t="shared" si="13"/>
        <v>January</v>
      </c>
      <c r="F213" s="1">
        <v>2</v>
      </c>
      <c r="G213" s="1" t="b">
        <f t="shared" si="14"/>
        <v>0</v>
      </c>
      <c r="H213" s="1" t="str">
        <f t="shared" si="15"/>
        <v>Monday</v>
      </c>
      <c r="I213" s="1">
        <v>1</v>
      </c>
      <c r="J213" s="1">
        <v>0.12</v>
      </c>
    </row>
    <row r="214" spans="1:10" x14ac:dyDescent="0.2">
      <c r="A214" s="1">
        <v>213</v>
      </c>
      <c r="B214" s="2">
        <v>40553</v>
      </c>
      <c r="C214" s="1">
        <v>1</v>
      </c>
      <c r="D214" s="1">
        <f t="shared" si="12"/>
        <v>2011</v>
      </c>
      <c r="E214" s="1" t="str">
        <f t="shared" si="13"/>
        <v>January</v>
      </c>
      <c r="F214" s="1">
        <v>3</v>
      </c>
      <c r="G214" s="1" t="b">
        <f t="shared" si="14"/>
        <v>0</v>
      </c>
      <c r="H214" s="1" t="str">
        <f t="shared" si="15"/>
        <v>Monday</v>
      </c>
      <c r="I214" s="1">
        <v>1</v>
      </c>
      <c r="J214" s="1">
        <v>0.12</v>
      </c>
    </row>
    <row r="215" spans="1:10" x14ac:dyDescent="0.2">
      <c r="A215" s="1">
        <v>214</v>
      </c>
      <c r="B215" s="2">
        <v>40553</v>
      </c>
      <c r="C215" s="1">
        <v>1</v>
      </c>
      <c r="D215" s="1">
        <f t="shared" si="12"/>
        <v>2011</v>
      </c>
      <c r="E215" s="1" t="str">
        <f t="shared" si="13"/>
        <v>January</v>
      </c>
      <c r="F215" s="1">
        <v>4</v>
      </c>
      <c r="G215" s="1" t="b">
        <f t="shared" si="14"/>
        <v>0</v>
      </c>
      <c r="H215" s="1" t="str">
        <f t="shared" si="15"/>
        <v>Monday</v>
      </c>
      <c r="I215" s="1">
        <v>1</v>
      </c>
      <c r="J215" s="1">
        <v>0.1</v>
      </c>
    </row>
    <row r="216" spans="1:10" x14ac:dyDescent="0.2">
      <c r="A216" s="1">
        <v>215</v>
      </c>
      <c r="B216" s="2">
        <v>40553</v>
      </c>
      <c r="C216" s="1">
        <v>1</v>
      </c>
      <c r="D216" s="1">
        <f t="shared" si="12"/>
        <v>2011</v>
      </c>
      <c r="E216" s="1" t="str">
        <f t="shared" si="13"/>
        <v>January</v>
      </c>
      <c r="F216" s="1">
        <v>5</v>
      </c>
      <c r="G216" s="1" t="b">
        <f t="shared" si="14"/>
        <v>0</v>
      </c>
      <c r="H216" s="1" t="str">
        <f t="shared" si="15"/>
        <v>Monday</v>
      </c>
      <c r="I216" s="1">
        <v>1</v>
      </c>
      <c r="J216" s="1">
        <v>0.1</v>
      </c>
    </row>
    <row r="217" spans="1:10" x14ac:dyDescent="0.2">
      <c r="A217" s="1">
        <v>216</v>
      </c>
      <c r="B217" s="2">
        <v>40553</v>
      </c>
      <c r="C217" s="1">
        <v>1</v>
      </c>
      <c r="D217" s="1">
        <f t="shared" si="12"/>
        <v>2011</v>
      </c>
      <c r="E217" s="1" t="str">
        <f t="shared" si="13"/>
        <v>January</v>
      </c>
      <c r="F217" s="1">
        <v>6</v>
      </c>
      <c r="G217" s="1" t="b">
        <f t="shared" si="14"/>
        <v>0</v>
      </c>
      <c r="H217" s="1" t="str">
        <f t="shared" si="15"/>
        <v>Monday</v>
      </c>
      <c r="I217" s="1">
        <v>1</v>
      </c>
      <c r="J217" s="1">
        <v>0.12</v>
      </c>
    </row>
    <row r="218" spans="1:10" x14ac:dyDescent="0.2">
      <c r="A218" s="1">
        <v>217</v>
      </c>
      <c r="B218" s="2">
        <v>40553</v>
      </c>
      <c r="C218" s="1">
        <v>1</v>
      </c>
      <c r="D218" s="1">
        <f t="shared" si="12"/>
        <v>2011</v>
      </c>
      <c r="E218" s="1" t="str">
        <f t="shared" si="13"/>
        <v>January</v>
      </c>
      <c r="F218" s="1">
        <v>7</v>
      </c>
      <c r="G218" s="1" t="b">
        <f t="shared" si="14"/>
        <v>0</v>
      </c>
      <c r="H218" s="1" t="str">
        <f t="shared" si="15"/>
        <v>Monday</v>
      </c>
      <c r="I218" s="1">
        <v>1</v>
      </c>
      <c r="J218" s="1">
        <v>0.12</v>
      </c>
    </row>
    <row r="219" spans="1:10" x14ac:dyDescent="0.2">
      <c r="A219" s="1">
        <v>218</v>
      </c>
      <c r="B219" s="2">
        <v>40553</v>
      </c>
      <c r="C219" s="1">
        <v>1</v>
      </c>
      <c r="D219" s="1">
        <f t="shared" si="12"/>
        <v>2011</v>
      </c>
      <c r="E219" s="1" t="str">
        <f t="shared" si="13"/>
        <v>January</v>
      </c>
      <c r="F219" s="1">
        <v>8</v>
      </c>
      <c r="G219" s="1" t="b">
        <f t="shared" si="14"/>
        <v>0</v>
      </c>
      <c r="H219" s="1" t="str">
        <f t="shared" si="15"/>
        <v>Monday</v>
      </c>
      <c r="I219" s="1">
        <v>2</v>
      </c>
      <c r="J219" s="1">
        <v>0.12</v>
      </c>
    </row>
    <row r="220" spans="1:10" x14ac:dyDescent="0.2">
      <c r="A220" s="1">
        <v>219</v>
      </c>
      <c r="B220" s="2">
        <v>40553</v>
      </c>
      <c r="C220" s="1">
        <v>1</v>
      </c>
      <c r="D220" s="1">
        <f t="shared" si="12"/>
        <v>2011</v>
      </c>
      <c r="E220" s="1" t="str">
        <f t="shared" si="13"/>
        <v>January</v>
      </c>
      <c r="F220" s="1">
        <v>9</v>
      </c>
      <c r="G220" s="1" t="b">
        <f t="shared" si="14"/>
        <v>0</v>
      </c>
      <c r="H220" s="1" t="str">
        <f t="shared" si="15"/>
        <v>Monday</v>
      </c>
      <c r="I220" s="1">
        <v>2</v>
      </c>
      <c r="J220" s="1">
        <v>0.14000000000000001</v>
      </c>
    </row>
    <row r="221" spans="1:10" x14ac:dyDescent="0.2">
      <c r="A221" s="1">
        <v>220</v>
      </c>
      <c r="B221" s="2">
        <v>40553</v>
      </c>
      <c r="C221" s="1">
        <v>1</v>
      </c>
      <c r="D221" s="1">
        <f t="shared" si="12"/>
        <v>2011</v>
      </c>
      <c r="E221" s="1" t="str">
        <f t="shared" si="13"/>
        <v>January</v>
      </c>
      <c r="F221" s="1">
        <v>10</v>
      </c>
      <c r="G221" s="1" t="b">
        <f t="shared" si="14"/>
        <v>0</v>
      </c>
      <c r="H221" s="1" t="str">
        <f t="shared" si="15"/>
        <v>Monday</v>
      </c>
      <c r="I221" s="1">
        <v>2</v>
      </c>
      <c r="J221" s="1">
        <v>0.14000000000000001</v>
      </c>
    </row>
    <row r="222" spans="1:10" x14ac:dyDescent="0.2">
      <c r="A222" s="1">
        <v>221</v>
      </c>
      <c r="B222" s="2">
        <v>40553</v>
      </c>
      <c r="C222" s="1">
        <v>1</v>
      </c>
      <c r="D222" s="1">
        <f t="shared" si="12"/>
        <v>2011</v>
      </c>
      <c r="E222" s="1" t="str">
        <f t="shared" si="13"/>
        <v>January</v>
      </c>
      <c r="F222" s="1">
        <v>11</v>
      </c>
      <c r="G222" s="1" t="b">
        <f t="shared" si="14"/>
        <v>0</v>
      </c>
      <c r="H222" s="1" t="str">
        <f t="shared" si="15"/>
        <v>Monday</v>
      </c>
      <c r="I222" s="1">
        <v>2</v>
      </c>
      <c r="J222" s="1">
        <v>0.16</v>
      </c>
    </row>
    <row r="223" spans="1:10" x14ac:dyDescent="0.2">
      <c r="A223" s="1">
        <v>222</v>
      </c>
      <c r="B223" s="2">
        <v>40553</v>
      </c>
      <c r="C223" s="1">
        <v>1</v>
      </c>
      <c r="D223" s="1">
        <f t="shared" si="12"/>
        <v>2011</v>
      </c>
      <c r="E223" s="1" t="str">
        <f t="shared" si="13"/>
        <v>January</v>
      </c>
      <c r="F223" s="1">
        <v>12</v>
      </c>
      <c r="G223" s="1" t="b">
        <f t="shared" si="14"/>
        <v>0</v>
      </c>
      <c r="H223" s="1" t="str">
        <f t="shared" si="15"/>
        <v>Monday</v>
      </c>
      <c r="I223" s="1">
        <v>2</v>
      </c>
      <c r="J223" s="1">
        <v>0.2</v>
      </c>
    </row>
    <row r="224" spans="1:10" x14ac:dyDescent="0.2">
      <c r="A224" s="1">
        <v>223</v>
      </c>
      <c r="B224" s="2">
        <v>40553</v>
      </c>
      <c r="C224" s="1">
        <v>1</v>
      </c>
      <c r="D224" s="1">
        <f t="shared" si="12"/>
        <v>2011</v>
      </c>
      <c r="E224" s="1" t="str">
        <f t="shared" si="13"/>
        <v>January</v>
      </c>
      <c r="F224" s="1">
        <v>13</v>
      </c>
      <c r="G224" s="1" t="b">
        <f t="shared" si="14"/>
        <v>0</v>
      </c>
      <c r="H224" s="1" t="str">
        <f t="shared" si="15"/>
        <v>Monday</v>
      </c>
      <c r="I224" s="1">
        <v>2</v>
      </c>
      <c r="J224" s="1">
        <v>0.2</v>
      </c>
    </row>
    <row r="225" spans="1:10" x14ac:dyDescent="0.2">
      <c r="A225" s="1">
        <v>224</v>
      </c>
      <c r="B225" s="2">
        <v>40553</v>
      </c>
      <c r="C225" s="1">
        <v>1</v>
      </c>
      <c r="D225" s="1">
        <f t="shared" si="12"/>
        <v>2011</v>
      </c>
      <c r="E225" s="1" t="str">
        <f t="shared" si="13"/>
        <v>January</v>
      </c>
      <c r="F225" s="1">
        <v>14</v>
      </c>
      <c r="G225" s="1" t="b">
        <f t="shared" si="14"/>
        <v>0</v>
      </c>
      <c r="H225" s="1" t="str">
        <f t="shared" si="15"/>
        <v>Monday</v>
      </c>
      <c r="I225" s="1">
        <v>2</v>
      </c>
      <c r="J225" s="1">
        <v>0.2</v>
      </c>
    </row>
    <row r="226" spans="1:10" x14ac:dyDescent="0.2">
      <c r="A226" s="1">
        <v>225</v>
      </c>
      <c r="B226" s="2">
        <v>40553</v>
      </c>
      <c r="C226" s="1">
        <v>1</v>
      </c>
      <c r="D226" s="1">
        <f t="shared" si="12"/>
        <v>2011</v>
      </c>
      <c r="E226" s="1" t="str">
        <f t="shared" si="13"/>
        <v>January</v>
      </c>
      <c r="F226" s="1">
        <v>15</v>
      </c>
      <c r="G226" s="1" t="b">
        <f t="shared" si="14"/>
        <v>0</v>
      </c>
      <c r="H226" s="1" t="str">
        <f t="shared" si="15"/>
        <v>Monday</v>
      </c>
      <c r="I226" s="1">
        <v>2</v>
      </c>
      <c r="J226" s="1">
        <v>0.2</v>
      </c>
    </row>
    <row r="227" spans="1:10" x14ac:dyDescent="0.2">
      <c r="A227" s="1">
        <v>226</v>
      </c>
      <c r="B227" s="2">
        <v>40553</v>
      </c>
      <c r="C227" s="1">
        <v>1</v>
      </c>
      <c r="D227" s="1">
        <f t="shared" si="12"/>
        <v>2011</v>
      </c>
      <c r="E227" s="1" t="str">
        <f t="shared" si="13"/>
        <v>January</v>
      </c>
      <c r="F227" s="1">
        <v>16</v>
      </c>
      <c r="G227" s="1" t="b">
        <f t="shared" si="14"/>
        <v>0</v>
      </c>
      <c r="H227" s="1" t="str">
        <f t="shared" si="15"/>
        <v>Monday</v>
      </c>
      <c r="I227" s="1">
        <v>1</v>
      </c>
      <c r="J227" s="1">
        <v>0.2</v>
      </c>
    </row>
    <row r="228" spans="1:10" x14ac:dyDescent="0.2">
      <c r="A228" s="1">
        <v>227</v>
      </c>
      <c r="B228" s="2">
        <v>40553</v>
      </c>
      <c r="C228" s="1">
        <v>1</v>
      </c>
      <c r="D228" s="1">
        <f t="shared" si="12"/>
        <v>2011</v>
      </c>
      <c r="E228" s="1" t="str">
        <f t="shared" si="13"/>
        <v>January</v>
      </c>
      <c r="F228" s="1">
        <v>17</v>
      </c>
      <c r="G228" s="1" t="b">
        <f t="shared" si="14"/>
        <v>0</v>
      </c>
      <c r="H228" s="1" t="str">
        <f t="shared" si="15"/>
        <v>Monday</v>
      </c>
      <c r="I228" s="1">
        <v>1</v>
      </c>
      <c r="J228" s="1">
        <v>0.2</v>
      </c>
    </row>
    <row r="229" spans="1:10" x14ac:dyDescent="0.2">
      <c r="A229" s="1">
        <v>228</v>
      </c>
      <c r="B229" s="2">
        <v>40553</v>
      </c>
      <c r="C229" s="1">
        <v>1</v>
      </c>
      <c r="D229" s="1">
        <f t="shared" si="12"/>
        <v>2011</v>
      </c>
      <c r="E229" s="1" t="str">
        <f t="shared" si="13"/>
        <v>January</v>
      </c>
      <c r="F229" s="1">
        <v>18</v>
      </c>
      <c r="G229" s="1" t="b">
        <f t="shared" si="14"/>
        <v>0</v>
      </c>
      <c r="H229" s="1" t="str">
        <f t="shared" si="15"/>
        <v>Monday</v>
      </c>
      <c r="I229" s="1">
        <v>1</v>
      </c>
      <c r="J229" s="1">
        <v>0.2</v>
      </c>
    </row>
    <row r="230" spans="1:10" x14ac:dyDescent="0.2">
      <c r="A230" s="1">
        <v>229</v>
      </c>
      <c r="B230" s="2">
        <v>40553</v>
      </c>
      <c r="C230" s="1">
        <v>1</v>
      </c>
      <c r="D230" s="1">
        <f t="shared" si="12"/>
        <v>2011</v>
      </c>
      <c r="E230" s="1" t="str">
        <f t="shared" si="13"/>
        <v>January</v>
      </c>
      <c r="F230" s="1">
        <v>19</v>
      </c>
      <c r="G230" s="1" t="b">
        <f t="shared" si="14"/>
        <v>0</v>
      </c>
      <c r="H230" s="1" t="str">
        <f t="shared" si="15"/>
        <v>Monday</v>
      </c>
      <c r="I230" s="1">
        <v>1</v>
      </c>
      <c r="J230" s="1">
        <v>0.16</v>
      </c>
    </row>
    <row r="231" spans="1:10" x14ac:dyDescent="0.2">
      <c r="A231" s="1">
        <v>230</v>
      </c>
      <c r="B231" s="2">
        <v>40553</v>
      </c>
      <c r="C231" s="1">
        <v>1</v>
      </c>
      <c r="D231" s="1">
        <f t="shared" si="12"/>
        <v>2011</v>
      </c>
      <c r="E231" s="1" t="str">
        <f t="shared" si="13"/>
        <v>January</v>
      </c>
      <c r="F231" s="1">
        <v>20</v>
      </c>
      <c r="G231" s="1" t="b">
        <f t="shared" si="14"/>
        <v>0</v>
      </c>
      <c r="H231" s="1" t="str">
        <f t="shared" si="15"/>
        <v>Monday</v>
      </c>
      <c r="I231" s="1">
        <v>1</v>
      </c>
      <c r="J231" s="1">
        <v>0.16</v>
      </c>
    </row>
    <row r="232" spans="1:10" x14ac:dyDescent="0.2">
      <c r="A232" s="1">
        <v>231</v>
      </c>
      <c r="B232" s="2">
        <v>40553</v>
      </c>
      <c r="C232" s="1">
        <v>1</v>
      </c>
      <c r="D232" s="1">
        <f t="shared" si="12"/>
        <v>2011</v>
      </c>
      <c r="E232" s="1" t="str">
        <f t="shared" si="13"/>
        <v>January</v>
      </c>
      <c r="F232" s="1">
        <v>21</v>
      </c>
      <c r="G232" s="1" t="b">
        <f t="shared" si="14"/>
        <v>0</v>
      </c>
      <c r="H232" s="1" t="str">
        <f t="shared" si="15"/>
        <v>Monday</v>
      </c>
      <c r="I232" s="1">
        <v>1</v>
      </c>
      <c r="J232" s="1">
        <v>0.14000000000000001</v>
      </c>
    </row>
    <row r="233" spans="1:10" x14ac:dyDescent="0.2">
      <c r="A233" s="1">
        <v>232</v>
      </c>
      <c r="B233" s="2">
        <v>40553</v>
      </c>
      <c r="C233" s="1">
        <v>1</v>
      </c>
      <c r="D233" s="1">
        <f t="shared" si="12"/>
        <v>2011</v>
      </c>
      <c r="E233" s="1" t="str">
        <f t="shared" si="13"/>
        <v>January</v>
      </c>
      <c r="F233" s="1">
        <v>22</v>
      </c>
      <c r="G233" s="1" t="b">
        <f t="shared" si="14"/>
        <v>0</v>
      </c>
      <c r="H233" s="1" t="str">
        <f t="shared" si="15"/>
        <v>Monday</v>
      </c>
      <c r="I233" s="1">
        <v>1</v>
      </c>
      <c r="J233" s="1">
        <v>0.14000000000000001</v>
      </c>
    </row>
    <row r="234" spans="1:10" x14ac:dyDescent="0.2">
      <c r="A234" s="1">
        <v>233</v>
      </c>
      <c r="B234" s="2">
        <v>40553</v>
      </c>
      <c r="C234" s="1">
        <v>1</v>
      </c>
      <c r="D234" s="1">
        <f t="shared" si="12"/>
        <v>2011</v>
      </c>
      <c r="E234" s="1" t="str">
        <f t="shared" si="13"/>
        <v>January</v>
      </c>
      <c r="F234" s="1">
        <v>23</v>
      </c>
      <c r="G234" s="1" t="b">
        <f t="shared" si="14"/>
        <v>0</v>
      </c>
      <c r="H234" s="1" t="str">
        <f t="shared" si="15"/>
        <v>Monday</v>
      </c>
      <c r="I234" s="1">
        <v>1</v>
      </c>
      <c r="J234" s="1">
        <v>0.14000000000000001</v>
      </c>
    </row>
    <row r="235" spans="1:10" x14ac:dyDescent="0.2">
      <c r="A235" s="1">
        <v>234</v>
      </c>
      <c r="B235" s="2">
        <v>40554</v>
      </c>
      <c r="C235" s="1">
        <v>1</v>
      </c>
      <c r="D235" s="1">
        <f t="shared" si="12"/>
        <v>2011</v>
      </c>
      <c r="E235" s="1" t="str">
        <f t="shared" si="13"/>
        <v>January</v>
      </c>
      <c r="F235" s="1">
        <v>0</v>
      </c>
      <c r="G235" s="1" t="b">
        <f t="shared" si="14"/>
        <v>0</v>
      </c>
      <c r="H235" s="1" t="str">
        <f t="shared" si="15"/>
        <v>Tuesday</v>
      </c>
      <c r="I235" s="1">
        <v>1</v>
      </c>
      <c r="J235" s="1">
        <v>0.14000000000000001</v>
      </c>
    </row>
    <row r="236" spans="1:10" x14ac:dyDescent="0.2">
      <c r="A236" s="1">
        <v>235</v>
      </c>
      <c r="B236" s="2">
        <v>40554</v>
      </c>
      <c r="C236" s="1">
        <v>1</v>
      </c>
      <c r="D236" s="1">
        <f t="shared" si="12"/>
        <v>2011</v>
      </c>
      <c r="E236" s="1" t="str">
        <f t="shared" si="13"/>
        <v>January</v>
      </c>
      <c r="F236" s="1">
        <v>1</v>
      </c>
      <c r="G236" s="1" t="b">
        <f t="shared" si="14"/>
        <v>0</v>
      </c>
      <c r="H236" s="1" t="str">
        <f t="shared" si="15"/>
        <v>Tuesday</v>
      </c>
      <c r="I236" s="1">
        <v>1</v>
      </c>
      <c r="J236" s="1">
        <v>0.14000000000000001</v>
      </c>
    </row>
    <row r="237" spans="1:10" x14ac:dyDescent="0.2">
      <c r="A237" s="1">
        <v>236</v>
      </c>
      <c r="B237" s="2">
        <v>40554</v>
      </c>
      <c r="C237" s="1">
        <v>1</v>
      </c>
      <c r="D237" s="1">
        <f t="shared" si="12"/>
        <v>2011</v>
      </c>
      <c r="E237" s="1" t="str">
        <f t="shared" si="13"/>
        <v>January</v>
      </c>
      <c r="F237" s="1">
        <v>2</v>
      </c>
      <c r="G237" s="1" t="b">
        <f t="shared" si="14"/>
        <v>0</v>
      </c>
      <c r="H237" s="1" t="str">
        <f t="shared" si="15"/>
        <v>Tuesday</v>
      </c>
      <c r="I237" s="1">
        <v>2</v>
      </c>
      <c r="J237" s="1">
        <v>0.16</v>
      </c>
    </row>
    <row r="238" spans="1:10" x14ac:dyDescent="0.2">
      <c r="A238" s="1">
        <v>237</v>
      </c>
      <c r="B238" s="2">
        <v>40554</v>
      </c>
      <c r="C238" s="1">
        <v>1</v>
      </c>
      <c r="D238" s="1">
        <f t="shared" si="12"/>
        <v>2011</v>
      </c>
      <c r="E238" s="1" t="str">
        <f t="shared" si="13"/>
        <v>January</v>
      </c>
      <c r="F238" s="1">
        <v>5</v>
      </c>
      <c r="G238" s="1" t="b">
        <f t="shared" si="14"/>
        <v>0</v>
      </c>
      <c r="H238" s="1" t="str">
        <f t="shared" si="15"/>
        <v>Tuesday</v>
      </c>
      <c r="I238" s="1">
        <v>2</v>
      </c>
      <c r="J238" s="1">
        <v>0.16</v>
      </c>
    </row>
    <row r="239" spans="1:10" x14ac:dyDescent="0.2">
      <c r="A239" s="1">
        <v>238</v>
      </c>
      <c r="B239" s="2">
        <v>40554</v>
      </c>
      <c r="C239" s="1">
        <v>1</v>
      </c>
      <c r="D239" s="1">
        <f t="shared" si="12"/>
        <v>2011</v>
      </c>
      <c r="E239" s="1" t="str">
        <f t="shared" si="13"/>
        <v>January</v>
      </c>
      <c r="F239" s="1">
        <v>6</v>
      </c>
      <c r="G239" s="1" t="b">
        <f t="shared" si="14"/>
        <v>0</v>
      </c>
      <c r="H239" s="1" t="str">
        <f t="shared" si="15"/>
        <v>Tuesday</v>
      </c>
      <c r="I239" s="1">
        <v>2</v>
      </c>
      <c r="J239" s="1">
        <v>0.16</v>
      </c>
    </row>
    <row r="240" spans="1:10" x14ac:dyDescent="0.2">
      <c r="A240" s="1">
        <v>239</v>
      </c>
      <c r="B240" s="2">
        <v>40554</v>
      </c>
      <c r="C240" s="1">
        <v>1</v>
      </c>
      <c r="D240" s="1">
        <f t="shared" si="12"/>
        <v>2011</v>
      </c>
      <c r="E240" s="1" t="str">
        <f t="shared" si="13"/>
        <v>January</v>
      </c>
      <c r="F240" s="1">
        <v>7</v>
      </c>
      <c r="G240" s="1" t="b">
        <f t="shared" si="14"/>
        <v>0</v>
      </c>
      <c r="H240" s="1" t="str">
        <f t="shared" si="15"/>
        <v>Tuesday</v>
      </c>
      <c r="I240" s="1">
        <v>2</v>
      </c>
      <c r="J240" s="1">
        <v>0.16</v>
      </c>
    </row>
    <row r="241" spans="1:10" x14ac:dyDescent="0.2">
      <c r="A241" s="1">
        <v>240</v>
      </c>
      <c r="B241" s="2">
        <v>40554</v>
      </c>
      <c r="C241" s="1">
        <v>1</v>
      </c>
      <c r="D241" s="1">
        <f t="shared" si="12"/>
        <v>2011</v>
      </c>
      <c r="E241" s="1" t="str">
        <f t="shared" si="13"/>
        <v>January</v>
      </c>
      <c r="F241" s="1">
        <v>8</v>
      </c>
      <c r="G241" s="1" t="b">
        <f t="shared" si="14"/>
        <v>0</v>
      </c>
      <c r="H241" s="1" t="str">
        <f t="shared" si="15"/>
        <v>Tuesday</v>
      </c>
      <c r="I241" s="1">
        <v>2</v>
      </c>
      <c r="J241" s="1">
        <v>0.18</v>
      </c>
    </row>
    <row r="242" spans="1:10" x14ac:dyDescent="0.2">
      <c r="A242" s="1">
        <v>241</v>
      </c>
      <c r="B242" s="2">
        <v>40554</v>
      </c>
      <c r="C242" s="1">
        <v>1</v>
      </c>
      <c r="D242" s="1">
        <f t="shared" si="12"/>
        <v>2011</v>
      </c>
      <c r="E242" s="1" t="str">
        <f t="shared" si="13"/>
        <v>January</v>
      </c>
      <c r="F242" s="1">
        <v>9</v>
      </c>
      <c r="G242" s="1" t="b">
        <f t="shared" si="14"/>
        <v>0</v>
      </c>
      <c r="H242" s="1" t="str">
        <f t="shared" si="15"/>
        <v>Tuesday</v>
      </c>
      <c r="I242" s="1">
        <v>2</v>
      </c>
      <c r="J242" s="1">
        <v>0.18</v>
      </c>
    </row>
    <row r="243" spans="1:10" x14ac:dyDescent="0.2">
      <c r="A243" s="1">
        <v>242</v>
      </c>
      <c r="B243" s="2">
        <v>40554</v>
      </c>
      <c r="C243" s="1">
        <v>1</v>
      </c>
      <c r="D243" s="1">
        <f t="shared" si="12"/>
        <v>2011</v>
      </c>
      <c r="E243" s="1" t="str">
        <f t="shared" si="13"/>
        <v>January</v>
      </c>
      <c r="F243" s="1">
        <v>10</v>
      </c>
      <c r="G243" s="1" t="b">
        <f t="shared" si="14"/>
        <v>0</v>
      </c>
      <c r="H243" s="1" t="str">
        <f t="shared" si="15"/>
        <v>Tuesday</v>
      </c>
      <c r="I243" s="1">
        <v>2</v>
      </c>
      <c r="J243" s="1">
        <v>0.2</v>
      </c>
    </row>
    <row r="244" spans="1:10" x14ac:dyDescent="0.2">
      <c r="A244" s="1">
        <v>243</v>
      </c>
      <c r="B244" s="2">
        <v>40554</v>
      </c>
      <c r="C244" s="1">
        <v>1</v>
      </c>
      <c r="D244" s="1">
        <f t="shared" si="12"/>
        <v>2011</v>
      </c>
      <c r="E244" s="1" t="str">
        <f t="shared" si="13"/>
        <v>January</v>
      </c>
      <c r="F244" s="1">
        <v>11</v>
      </c>
      <c r="G244" s="1" t="b">
        <f t="shared" si="14"/>
        <v>0</v>
      </c>
      <c r="H244" s="1" t="str">
        <f t="shared" si="15"/>
        <v>Tuesday</v>
      </c>
      <c r="I244" s="1">
        <v>2</v>
      </c>
      <c r="J244" s="1">
        <v>0.2</v>
      </c>
    </row>
    <row r="245" spans="1:10" x14ac:dyDescent="0.2">
      <c r="A245" s="1">
        <v>244</v>
      </c>
      <c r="B245" s="2">
        <v>40554</v>
      </c>
      <c r="C245" s="1">
        <v>1</v>
      </c>
      <c r="D245" s="1">
        <f t="shared" si="12"/>
        <v>2011</v>
      </c>
      <c r="E245" s="1" t="str">
        <f t="shared" si="13"/>
        <v>January</v>
      </c>
      <c r="F245" s="1">
        <v>12</v>
      </c>
      <c r="G245" s="1" t="b">
        <f t="shared" si="14"/>
        <v>0</v>
      </c>
      <c r="H245" s="1" t="str">
        <f t="shared" si="15"/>
        <v>Tuesday</v>
      </c>
      <c r="I245" s="1">
        <v>2</v>
      </c>
      <c r="J245" s="1">
        <v>0.2</v>
      </c>
    </row>
    <row r="246" spans="1:10" x14ac:dyDescent="0.2">
      <c r="A246" s="1">
        <v>245</v>
      </c>
      <c r="B246" s="2">
        <v>40554</v>
      </c>
      <c r="C246" s="1">
        <v>1</v>
      </c>
      <c r="D246" s="1">
        <f t="shared" si="12"/>
        <v>2011</v>
      </c>
      <c r="E246" s="1" t="str">
        <f t="shared" si="13"/>
        <v>January</v>
      </c>
      <c r="F246" s="1">
        <v>13</v>
      </c>
      <c r="G246" s="1" t="b">
        <f t="shared" si="14"/>
        <v>0</v>
      </c>
      <c r="H246" s="1" t="str">
        <f t="shared" si="15"/>
        <v>Tuesday</v>
      </c>
      <c r="I246" s="1">
        <v>2</v>
      </c>
      <c r="J246" s="1">
        <v>0.2</v>
      </c>
    </row>
    <row r="247" spans="1:10" x14ac:dyDescent="0.2">
      <c r="A247" s="1">
        <v>246</v>
      </c>
      <c r="B247" s="2">
        <v>40554</v>
      </c>
      <c r="C247" s="1">
        <v>1</v>
      </c>
      <c r="D247" s="1">
        <f t="shared" si="12"/>
        <v>2011</v>
      </c>
      <c r="E247" s="1" t="str">
        <f t="shared" si="13"/>
        <v>January</v>
      </c>
      <c r="F247" s="1">
        <v>14</v>
      </c>
      <c r="G247" s="1" t="b">
        <f t="shared" si="14"/>
        <v>0</v>
      </c>
      <c r="H247" s="1" t="str">
        <f t="shared" si="15"/>
        <v>Tuesday</v>
      </c>
      <c r="I247" s="1">
        <v>2</v>
      </c>
      <c r="J247" s="1">
        <v>0.2</v>
      </c>
    </row>
    <row r="248" spans="1:10" x14ac:dyDescent="0.2">
      <c r="A248" s="1">
        <v>247</v>
      </c>
      <c r="B248" s="2">
        <v>40554</v>
      </c>
      <c r="C248" s="1">
        <v>1</v>
      </c>
      <c r="D248" s="1">
        <f t="shared" si="12"/>
        <v>2011</v>
      </c>
      <c r="E248" s="1" t="str">
        <f t="shared" si="13"/>
        <v>January</v>
      </c>
      <c r="F248" s="1">
        <v>15</v>
      </c>
      <c r="G248" s="1" t="b">
        <f t="shared" si="14"/>
        <v>0</v>
      </c>
      <c r="H248" s="1" t="str">
        <f t="shared" si="15"/>
        <v>Tuesday</v>
      </c>
      <c r="I248" s="1">
        <v>2</v>
      </c>
      <c r="J248" s="1">
        <v>0.16</v>
      </c>
    </row>
    <row r="249" spans="1:10" x14ac:dyDescent="0.2">
      <c r="A249" s="1">
        <v>248</v>
      </c>
      <c r="B249" s="2">
        <v>40554</v>
      </c>
      <c r="C249" s="1">
        <v>1</v>
      </c>
      <c r="D249" s="1">
        <f t="shared" si="12"/>
        <v>2011</v>
      </c>
      <c r="E249" s="1" t="str">
        <f t="shared" si="13"/>
        <v>January</v>
      </c>
      <c r="F249" s="1">
        <v>16</v>
      </c>
      <c r="G249" s="1" t="b">
        <f t="shared" si="14"/>
        <v>0</v>
      </c>
      <c r="H249" s="1" t="str">
        <f t="shared" si="15"/>
        <v>Tuesday</v>
      </c>
      <c r="I249" s="1">
        <v>2</v>
      </c>
      <c r="J249" s="1">
        <v>0.16</v>
      </c>
    </row>
    <row r="250" spans="1:10" x14ac:dyDescent="0.2">
      <c r="A250" s="1">
        <v>249</v>
      </c>
      <c r="B250" s="2">
        <v>40554</v>
      </c>
      <c r="C250" s="1">
        <v>1</v>
      </c>
      <c r="D250" s="1">
        <f t="shared" si="12"/>
        <v>2011</v>
      </c>
      <c r="E250" s="1" t="str">
        <f t="shared" si="13"/>
        <v>January</v>
      </c>
      <c r="F250" s="1">
        <v>17</v>
      </c>
      <c r="G250" s="1" t="b">
        <f t="shared" si="14"/>
        <v>0</v>
      </c>
      <c r="H250" s="1" t="str">
        <f t="shared" si="15"/>
        <v>Tuesday</v>
      </c>
      <c r="I250" s="1">
        <v>2</v>
      </c>
      <c r="J250" s="1">
        <v>0.16</v>
      </c>
    </row>
    <row r="251" spans="1:10" x14ac:dyDescent="0.2">
      <c r="A251" s="1">
        <v>250</v>
      </c>
      <c r="B251" s="2">
        <v>40554</v>
      </c>
      <c r="C251" s="1">
        <v>1</v>
      </c>
      <c r="D251" s="1">
        <f t="shared" si="12"/>
        <v>2011</v>
      </c>
      <c r="E251" s="1" t="str">
        <f t="shared" si="13"/>
        <v>January</v>
      </c>
      <c r="F251" s="1">
        <v>18</v>
      </c>
      <c r="G251" s="1" t="b">
        <f t="shared" si="14"/>
        <v>0</v>
      </c>
      <c r="H251" s="1" t="str">
        <f t="shared" si="15"/>
        <v>Tuesday</v>
      </c>
      <c r="I251" s="1">
        <v>3</v>
      </c>
      <c r="J251" s="1">
        <v>0.16</v>
      </c>
    </row>
    <row r="252" spans="1:10" x14ac:dyDescent="0.2">
      <c r="A252" s="1">
        <v>251</v>
      </c>
      <c r="B252" s="2">
        <v>40554</v>
      </c>
      <c r="C252" s="1">
        <v>1</v>
      </c>
      <c r="D252" s="1">
        <f t="shared" si="12"/>
        <v>2011</v>
      </c>
      <c r="E252" s="1" t="str">
        <f t="shared" si="13"/>
        <v>January</v>
      </c>
      <c r="F252" s="1">
        <v>19</v>
      </c>
      <c r="G252" s="1" t="b">
        <f t="shared" si="14"/>
        <v>0</v>
      </c>
      <c r="H252" s="1" t="str">
        <f t="shared" si="15"/>
        <v>Tuesday</v>
      </c>
      <c r="I252" s="1">
        <v>3</v>
      </c>
      <c r="J252" s="1">
        <v>0.16</v>
      </c>
    </row>
    <row r="253" spans="1:10" x14ac:dyDescent="0.2">
      <c r="A253" s="1">
        <v>252</v>
      </c>
      <c r="B253" s="2">
        <v>40554</v>
      </c>
      <c r="C253" s="1">
        <v>1</v>
      </c>
      <c r="D253" s="1">
        <f t="shared" si="12"/>
        <v>2011</v>
      </c>
      <c r="E253" s="1" t="str">
        <f t="shared" si="13"/>
        <v>January</v>
      </c>
      <c r="F253" s="1">
        <v>20</v>
      </c>
      <c r="G253" s="1" t="b">
        <f t="shared" si="14"/>
        <v>0</v>
      </c>
      <c r="H253" s="1" t="str">
        <f t="shared" si="15"/>
        <v>Tuesday</v>
      </c>
      <c r="I253" s="1">
        <v>3</v>
      </c>
      <c r="J253" s="1">
        <v>0.16</v>
      </c>
    </row>
    <row r="254" spans="1:10" x14ac:dyDescent="0.2">
      <c r="A254" s="1">
        <v>253</v>
      </c>
      <c r="B254" s="2">
        <v>40554</v>
      </c>
      <c r="C254" s="1">
        <v>1</v>
      </c>
      <c r="D254" s="1">
        <f t="shared" si="12"/>
        <v>2011</v>
      </c>
      <c r="E254" s="1" t="str">
        <f t="shared" si="13"/>
        <v>January</v>
      </c>
      <c r="F254" s="1">
        <v>21</v>
      </c>
      <c r="G254" s="1" t="b">
        <f t="shared" si="14"/>
        <v>0</v>
      </c>
      <c r="H254" s="1" t="str">
        <f t="shared" si="15"/>
        <v>Tuesday</v>
      </c>
      <c r="I254" s="1">
        <v>3</v>
      </c>
      <c r="J254" s="1">
        <v>0.16</v>
      </c>
    </row>
    <row r="255" spans="1:10" x14ac:dyDescent="0.2">
      <c r="A255" s="1">
        <v>254</v>
      </c>
      <c r="B255" s="2">
        <v>40554</v>
      </c>
      <c r="C255" s="1">
        <v>1</v>
      </c>
      <c r="D255" s="1">
        <f t="shared" si="12"/>
        <v>2011</v>
      </c>
      <c r="E255" s="1" t="str">
        <f t="shared" si="13"/>
        <v>January</v>
      </c>
      <c r="F255" s="1">
        <v>22</v>
      </c>
      <c r="G255" s="1" t="b">
        <f t="shared" si="14"/>
        <v>0</v>
      </c>
      <c r="H255" s="1" t="str">
        <f t="shared" si="15"/>
        <v>Tuesday</v>
      </c>
      <c r="I255" s="1">
        <v>3</v>
      </c>
      <c r="J255" s="1">
        <v>0.16</v>
      </c>
    </row>
    <row r="256" spans="1:10" x14ac:dyDescent="0.2">
      <c r="A256" s="1">
        <v>255</v>
      </c>
      <c r="B256" s="2">
        <v>40554</v>
      </c>
      <c r="C256" s="1">
        <v>1</v>
      </c>
      <c r="D256" s="1">
        <f t="shared" si="12"/>
        <v>2011</v>
      </c>
      <c r="E256" s="1" t="str">
        <f t="shared" si="13"/>
        <v>January</v>
      </c>
      <c r="F256" s="1">
        <v>23</v>
      </c>
      <c r="G256" s="1" t="b">
        <f t="shared" si="14"/>
        <v>0</v>
      </c>
      <c r="H256" s="1" t="str">
        <f t="shared" si="15"/>
        <v>Tuesday</v>
      </c>
      <c r="I256" s="1">
        <v>3</v>
      </c>
      <c r="J256" s="1">
        <v>0.16</v>
      </c>
    </row>
    <row r="257" spans="1:10" x14ac:dyDescent="0.2">
      <c r="A257" s="1">
        <v>256</v>
      </c>
      <c r="B257" s="2">
        <v>40555</v>
      </c>
      <c r="C257" s="1">
        <v>1</v>
      </c>
      <c r="D257" s="1">
        <f t="shared" si="12"/>
        <v>2011</v>
      </c>
      <c r="E257" s="1" t="str">
        <f t="shared" si="13"/>
        <v>January</v>
      </c>
      <c r="F257" s="1">
        <v>0</v>
      </c>
      <c r="G257" s="1" t="b">
        <f t="shared" si="14"/>
        <v>0</v>
      </c>
      <c r="H257" s="1" t="str">
        <f t="shared" si="15"/>
        <v>Wednesday</v>
      </c>
      <c r="I257" s="1">
        <v>2</v>
      </c>
      <c r="J257" s="1">
        <v>0.16</v>
      </c>
    </row>
    <row r="258" spans="1:10" x14ac:dyDescent="0.2">
      <c r="A258" s="1">
        <v>257</v>
      </c>
      <c r="B258" s="2">
        <v>40555</v>
      </c>
      <c r="C258" s="1">
        <v>1</v>
      </c>
      <c r="D258" s="1">
        <f t="shared" si="12"/>
        <v>2011</v>
      </c>
      <c r="E258" s="1" t="str">
        <f t="shared" si="13"/>
        <v>January</v>
      </c>
      <c r="F258" s="1">
        <v>1</v>
      </c>
      <c r="G258" s="1" t="b">
        <f t="shared" si="14"/>
        <v>0</v>
      </c>
      <c r="H258" s="1" t="str">
        <f t="shared" si="15"/>
        <v>Wednesday</v>
      </c>
      <c r="I258" s="1">
        <v>2</v>
      </c>
      <c r="J258" s="1">
        <v>0.16</v>
      </c>
    </row>
    <row r="259" spans="1:10" x14ac:dyDescent="0.2">
      <c r="A259" s="1">
        <v>258</v>
      </c>
      <c r="B259" s="2">
        <v>40555</v>
      </c>
      <c r="C259" s="1">
        <v>1</v>
      </c>
      <c r="D259" s="1">
        <f t="shared" ref="D259:D322" si="16">YEAR(B259)</f>
        <v>2011</v>
      </c>
      <c r="E259" s="1" t="str">
        <f t="shared" ref="E259:E322" si="17">TEXT(B259,"MMMM")</f>
        <v>January</v>
      </c>
      <c r="F259" s="1">
        <v>2</v>
      </c>
      <c r="G259" s="1" t="b">
        <f t="shared" ref="G259:G322" si="18">IF(H259="Sunday",TRUE,FALSE)</f>
        <v>0</v>
      </c>
      <c r="H259" s="1" t="str">
        <f t="shared" ref="H259:H322" si="19">TEXT(B259,"DDDD")</f>
        <v>Wednesday</v>
      </c>
      <c r="I259" s="1">
        <v>1</v>
      </c>
      <c r="J259" s="1">
        <v>0.14000000000000001</v>
      </c>
    </row>
    <row r="260" spans="1:10" x14ac:dyDescent="0.2">
      <c r="A260" s="1">
        <v>259</v>
      </c>
      <c r="B260" s="2">
        <v>40555</v>
      </c>
      <c r="C260" s="1">
        <v>1</v>
      </c>
      <c r="D260" s="1">
        <f t="shared" si="16"/>
        <v>2011</v>
      </c>
      <c r="E260" s="1" t="str">
        <f t="shared" si="17"/>
        <v>January</v>
      </c>
      <c r="F260" s="1">
        <v>5</v>
      </c>
      <c r="G260" s="1" t="b">
        <f t="shared" si="18"/>
        <v>0</v>
      </c>
      <c r="H260" s="1" t="str">
        <f t="shared" si="19"/>
        <v>Wednesday</v>
      </c>
      <c r="I260" s="1">
        <v>1</v>
      </c>
      <c r="J260" s="1">
        <v>0.14000000000000001</v>
      </c>
    </row>
    <row r="261" spans="1:10" x14ac:dyDescent="0.2">
      <c r="A261" s="1">
        <v>260</v>
      </c>
      <c r="B261" s="2">
        <v>40555</v>
      </c>
      <c r="C261" s="1">
        <v>1</v>
      </c>
      <c r="D261" s="1">
        <f t="shared" si="16"/>
        <v>2011</v>
      </c>
      <c r="E261" s="1" t="str">
        <f t="shared" si="17"/>
        <v>January</v>
      </c>
      <c r="F261" s="1">
        <v>6</v>
      </c>
      <c r="G261" s="1" t="b">
        <f t="shared" si="18"/>
        <v>0</v>
      </c>
      <c r="H261" s="1" t="str">
        <f t="shared" si="19"/>
        <v>Wednesday</v>
      </c>
      <c r="I261" s="1">
        <v>1</v>
      </c>
      <c r="J261" s="1">
        <v>0.12</v>
      </c>
    </row>
    <row r="262" spans="1:10" x14ac:dyDescent="0.2">
      <c r="A262" s="1">
        <v>261</v>
      </c>
      <c r="B262" s="2">
        <v>40555</v>
      </c>
      <c r="C262" s="1">
        <v>1</v>
      </c>
      <c r="D262" s="1">
        <f t="shared" si="16"/>
        <v>2011</v>
      </c>
      <c r="E262" s="1" t="str">
        <f t="shared" si="17"/>
        <v>January</v>
      </c>
      <c r="F262" s="1">
        <v>7</v>
      </c>
      <c r="G262" s="1" t="b">
        <f t="shared" si="18"/>
        <v>0</v>
      </c>
      <c r="H262" s="1" t="str">
        <f t="shared" si="19"/>
        <v>Wednesday</v>
      </c>
      <c r="I262" s="1">
        <v>1</v>
      </c>
      <c r="J262" s="1">
        <v>0.14000000000000001</v>
      </c>
    </row>
    <row r="263" spans="1:10" x14ac:dyDescent="0.2">
      <c r="A263" s="1">
        <v>262</v>
      </c>
      <c r="B263" s="2">
        <v>40555</v>
      </c>
      <c r="C263" s="1">
        <v>1</v>
      </c>
      <c r="D263" s="1">
        <f t="shared" si="16"/>
        <v>2011</v>
      </c>
      <c r="E263" s="1" t="str">
        <f t="shared" si="17"/>
        <v>January</v>
      </c>
      <c r="F263" s="1">
        <v>8</v>
      </c>
      <c r="G263" s="1" t="b">
        <f t="shared" si="18"/>
        <v>0</v>
      </c>
      <c r="H263" s="1" t="str">
        <f t="shared" si="19"/>
        <v>Wednesday</v>
      </c>
      <c r="I263" s="1">
        <v>1</v>
      </c>
      <c r="J263" s="1">
        <v>0.16</v>
      </c>
    </row>
    <row r="264" spans="1:10" x14ac:dyDescent="0.2">
      <c r="A264" s="1">
        <v>263</v>
      </c>
      <c r="B264" s="2">
        <v>40555</v>
      </c>
      <c r="C264" s="1">
        <v>1</v>
      </c>
      <c r="D264" s="1">
        <f t="shared" si="16"/>
        <v>2011</v>
      </c>
      <c r="E264" s="1" t="str">
        <f t="shared" si="17"/>
        <v>January</v>
      </c>
      <c r="F264" s="1">
        <v>9</v>
      </c>
      <c r="G264" s="1" t="b">
        <f t="shared" si="18"/>
        <v>0</v>
      </c>
      <c r="H264" s="1" t="str">
        <f t="shared" si="19"/>
        <v>Wednesday</v>
      </c>
      <c r="I264" s="1">
        <v>1</v>
      </c>
      <c r="J264" s="1">
        <v>0.16</v>
      </c>
    </row>
    <row r="265" spans="1:10" x14ac:dyDescent="0.2">
      <c r="A265" s="1">
        <v>264</v>
      </c>
      <c r="B265" s="2">
        <v>40555</v>
      </c>
      <c r="C265" s="1">
        <v>1</v>
      </c>
      <c r="D265" s="1">
        <f t="shared" si="16"/>
        <v>2011</v>
      </c>
      <c r="E265" s="1" t="str">
        <f t="shared" si="17"/>
        <v>January</v>
      </c>
      <c r="F265" s="1">
        <v>10</v>
      </c>
      <c r="G265" s="1" t="b">
        <f t="shared" si="18"/>
        <v>0</v>
      </c>
      <c r="H265" s="1" t="str">
        <f t="shared" si="19"/>
        <v>Wednesday</v>
      </c>
      <c r="I265" s="1">
        <v>1</v>
      </c>
      <c r="J265" s="1">
        <v>0.18</v>
      </c>
    </row>
    <row r="266" spans="1:10" x14ac:dyDescent="0.2">
      <c r="A266" s="1">
        <v>265</v>
      </c>
      <c r="B266" s="2">
        <v>40555</v>
      </c>
      <c r="C266" s="1">
        <v>1</v>
      </c>
      <c r="D266" s="1">
        <f t="shared" si="16"/>
        <v>2011</v>
      </c>
      <c r="E266" s="1" t="str">
        <f t="shared" si="17"/>
        <v>January</v>
      </c>
      <c r="F266" s="1">
        <v>11</v>
      </c>
      <c r="G266" s="1" t="b">
        <f t="shared" si="18"/>
        <v>0</v>
      </c>
      <c r="H266" s="1" t="str">
        <f t="shared" si="19"/>
        <v>Wednesday</v>
      </c>
      <c r="I266" s="1">
        <v>1</v>
      </c>
      <c r="J266" s="1">
        <v>0.2</v>
      </c>
    </row>
    <row r="267" spans="1:10" x14ac:dyDescent="0.2">
      <c r="A267" s="1">
        <v>266</v>
      </c>
      <c r="B267" s="2">
        <v>40555</v>
      </c>
      <c r="C267" s="1">
        <v>1</v>
      </c>
      <c r="D267" s="1">
        <f t="shared" si="16"/>
        <v>2011</v>
      </c>
      <c r="E267" s="1" t="str">
        <f t="shared" si="17"/>
        <v>January</v>
      </c>
      <c r="F267" s="1">
        <v>12</v>
      </c>
      <c r="G267" s="1" t="b">
        <f t="shared" si="18"/>
        <v>0</v>
      </c>
      <c r="H267" s="1" t="str">
        <f t="shared" si="19"/>
        <v>Wednesday</v>
      </c>
      <c r="I267" s="1">
        <v>1</v>
      </c>
      <c r="J267" s="1">
        <v>0.2</v>
      </c>
    </row>
    <row r="268" spans="1:10" x14ac:dyDescent="0.2">
      <c r="A268" s="1">
        <v>267</v>
      </c>
      <c r="B268" s="2">
        <v>40555</v>
      </c>
      <c r="C268" s="1">
        <v>1</v>
      </c>
      <c r="D268" s="1">
        <f t="shared" si="16"/>
        <v>2011</v>
      </c>
      <c r="E268" s="1" t="str">
        <f t="shared" si="17"/>
        <v>January</v>
      </c>
      <c r="F268" s="1">
        <v>13</v>
      </c>
      <c r="G268" s="1" t="b">
        <f t="shared" si="18"/>
        <v>0</v>
      </c>
      <c r="H268" s="1" t="str">
        <f t="shared" si="19"/>
        <v>Wednesday</v>
      </c>
      <c r="I268" s="1">
        <v>1</v>
      </c>
      <c r="J268" s="1">
        <v>0.22</v>
      </c>
    </row>
    <row r="269" spans="1:10" x14ac:dyDescent="0.2">
      <c r="A269" s="1">
        <v>268</v>
      </c>
      <c r="B269" s="2">
        <v>40555</v>
      </c>
      <c r="C269" s="1">
        <v>1</v>
      </c>
      <c r="D269" s="1">
        <f t="shared" si="16"/>
        <v>2011</v>
      </c>
      <c r="E269" s="1" t="str">
        <f t="shared" si="17"/>
        <v>January</v>
      </c>
      <c r="F269" s="1">
        <v>14</v>
      </c>
      <c r="G269" s="1" t="b">
        <f t="shared" si="18"/>
        <v>0</v>
      </c>
      <c r="H269" s="1" t="str">
        <f t="shared" si="19"/>
        <v>Wednesday</v>
      </c>
      <c r="I269" s="1">
        <v>1</v>
      </c>
      <c r="J269" s="1">
        <v>0.2</v>
      </c>
    </row>
    <row r="270" spans="1:10" x14ac:dyDescent="0.2">
      <c r="A270" s="1">
        <v>269</v>
      </c>
      <c r="B270" s="2">
        <v>40555</v>
      </c>
      <c r="C270" s="1">
        <v>1</v>
      </c>
      <c r="D270" s="1">
        <f t="shared" si="16"/>
        <v>2011</v>
      </c>
      <c r="E270" s="1" t="str">
        <f t="shared" si="17"/>
        <v>January</v>
      </c>
      <c r="F270" s="1">
        <v>15</v>
      </c>
      <c r="G270" s="1" t="b">
        <f t="shared" si="18"/>
        <v>0</v>
      </c>
      <c r="H270" s="1" t="str">
        <f t="shared" si="19"/>
        <v>Wednesday</v>
      </c>
      <c r="I270" s="1">
        <v>1</v>
      </c>
      <c r="J270" s="1">
        <v>0.2</v>
      </c>
    </row>
    <row r="271" spans="1:10" x14ac:dyDescent="0.2">
      <c r="A271" s="1">
        <v>270</v>
      </c>
      <c r="B271" s="2">
        <v>40555</v>
      </c>
      <c r="C271" s="1">
        <v>1</v>
      </c>
      <c r="D271" s="1">
        <f t="shared" si="16"/>
        <v>2011</v>
      </c>
      <c r="E271" s="1" t="str">
        <f t="shared" si="17"/>
        <v>January</v>
      </c>
      <c r="F271" s="1">
        <v>16</v>
      </c>
      <c r="G271" s="1" t="b">
        <f t="shared" si="18"/>
        <v>0</v>
      </c>
      <c r="H271" s="1" t="str">
        <f t="shared" si="19"/>
        <v>Wednesday</v>
      </c>
      <c r="I271" s="1">
        <v>1</v>
      </c>
      <c r="J271" s="1">
        <v>0.22</v>
      </c>
    </row>
    <row r="272" spans="1:10" x14ac:dyDescent="0.2">
      <c r="A272" s="1">
        <v>271</v>
      </c>
      <c r="B272" s="2">
        <v>40555</v>
      </c>
      <c r="C272" s="1">
        <v>1</v>
      </c>
      <c r="D272" s="1">
        <f t="shared" si="16"/>
        <v>2011</v>
      </c>
      <c r="E272" s="1" t="str">
        <f t="shared" si="17"/>
        <v>January</v>
      </c>
      <c r="F272" s="1">
        <v>17</v>
      </c>
      <c r="G272" s="1" t="b">
        <f t="shared" si="18"/>
        <v>0</v>
      </c>
      <c r="H272" s="1" t="str">
        <f t="shared" si="19"/>
        <v>Wednesday</v>
      </c>
      <c r="I272" s="1">
        <v>1</v>
      </c>
      <c r="J272" s="1">
        <v>0.2</v>
      </c>
    </row>
    <row r="273" spans="1:10" x14ac:dyDescent="0.2">
      <c r="A273" s="1">
        <v>272</v>
      </c>
      <c r="B273" s="2">
        <v>40555</v>
      </c>
      <c r="C273" s="1">
        <v>1</v>
      </c>
      <c r="D273" s="1">
        <f t="shared" si="16"/>
        <v>2011</v>
      </c>
      <c r="E273" s="1" t="str">
        <f t="shared" si="17"/>
        <v>January</v>
      </c>
      <c r="F273" s="1">
        <v>18</v>
      </c>
      <c r="G273" s="1" t="b">
        <f t="shared" si="18"/>
        <v>0</v>
      </c>
      <c r="H273" s="1" t="str">
        <f t="shared" si="19"/>
        <v>Wednesday</v>
      </c>
      <c r="I273" s="1">
        <v>1</v>
      </c>
      <c r="J273" s="1">
        <v>0.2</v>
      </c>
    </row>
    <row r="274" spans="1:10" x14ac:dyDescent="0.2">
      <c r="A274" s="1">
        <v>273</v>
      </c>
      <c r="B274" s="2">
        <v>40555</v>
      </c>
      <c r="C274" s="1">
        <v>1</v>
      </c>
      <c r="D274" s="1">
        <f t="shared" si="16"/>
        <v>2011</v>
      </c>
      <c r="E274" s="1" t="str">
        <f t="shared" si="17"/>
        <v>January</v>
      </c>
      <c r="F274" s="1">
        <v>19</v>
      </c>
      <c r="G274" s="1" t="b">
        <f t="shared" si="18"/>
        <v>0</v>
      </c>
      <c r="H274" s="1" t="str">
        <f t="shared" si="19"/>
        <v>Wednesday</v>
      </c>
      <c r="I274" s="1">
        <v>1</v>
      </c>
      <c r="J274" s="1">
        <v>0.18</v>
      </c>
    </row>
    <row r="275" spans="1:10" x14ac:dyDescent="0.2">
      <c r="A275" s="1">
        <v>274</v>
      </c>
      <c r="B275" s="2">
        <v>40555</v>
      </c>
      <c r="C275" s="1">
        <v>1</v>
      </c>
      <c r="D275" s="1">
        <f t="shared" si="16"/>
        <v>2011</v>
      </c>
      <c r="E275" s="1" t="str">
        <f t="shared" si="17"/>
        <v>January</v>
      </c>
      <c r="F275" s="1">
        <v>20</v>
      </c>
      <c r="G275" s="1" t="b">
        <f t="shared" si="18"/>
        <v>0</v>
      </c>
      <c r="H275" s="1" t="str">
        <f t="shared" si="19"/>
        <v>Wednesday</v>
      </c>
      <c r="I275" s="1">
        <v>1</v>
      </c>
      <c r="J275" s="1">
        <v>0.16</v>
      </c>
    </row>
    <row r="276" spans="1:10" x14ac:dyDescent="0.2">
      <c r="A276" s="1">
        <v>275</v>
      </c>
      <c r="B276" s="2">
        <v>40555</v>
      </c>
      <c r="C276" s="1">
        <v>1</v>
      </c>
      <c r="D276" s="1">
        <f t="shared" si="16"/>
        <v>2011</v>
      </c>
      <c r="E276" s="1" t="str">
        <f t="shared" si="17"/>
        <v>January</v>
      </c>
      <c r="F276" s="1">
        <v>21</v>
      </c>
      <c r="G276" s="1" t="b">
        <f t="shared" si="18"/>
        <v>0</v>
      </c>
      <c r="H276" s="1" t="str">
        <f t="shared" si="19"/>
        <v>Wednesday</v>
      </c>
      <c r="I276" s="1">
        <v>1</v>
      </c>
      <c r="J276" s="1">
        <v>0.16</v>
      </c>
    </row>
    <row r="277" spans="1:10" x14ac:dyDescent="0.2">
      <c r="A277" s="1">
        <v>276</v>
      </c>
      <c r="B277" s="2">
        <v>40555</v>
      </c>
      <c r="C277" s="1">
        <v>1</v>
      </c>
      <c r="D277" s="1">
        <f t="shared" si="16"/>
        <v>2011</v>
      </c>
      <c r="E277" s="1" t="str">
        <f t="shared" si="17"/>
        <v>January</v>
      </c>
      <c r="F277" s="1">
        <v>22</v>
      </c>
      <c r="G277" s="1" t="b">
        <f t="shared" si="18"/>
        <v>0</v>
      </c>
      <c r="H277" s="1" t="str">
        <f t="shared" si="19"/>
        <v>Wednesday</v>
      </c>
      <c r="I277" s="1">
        <v>1</v>
      </c>
      <c r="J277" s="1">
        <v>0.16</v>
      </c>
    </row>
    <row r="278" spans="1:10" x14ac:dyDescent="0.2">
      <c r="A278" s="1">
        <v>277</v>
      </c>
      <c r="B278" s="2">
        <v>40555</v>
      </c>
      <c r="C278" s="1">
        <v>1</v>
      </c>
      <c r="D278" s="1">
        <f t="shared" si="16"/>
        <v>2011</v>
      </c>
      <c r="E278" s="1" t="str">
        <f t="shared" si="17"/>
        <v>January</v>
      </c>
      <c r="F278" s="1">
        <v>23</v>
      </c>
      <c r="G278" s="1" t="b">
        <f t="shared" si="18"/>
        <v>0</v>
      </c>
      <c r="H278" s="1" t="str">
        <f t="shared" si="19"/>
        <v>Wednesday</v>
      </c>
      <c r="I278" s="1">
        <v>1</v>
      </c>
      <c r="J278" s="1">
        <v>0.14000000000000001</v>
      </c>
    </row>
    <row r="279" spans="1:10" x14ac:dyDescent="0.2">
      <c r="A279" s="1">
        <v>278</v>
      </c>
      <c r="B279" s="2">
        <v>40556</v>
      </c>
      <c r="C279" s="1">
        <v>1</v>
      </c>
      <c r="D279" s="1">
        <f t="shared" si="16"/>
        <v>2011</v>
      </c>
      <c r="E279" s="1" t="str">
        <f t="shared" si="17"/>
        <v>January</v>
      </c>
      <c r="F279" s="1">
        <v>0</v>
      </c>
      <c r="G279" s="1" t="b">
        <f t="shared" si="18"/>
        <v>0</v>
      </c>
      <c r="H279" s="1" t="str">
        <f t="shared" si="19"/>
        <v>Thursday</v>
      </c>
      <c r="I279" s="1">
        <v>1</v>
      </c>
      <c r="J279" s="1">
        <v>0.14000000000000001</v>
      </c>
    </row>
    <row r="280" spans="1:10" x14ac:dyDescent="0.2">
      <c r="A280" s="1">
        <v>279</v>
      </c>
      <c r="B280" s="2">
        <v>40556</v>
      </c>
      <c r="C280" s="1">
        <v>1</v>
      </c>
      <c r="D280" s="1">
        <f t="shared" si="16"/>
        <v>2011</v>
      </c>
      <c r="E280" s="1" t="str">
        <f t="shared" si="17"/>
        <v>January</v>
      </c>
      <c r="F280" s="1">
        <v>1</v>
      </c>
      <c r="G280" s="1" t="b">
        <f t="shared" si="18"/>
        <v>0</v>
      </c>
      <c r="H280" s="1" t="str">
        <f t="shared" si="19"/>
        <v>Thursday</v>
      </c>
      <c r="I280" s="1">
        <v>1</v>
      </c>
      <c r="J280" s="1">
        <v>0.14000000000000001</v>
      </c>
    </row>
    <row r="281" spans="1:10" x14ac:dyDescent="0.2">
      <c r="A281" s="1">
        <v>280</v>
      </c>
      <c r="B281" s="2">
        <v>40556</v>
      </c>
      <c r="C281" s="1">
        <v>1</v>
      </c>
      <c r="D281" s="1">
        <f t="shared" si="16"/>
        <v>2011</v>
      </c>
      <c r="E281" s="1" t="str">
        <f t="shared" si="17"/>
        <v>January</v>
      </c>
      <c r="F281" s="1">
        <v>2</v>
      </c>
      <c r="G281" s="1" t="b">
        <f t="shared" si="18"/>
        <v>0</v>
      </c>
      <c r="H281" s="1" t="str">
        <f t="shared" si="19"/>
        <v>Thursday</v>
      </c>
      <c r="I281" s="1">
        <v>1</v>
      </c>
      <c r="J281" s="1">
        <v>0.14000000000000001</v>
      </c>
    </row>
    <row r="282" spans="1:10" x14ac:dyDescent="0.2">
      <c r="A282" s="1">
        <v>281</v>
      </c>
      <c r="B282" s="2">
        <v>40556</v>
      </c>
      <c r="C282" s="1">
        <v>1</v>
      </c>
      <c r="D282" s="1">
        <f t="shared" si="16"/>
        <v>2011</v>
      </c>
      <c r="E282" s="1" t="str">
        <f t="shared" si="17"/>
        <v>January</v>
      </c>
      <c r="F282" s="1">
        <v>3</v>
      </c>
      <c r="G282" s="1" t="b">
        <f t="shared" si="18"/>
        <v>0</v>
      </c>
      <c r="H282" s="1" t="str">
        <f t="shared" si="19"/>
        <v>Thursday</v>
      </c>
      <c r="I282" s="1">
        <v>1</v>
      </c>
      <c r="J282" s="1">
        <v>0.14000000000000001</v>
      </c>
    </row>
    <row r="283" spans="1:10" x14ac:dyDescent="0.2">
      <c r="A283" s="1">
        <v>282</v>
      </c>
      <c r="B283" s="2">
        <v>40556</v>
      </c>
      <c r="C283" s="1">
        <v>1</v>
      </c>
      <c r="D283" s="1">
        <f t="shared" si="16"/>
        <v>2011</v>
      </c>
      <c r="E283" s="1" t="str">
        <f t="shared" si="17"/>
        <v>January</v>
      </c>
      <c r="F283" s="1">
        <v>4</v>
      </c>
      <c r="G283" s="1" t="b">
        <f t="shared" si="18"/>
        <v>0</v>
      </c>
      <c r="H283" s="1" t="str">
        <f t="shared" si="19"/>
        <v>Thursday</v>
      </c>
      <c r="I283" s="1">
        <v>1</v>
      </c>
      <c r="J283" s="1">
        <v>0.14000000000000001</v>
      </c>
    </row>
    <row r="284" spans="1:10" x14ac:dyDescent="0.2">
      <c r="A284" s="1">
        <v>283</v>
      </c>
      <c r="B284" s="2">
        <v>40556</v>
      </c>
      <c r="C284" s="1">
        <v>1</v>
      </c>
      <c r="D284" s="1">
        <f t="shared" si="16"/>
        <v>2011</v>
      </c>
      <c r="E284" s="1" t="str">
        <f t="shared" si="17"/>
        <v>January</v>
      </c>
      <c r="F284" s="1">
        <v>5</v>
      </c>
      <c r="G284" s="1" t="b">
        <f t="shared" si="18"/>
        <v>0</v>
      </c>
      <c r="H284" s="1" t="str">
        <f t="shared" si="19"/>
        <v>Thursday</v>
      </c>
      <c r="I284" s="1">
        <v>1</v>
      </c>
      <c r="J284" s="1">
        <v>0.14000000000000001</v>
      </c>
    </row>
    <row r="285" spans="1:10" x14ac:dyDescent="0.2">
      <c r="A285" s="1">
        <v>284</v>
      </c>
      <c r="B285" s="2">
        <v>40556</v>
      </c>
      <c r="C285" s="1">
        <v>1</v>
      </c>
      <c r="D285" s="1">
        <f t="shared" si="16"/>
        <v>2011</v>
      </c>
      <c r="E285" s="1" t="str">
        <f t="shared" si="17"/>
        <v>January</v>
      </c>
      <c r="F285" s="1">
        <v>6</v>
      </c>
      <c r="G285" s="1" t="b">
        <f t="shared" si="18"/>
        <v>0</v>
      </c>
      <c r="H285" s="1" t="str">
        <f t="shared" si="19"/>
        <v>Thursday</v>
      </c>
      <c r="I285" s="1">
        <v>1</v>
      </c>
      <c r="J285" s="1">
        <v>0.12</v>
      </c>
    </row>
    <row r="286" spans="1:10" x14ac:dyDescent="0.2">
      <c r="A286" s="1">
        <v>285</v>
      </c>
      <c r="B286" s="2">
        <v>40556</v>
      </c>
      <c r="C286" s="1">
        <v>1</v>
      </c>
      <c r="D286" s="1">
        <f t="shared" si="16"/>
        <v>2011</v>
      </c>
      <c r="E286" s="1" t="str">
        <f t="shared" si="17"/>
        <v>January</v>
      </c>
      <c r="F286" s="1">
        <v>7</v>
      </c>
      <c r="G286" s="1" t="b">
        <f t="shared" si="18"/>
        <v>0</v>
      </c>
      <c r="H286" s="1" t="str">
        <f t="shared" si="19"/>
        <v>Thursday</v>
      </c>
      <c r="I286" s="1">
        <v>1</v>
      </c>
      <c r="J286" s="1">
        <v>0.12</v>
      </c>
    </row>
    <row r="287" spans="1:10" x14ac:dyDescent="0.2">
      <c r="A287" s="1">
        <v>286</v>
      </c>
      <c r="B287" s="2">
        <v>40556</v>
      </c>
      <c r="C287" s="1">
        <v>1</v>
      </c>
      <c r="D287" s="1">
        <f t="shared" si="16"/>
        <v>2011</v>
      </c>
      <c r="E287" s="1" t="str">
        <f t="shared" si="17"/>
        <v>January</v>
      </c>
      <c r="F287" s="1">
        <v>8</v>
      </c>
      <c r="G287" s="1" t="b">
        <f t="shared" si="18"/>
        <v>0</v>
      </c>
      <c r="H287" s="1" t="str">
        <f t="shared" si="19"/>
        <v>Thursday</v>
      </c>
      <c r="I287" s="1">
        <v>1</v>
      </c>
      <c r="J287" s="1">
        <v>0.14000000000000001</v>
      </c>
    </row>
    <row r="288" spans="1:10" x14ac:dyDescent="0.2">
      <c r="A288" s="1">
        <v>287</v>
      </c>
      <c r="B288" s="2">
        <v>40556</v>
      </c>
      <c r="C288" s="1">
        <v>1</v>
      </c>
      <c r="D288" s="1">
        <f t="shared" si="16"/>
        <v>2011</v>
      </c>
      <c r="E288" s="1" t="str">
        <f t="shared" si="17"/>
        <v>January</v>
      </c>
      <c r="F288" s="1">
        <v>9</v>
      </c>
      <c r="G288" s="1" t="b">
        <f t="shared" si="18"/>
        <v>0</v>
      </c>
      <c r="H288" s="1" t="str">
        <f t="shared" si="19"/>
        <v>Thursday</v>
      </c>
      <c r="I288" s="1">
        <v>1</v>
      </c>
      <c r="J288" s="1">
        <v>0.14000000000000001</v>
      </c>
    </row>
    <row r="289" spans="1:10" x14ac:dyDescent="0.2">
      <c r="A289" s="1">
        <v>288</v>
      </c>
      <c r="B289" s="2">
        <v>40556</v>
      </c>
      <c r="C289" s="1">
        <v>1</v>
      </c>
      <c r="D289" s="1">
        <f t="shared" si="16"/>
        <v>2011</v>
      </c>
      <c r="E289" s="1" t="str">
        <f t="shared" si="17"/>
        <v>January</v>
      </c>
      <c r="F289" s="1">
        <v>10</v>
      </c>
      <c r="G289" s="1" t="b">
        <f t="shared" si="18"/>
        <v>0</v>
      </c>
      <c r="H289" s="1" t="str">
        <f t="shared" si="19"/>
        <v>Thursday</v>
      </c>
      <c r="I289" s="1">
        <v>2</v>
      </c>
      <c r="J289" s="1">
        <v>0.16</v>
      </c>
    </row>
    <row r="290" spans="1:10" x14ac:dyDescent="0.2">
      <c r="A290" s="1">
        <v>289</v>
      </c>
      <c r="B290" s="2">
        <v>40556</v>
      </c>
      <c r="C290" s="1">
        <v>1</v>
      </c>
      <c r="D290" s="1">
        <f t="shared" si="16"/>
        <v>2011</v>
      </c>
      <c r="E290" s="1" t="str">
        <f t="shared" si="17"/>
        <v>January</v>
      </c>
      <c r="F290" s="1">
        <v>11</v>
      </c>
      <c r="G290" s="1" t="b">
        <f t="shared" si="18"/>
        <v>0</v>
      </c>
      <c r="H290" s="1" t="str">
        <f t="shared" si="19"/>
        <v>Thursday</v>
      </c>
      <c r="I290" s="1">
        <v>2</v>
      </c>
      <c r="J290" s="1">
        <v>0.2</v>
      </c>
    </row>
    <row r="291" spans="1:10" x14ac:dyDescent="0.2">
      <c r="A291" s="1">
        <v>290</v>
      </c>
      <c r="B291" s="2">
        <v>40556</v>
      </c>
      <c r="C291" s="1">
        <v>1</v>
      </c>
      <c r="D291" s="1">
        <f t="shared" si="16"/>
        <v>2011</v>
      </c>
      <c r="E291" s="1" t="str">
        <f t="shared" si="17"/>
        <v>January</v>
      </c>
      <c r="F291" s="1">
        <v>12</v>
      </c>
      <c r="G291" s="1" t="b">
        <f t="shared" si="18"/>
        <v>0</v>
      </c>
      <c r="H291" s="1" t="str">
        <f t="shared" si="19"/>
        <v>Thursday</v>
      </c>
      <c r="I291" s="1">
        <v>1</v>
      </c>
      <c r="J291" s="1">
        <v>0.2</v>
      </c>
    </row>
    <row r="292" spans="1:10" x14ac:dyDescent="0.2">
      <c r="A292" s="1">
        <v>291</v>
      </c>
      <c r="B292" s="2">
        <v>40556</v>
      </c>
      <c r="C292" s="1">
        <v>1</v>
      </c>
      <c r="D292" s="1">
        <f t="shared" si="16"/>
        <v>2011</v>
      </c>
      <c r="E292" s="1" t="str">
        <f t="shared" si="17"/>
        <v>January</v>
      </c>
      <c r="F292" s="1">
        <v>13</v>
      </c>
      <c r="G292" s="1" t="b">
        <f t="shared" si="18"/>
        <v>0</v>
      </c>
      <c r="H292" s="1" t="str">
        <f t="shared" si="19"/>
        <v>Thursday</v>
      </c>
      <c r="I292" s="1">
        <v>1</v>
      </c>
      <c r="J292" s="1">
        <v>0.22</v>
      </c>
    </row>
    <row r="293" spans="1:10" x14ac:dyDescent="0.2">
      <c r="A293" s="1">
        <v>292</v>
      </c>
      <c r="B293" s="2">
        <v>40556</v>
      </c>
      <c r="C293" s="1">
        <v>1</v>
      </c>
      <c r="D293" s="1">
        <f t="shared" si="16"/>
        <v>2011</v>
      </c>
      <c r="E293" s="1" t="str">
        <f t="shared" si="17"/>
        <v>January</v>
      </c>
      <c r="F293" s="1">
        <v>14</v>
      </c>
      <c r="G293" s="1" t="b">
        <f t="shared" si="18"/>
        <v>0</v>
      </c>
      <c r="H293" s="1" t="str">
        <f t="shared" si="19"/>
        <v>Thursday</v>
      </c>
      <c r="I293" s="1">
        <v>1</v>
      </c>
      <c r="J293" s="1">
        <v>0.22</v>
      </c>
    </row>
    <row r="294" spans="1:10" x14ac:dyDescent="0.2">
      <c r="A294" s="1">
        <v>293</v>
      </c>
      <c r="B294" s="2">
        <v>40556</v>
      </c>
      <c r="C294" s="1">
        <v>1</v>
      </c>
      <c r="D294" s="1">
        <f t="shared" si="16"/>
        <v>2011</v>
      </c>
      <c r="E294" s="1" t="str">
        <f t="shared" si="17"/>
        <v>January</v>
      </c>
      <c r="F294" s="1">
        <v>15</v>
      </c>
      <c r="G294" s="1" t="b">
        <f t="shared" si="18"/>
        <v>0</v>
      </c>
      <c r="H294" s="1" t="str">
        <f t="shared" si="19"/>
        <v>Thursday</v>
      </c>
      <c r="I294" s="1">
        <v>1</v>
      </c>
      <c r="J294" s="1">
        <v>0.24</v>
      </c>
    </row>
    <row r="295" spans="1:10" x14ac:dyDescent="0.2">
      <c r="A295" s="1">
        <v>294</v>
      </c>
      <c r="B295" s="2">
        <v>40556</v>
      </c>
      <c r="C295" s="1">
        <v>1</v>
      </c>
      <c r="D295" s="1">
        <f t="shared" si="16"/>
        <v>2011</v>
      </c>
      <c r="E295" s="1" t="str">
        <f t="shared" si="17"/>
        <v>January</v>
      </c>
      <c r="F295" s="1">
        <v>16</v>
      </c>
      <c r="G295" s="1" t="b">
        <f t="shared" si="18"/>
        <v>0</v>
      </c>
      <c r="H295" s="1" t="str">
        <f t="shared" si="19"/>
        <v>Thursday</v>
      </c>
      <c r="I295" s="1">
        <v>1</v>
      </c>
      <c r="J295" s="1">
        <v>0.24</v>
      </c>
    </row>
    <row r="296" spans="1:10" x14ac:dyDescent="0.2">
      <c r="A296" s="1">
        <v>295</v>
      </c>
      <c r="B296" s="2">
        <v>40556</v>
      </c>
      <c r="C296" s="1">
        <v>1</v>
      </c>
      <c r="D296" s="1">
        <f t="shared" si="16"/>
        <v>2011</v>
      </c>
      <c r="E296" s="1" t="str">
        <f t="shared" si="17"/>
        <v>January</v>
      </c>
      <c r="F296" s="1">
        <v>17</v>
      </c>
      <c r="G296" s="1" t="b">
        <f t="shared" si="18"/>
        <v>0</v>
      </c>
      <c r="H296" s="1" t="str">
        <f t="shared" si="19"/>
        <v>Thursday</v>
      </c>
      <c r="I296" s="1">
        <v>1</v>
      </c>
      <c r="J296" s="1">
        <v>0.2</v>
      </c>
    </row>
    <row r="297" spans="1:10" x14ac:dyDescent="0.2">
      <c r="A297" s="1">
        <v>296</v>
      </c>
      <c r="B297" s="2">
        <v>40556</v>
      </c>
      <c r="C297" s="1">
        <v>1</v>
      </c>
      <c r="D297" s="1">
        <f t="shared" si="16"/>
        <v>2011</v>
      </c>
      <c r="E297" s="1" t="str">
        <f t="shared" si="17"/>
        <v>January</v>
      </c>
      <c r="F297" s="1">
        <v>18</v>
      </c>
      <c r="G297" s="1" t="b">
        <f t="shared" si="18"/>
        <v>0</v>
      </c>
      <c r="H297" s="1" t="str">
        <f t="shared" si="19"/>
        <v>Thursday</v>
      </c>
      <c r="I297" s="1">
        <v>1</v>
      </c>
      <c r="J297" s="1">
        <v>0.2</v>
      </c>
    </row>
    <row r="298" spans="1:10" x14ac:dyDescent="0.2">
      <c r="A298" s="1">
        <v>297</v>
      </c>
      <c r="B298" s="2">
        <v>40556</v>
      </c>
      <c r="C298" s="1">
        <v>1</v>
      </c>
      <c r="D298" s="1">
        <f t="shared" si="16"/>
        <v>2011</v>
      </c>
      <c r="E298" s="1" t="str">
        <f t="shared" si="17"/>
        <v>January</v>
      </c>
      <c r="F298" s="1">
        <v>19</v>
      </c>
      <c r="G298" s="1" t="b">
        <f t="shared" si="18"/>
        <v>0</v>
      </c>
      <c r="H298" s="1" t="str">
        <f t="shared" si="19"/>
        <v>Thursday</v>
      </c>
      <c r="I298" s="1">
        <v>1</v>
      </c>
      <c r="J298" s="1">
        <v>0.16</v>
      </c>
    </row>
    <row r="299" spans="1:10" x14ac:dyDescent="0.2">
      <c r="A299" s="1">
        <v>298</v>
      </c>
      <c r="B299" s="2">
        <v>40556</v>
      </c>
      <c r="C299" s="1">
        <v>1</v>
      </c>
      <c r="D299" s="1">
        <f t="shared" si="16"/>
        <v>2011</v>
      </c>
      <c r="E299" s="1" t="str">
        <f t="shared" si="17"/>
        <v>January</v>
      </c>
      <c r="F299" s="1">
        <v>20</v>
      </c>
      <c r="G299" s="1" t="b">
        <f t="shared" si="18"/>
        <v>0</v>
      </c>
      <c r="H299" s="1" t="str">
        <f t="shared" si="19"/>
        <v>Thursday</v>
      </c>
      <c r="I299" s="1">
        <v>1</v>
      </c>
      <c r="J299" s="1">
        <v>0.16</v>
      </c>
    </row>
    <row r="300" spans="1:10" x14ac:dyDescent="0.2">
      <c r="A300" s="1">
        <v>299</v>
      </c>
      <c r="B300" s="2">
        <v>40556</v>
      </c>
      <c r="C300" s="1">
        <v>1</v>
      </c>
      <c r="D300" s="1">
        <f t="shared" si="16"/>
        <v>2011</v>
      </c>
      <c r="E300" s="1" t="str">
        <f t="shared" si="17"/>
        <v>January</v>
      </c>
      <c r="F300" s="1">
        <v>21</v>
      </c>
      <c r="G300" s="1" t="b">
        <f t="shared" si="18"/>
        <v>0</v>
      </c>
      <c r="H300" s="1" t="str">
        <f t="shared" si="19"/>
        <v>Thursday</v>
      </c>
      <c r="I300" s="1">
        <v>1</v>
      </c>
      <c r="J300" s="1">
        <v>0.14000000000000001</v>
      </c>
    </row>
    <row r="301" spans="1:10" x14ac:dyDescent="0.2">
      <c r="A301" s="1">
        <v>300</v>
      </c>
      <c r="B301" s="2">
        <v>40556</v>
      </c>
      <c r="C301" s="1">
        <v>1</v>
      </c>
      <c r="D301" s="1">
        <f t="shared" si="16"/>
        <v>2011</v>
      </c>
      <c r="E301" s="1" t="str">
        <f t="shared" si="17"/>
        <v>January</v>
      </c>
      <c r="F301" s="1">
        <v>22</v>
      </c>
      <c r="G301" s="1" t="b">
        <f t="shared" si="18"/>
        <v>0</v>
      </c>
      <c r="H301" s="1" t="str">
        <f t="shared" si="19"/>
        <v>Thursday</v>
      </c>
      <c r="I301" s="1">
        <v>1</v>
      </c>
      <c r="J301" s="1">
        <v>0.14000000000000001</v>
      </c>
    </row>
    <row r="302" spans="1:10" x14ac:dyDescent="0.2">
      <c r="A302" s="1">
        <v>301</v>
      </c>
      <c r="B302" s="2">
        <v>40556</v>
      </c>
      <c r="C302" s="1">
        <v>1</v>
      </c>
      <c r="D302" s="1">
        <f t="shared" si="16"/>
        <v>2011</v>
      </c>
      <c r="E302" s="1" t="str">
        <f t="shared" si="17"/>
        <v>January</v>
      </c>
      <c r="F302" s="1">
        <v>23</v>
      </c>
      <c r="G302" s="1" t="b">
        <f t="shared" si="18"/>
        <v>0</v>
      </c>
      <c r="H302" s="1" t="str">
        <f t="shared" si="19"/>
        <v>Thursday</v>
      </c>
      <c r="I302" s="1">
        <v>1</v>
      </c>
      <c r="J302" s="1">
        <v>0.12</v>
      </c>
    </row>
    <row r="303" spans="1:10" x14ac:dyDescent="0.2">
      <c r="A303" s="1">
        <v>302</v>
      </c>
      <c r="B303" s="2">
        <v>40557</v>
      </c>
      <c r="C303" s="1">
        <v>1</v>
      </c>
      <c r="D303" s="1">
        <f t="shared" si="16"/>
        <v>2011</v>
      </c>
      <c r="E303" s="1" t="str">
        <f t="shared" si="17"/>
        <v>January</v>
      </c>
      <c r="F303" s="1">
        <v>0</v>
      </c>
      <c r="G303" s="1" t="b">
        <f t="shared" si="18"/>
        <v>0</v>
      </c>
      <c r="H303" s="1" t="str">
        <f t="shared" si="19"/>
        <v>Friday</v>
      </c>
      <c r="I303" s="1">
        <v>1</v>
      </c>
      <c r="J303" s="1">
        <v>0.12</v>
      </c>
    </row>
    <row r="304" spans="1:10" x14ac:dyDescent="0.2">
      <c r="A304" s="1">
        <v>303</v>
      </c>
      <c r="B304" s="2">
        <v>40557</v>
      </c>
      <c r="C304" s="1">
        <v>1</v>
      </c>
      <c r="D304" s="1">
        <f t="shared" si="16"/>
        <v>2011</v>
      </c>
      <c r="E304" s="1" t="str">
        <f t="shared" si="17"/>
        <v>January</v>
      </c>
      <c r="F304" s="1">
        <v>1</v>
      </c>
      <c r="G304" s="1" t="b">
        <f t="shared" si="18"/>
        <v>0</v>
      </c>
      <c r="H304" s="1" t="str">
        <f t="shared" si="19"/>
        <v>Friday</v>
      </c>
      <c r="I304" s="1">
        <v>1</v>
      </c>
      <c r="J304" s="1">
        <v>0.1</v>
      </c>
    </row>
    <row r="305" spans="1:10" x14ac:dyDescent="0.2">
      <c r="A305" s="1">
        <v>304</v>
      </c>
      <c r="B305" s="2">
        <v>40557</v>
      </c>
      <c r="C305" s="1">
        <v>1</v>
      </c>
      <c r="D305" s="1">
        <f t="shared" si="16"/>
        <v>2011</v>
      </c>
      <c r="E305" s="1" t="str">
        <f t="shared" si="17"/>
        <v>January</v>
      </c>
      <c r="F305" s="1">
        <v>2</v>
      </c>
      <c r="G305" s="1" t="b">
        <f t="shared" si="18"/>
        <v>0</v>
      </c>
      <c r="H305" s="1" t="str">
        <f t="shared" si="19"/>
        <v>Friday</v>
      </c>
      <c r="I305" s="1">
        <v>1</v>
      </c>
      <c r="J305" s="1">
        <v>0.1</v>
      </c>
    </row>
    <row r="306" spans="1:10" x14ac:dyDescent="0.2">
      <c r="A306" s="1">
        <v>305</v>
      </c>
      <c r="B306" s="2">
        <v>40557</v>
      </c>
      <c r="C306" s="1">
        <v>1</v>
      </c>
      <c r="D306" s="1">
        <f t="shared" si="16"/>
        <v>2011</v>
      </c>
      <c r="E306" s="1" t="str">
        <f t="shared" si="17"/>
        <v>January</v>
      </c>
      <c r="F306" s="1">
        <v>3</v>
      </c>
      <c r="G306" s="1" t="b">
        <f t="shared" si="18"/>
        <v>0</v>
      </c>
      <c r="H306" s="1" t="str">
        <f t="shared" si="19"/>
        <v>Friday</v>
      </c>
      <c r="I306" s="1">
        <v>1</v>
      </c>
      <c r="J306" s="1">
        <v>0.1</v>
      </c>
    </row>
    <row r="307" spans="1:10" x14ac:dyDescent="0.2">
      <c r="A307" s="1">
        <v>306</v>
      </c>
      <c r="B307" s="2">
        <v>40557</v>
      </c>
      <c r="C307" s="1">
        <v>1</v>
      </c>
      <c r="D307" s="1">
        <f t="shared" si="16"/>
        <v>2011</v>
      </c>
      <c r="E307" s="1" t="str">
        <f t="shared" si="17"/>
        <v>January</v>
      </c>
      <c r="F307" s="1">
        <v>5</v>
      </c>
      <c r="G307" s="1" t="b">
        <f t="shared" si="18"/>
        <v>0</v>
      </c>
      <c r="H307" s="1" t="str">
        <f t="shared" si="19"/>
        <v>Friday</v>
      </c>
      <c r="I307" s="1">
        <v>1</v>
      </c>
      <c r="J307" s="1">
        <v>0.1</v>
      </c>
    </row>
    <row r="308" spans="1:10" x14ac:dyDescent="0.2">
      <c r="A308" s="1">
        <v>307</v>
      </c>
      <c r="B308" s="2">
        <v>40557</v>
      </c>
      <c r="C308" s="1">
        <v>1</v>
      </c>
      <c r="D308" s="1">
        <f t="shared" si="16"/>
        <v>2011</v>
      </c>
      <c r="E308" s="1" t="str">
        <f t="shared" si="17"/>
        <v>January</v>
      </c>
      <c r="F308" s="1">
        <v>6</v>
      </c>
      <c r="G308" s="1" t="b">
        <f t="shared" si="18"/>
        <v>0</v>
      </c>
      <c r="H308" s="1" t="str">
        <f t="shared" si="19"/>
        <v>Friday</v>
      </c>
      <c r="I308" s="1">
        <v>1</v>
      </c>
      <c r="J308" s="1">
        <v>0.1</v>
      </c>
    </row>
    <row r="309" spans="1:10" x14ac:dyDescent="0.2">
      <c r="A309" s="1">
        <v>308</v>
      </c>
      <c r="B309" s="2">
        <v>40557</v>
      </c>
      <c r="C309" s="1">
        <v>1</v>
      </c>
      <c r="D309" s="1">
        <f t="shared" si="16"/>
        <v>2011</v>
      </c>
      <c r="E309" s="1" t="str">
        <f t="shared" si="17"/>
        <v>January</v>
      </c>
      <c r="F309" s="1">
        <v>7</v>
      </c>
      <c r="G309" s="1" t="b">
        <f t="shared" si="18"/>
        <v>0</v>
      </c>
      <c r="H309" s="1" t="str">
        <f t="shared" si="19"/>
        <v>Friday</v>
      </c>
      <c r="I309" s="1">
        <v>1</v>
      </c>
      <c r="J309" s="1">
        <v>0.1</v>
      </c>
    </row>
    <row r="310" spans="1:10" x14ac:dyDescent="0.2">
      <c r="A310" s="1">
        <v>309</v>
      </c>
      <c r="B310" s="2">
        <v>40557</v>
      </c>
      <c r="C310" s="1">
        <v>1</v>
      </c>
      <c r="D310" s="1">
        <f t="shared" si="16"/>
        <v>2011</v>
      </c>
      <c r="E310" s="1" t="str">
        <f t="shared" si="17"/>
        <v>January</v>
      </c>
      <c r="F310" s="1">
        <v>8</v>
      </c>
      <c r="G310" s="1" t="b">
        <f t="shared" si="18"/>
        <v>0</v>
      </c>
      <c r="H310" s="1" t="str">
        <f t="shared" si="19"/>
        <v>Friday</v>
      </c>
      <c r="I310" s="1">
        <v>1</v>
      </c>
      <c r="J310" s="1">
        <v>0.12</v>
      </c>
    </row>
    <row r="311" spans="1:10" x14ac:dyDescent="0.2">
      <c r="A311" s="1">
        <v>310</v>
      </c>
      <c r="B311" s="2">
        <v>40557</v>
      </c>
      <c r="C311" s="1">
        <v>1</v>
      </c>
      <c r="D311" s="1">
        <f t="shared" si="16"/>
        <v>2011</v>
      </c>
      <c r="E311" s="1" t="str">
        <f t="shared" si="17"/>
        <v>January</v>
      </c>
      <c r="F311" s="1">
        <v>9</v>
      </c>
      <c r="G311" s="1" t="b">
        <f t="shared" si="18"/>
        <v>0</v>
      </c>
      <c r="H311" s="1" t="str">
        <f t="shared" si="19"/>
        <v>Friday</v>
      </c>
      <c r="I311" s="1">
        <v>1</v>
      </c>
      <c r="J311" s="1">
        <v>0.14000000000000001</v>
      </c>
    </row>
    <row r="312" spans="1:10" x14ac:dyDescent="0.2">
      <c r="A312" s="1">
        <v>311</v>
      </c>
      <c r="B312" s="2">
        <v>40557</v>
      </c>
      <c r="C312" s="1">
        <v>1</v>
      </c>
      <c r="D312" s="1">
        <f t="shared" si="16"/>
        <v>2011</v>
      </c>
      <c r="E312" s="1" t="str">
        <f t="shared" si="17"/>
        <v>January</v>
      </c>
      <c r="F312" s="1">
        <v>10</v>
      </c>
      <c r="G312" s="1" t="b">
        <f t="shared" si="18"/>
        <v>0</v>
      </c>
      <c r="H312" s="1" t="str">
        <f t="shared" si="19"/>
        <v>Friday</v>
      </c>
      <c r="I312" s="1">
        <v>1</v>
      </c>
      <c r="J312" s="1">
        <v>0.18</v>
      </c>
    </row>
    <row r="313" spans="1:10" x14ac:dyDescent="0.2">
      <c r="A313" s="1">
        <v>312</v>
      </c>
      <c r="B313" s="2">
        <v>40557</v>
      </c>
      <c r="C313" s="1">
        <v>1</v>
      </c>
      <c r="D313" s="1">
        <f t="shared" si="16"/>
        <v>2011</v>
      </c>
      <c r="E313" s="1" t="str">
        <f t="shared" si="17"/>
        <v>January</v>
      </c>
      <c r="F313" s="1">
        <v>11</v>
      </c>
      <c r="G313" s="1" t="b">
        <f t="shared" si="18"/>
        <v>0</v>
      </c>
      <c r="H313" s="1" t="str">
        <f t="shared" si="19"/>
        <v>Friday</v>
      </c>
      <c r="I313" s="1">
        <v>1</v>
      </c>
      <c r="J313" s="1">
        <v>0.18</v>
      </c>
    </row>
    <row r="314" spans="1:10" x14ac:dyDescent="0.2">
      <c r="A314" s="1">
        <v>313</v>
      </c>
      <c r="B314" s="2">
        <v>40557</v>
      </c>
      <c r="C314" s="1">
        <v>1</v>
      </c>
      <c r="D314" s="1">
        <f t="shared" si="16"/>
        <v>2011</v>
      </c>
      <c r="E314" s="1" t="str">
        <f t="shared" si="17"/>
        <v>January</v>
      </c>
      <c r="F314" s="1">
        <v>12</v>
      </c>
      <c r="G314" s="1" t="b">
        <f t="shared" si="18"/>
        <v>0</v>
      </c>
      <c r="H314" s="1" t="str">
        <f t="shared" si="19"/>
        <v>Friday</v>
      </c>
      <c r="I314" s="1">
        <v>1</v>
      </c>
      <c r="J314" s="1">
        <v>0.2</v>
      </c>
    </row>
    <row r="315" spans="1:10" x14ac:dyDescent="0.2">
      <c r="A315" s="1">
        <v>314</v>
      </c>
      <c r="B315" s="2">
        <v>40557</v>
      </c>
      <c r="C315" s="1">
        <v>1</v>
      </c>
      <c r="D315" s="1">
        <f t="shared" si="16"/>
        <v>2011</v>
      </c>
      <c r="E315" s="1" t="str">
        <f t="shared" si="17"/>
        <v>January</v>
      </c>
      <c r="F315" s="1">
        <v>13</v>
      </c>
      <c r="G315" s="1" t="b">
        <f t="shared" si="18"/>
        <v>0</v>
      </c>
      <c r="H315" s="1" t="str">
        <f t="shared" si="19"/>
        <v>Friday</v>
      </c>
      <c r="I315" s="1">
        <v>1</v>
      </c>
      <c r="J315" s="1">
        <v>0.22</v>
      </c>
    </row>
    <row r="316" spans="1:10" x14ac:dyDescent="0.2">
      <c r="A316" s="1">
        <v>315</v>
      </c>
      <c r="B316" s="2">
        <v>40557</v>
      </c>
      <c r="C316" s="1">
        <v>1</v>
      </c>
      <c r="D316" s="1">
        <f t="shared" si="16"/>
        <v>2011</v>
      </c>
      <c r="E316" s="1" t="str">
        <f t="shared" si="17"/>
        <v>January</v>
      </c>
      <c r="F316" s="1">
        <v>14</v>
      </c>
      <c r="G316" s="1" t="b">
        <f t="shared" si="18"/>
        <v>0</v>
      </c>
      <c r="H316" s="1" t="str">
        <f t="shared" si="19"/>
        <v>Friday</v>
      </c>
      <c r="I316" s="1">
        <v>1</v>
      </c>
      <c r="J316" s="1">
        <v>0.22</v>
      </c>
    </row>
    <row r="317" spans="1:10" x14ac:dyDescent="0.2">
      <c r="A317" s="1">
        <v>316</v>
      </c>
      <c r="B317" s="2">
        <v>40557</v>
      </c>
      <c r="C317" s="1">
        <v>1</v>
      </c>
      <c r="D317" s="1">
        <f t="shared" si="16"/>
        <v>2011</v>
      </c>
      <c r="E317" s="1" t="str">
        <f t="shared" si="17"/>
        <v>January</v>
      </c>
      <c r="F317" s="1">
        <v>15</v>
      </c>
      <c r="G317" s="1" t="b">
        <f t="shared" si="18"/>
        <v>0</v>
      </c>
      <c r="H317" s="1" t="str">
        <f t="shared" si="19"/>
        <v>Friday</v>
      </c>
      <c r="I317" s="1">
        <v>1</v>
      </c>
      <c r="J317" s="1">
        <v>0.24</v>
      </c>
    </row>
    <row r="318" spans="1:10" x14ac:dyDescent="0.2">
      <c r="A318" s="1">
        <v>317</v>
      </c>
      <c r="B318" s="2">
        <v>40557</v>
      </c>
      <c r="C318" s="1">
        <v>1</v>
      </c>
      <c r="D318" s="1">
        <f t="shared" si="16"/>
        <v>2011</v>
      </c>
      <c r="E318" s="1" t="str">
        <f t="shared" si="17"/>
        <v>January</v>
      </c>
      <c r="F318" s="1">
        <v>16</v>
      </c>
      <c r="G318" s="1" t="b">
        <f t="shared" si="18"/>
        <v>0</v>
      </c>
      <c r="H318" s="1" t="str">
        <f t="shared" si="19"/>
        <v>Friday</v>
      </c>
      <c r="I318" s="1">
        <v>1</v>
      </c>
      <c r="J318" s="1">
        <v>0.22</v>
      </c>
    </row>
    <row r="319" spans="1:10" x14ac:dyDescent="0.2">
      <c r="A319" s="1">
        <v>318</v>
      </c>
      <c r="B319" s="2">
        <v>40557</v>
      </c>
      <c r="C319" s="1">
        <v>1</v>
      </c>
      <c r="D319" s="1">
        <f t="shared" si="16"/>
        <v>2011</v>
      </c>
      <c r="E319" s="1" t="str">
        <f t="shared" si="17"/>
        <v>January</v>
      </c>
      <c r="F319" s="1">
        <v>17</v>
      </c>
      <c r="G319" s="1" t="b">
        <f t="shared" si="18"/>
        <v>0</v>
      </c>
      <c r="H319" s="1" t="str">
        <f t="shared" si="19"/>
        <v>Friday</v>
      </c>
      <c r="I319" s="1">
        <v>1</v>
      </c>
      <c r="J319" s="1">
        <v>0.22</v>
      </c>
    </row>
    <row r="320" spans="1:10" x14ac:dyDescent="0.2">
      <c r="A320" s="1">
        <v>319</v>
      </c>
      <c r="B320" s="2">
        <v>40557</v>
      </c>
      <c r="C320" s="1">
        <v>1</v>
      </c>
      <c r="D320" s="1">
        <f t="shared" si="16"/>
        <v>2011</v>
      </c>
      <c r="E320" s="1" t="str">
        <f t="shared" si="17"/>
        <v>January</v>
      </c>
      <c r="F320" s="1">
        <v>18</v>
      </c>
      <c r="G320" s="1" t="b">
        <f t="shared" si="18"/>
        <v>0</v>
      </c>
      <c r="H320" s="1" t="str">
        <f t="shared" si="19"/>
        <v>Friday</v>
      </c>
      <c r="I320" s="1">
        <v>1</v>
      </c>
      <c r="J320" s="1">
        <v>0.2</v>
      </c>
    </row>
    <row r="321" spans="1:10" x14ac:dyDescent="0.2">
      <c r="A321" s="1">
        <v>320</v>
      </c>
      <c r="B321" s="2">
        <v>40557</v>
      </c>
      <c r="C321" s="1">
        <v>1</v>
      </c>
      <c r="D321" s="1">
        <f t="shared" si="16"/>
        <v>2011</v>
      </c>
      <c r="E321" s="1" t="str">
        <f t="shared" si="17"/>
        <v>January</v>
      </c>
      <c r="F321" s="1">
        <v>19</v>
      </c>
      <c r="G321" s="1" t="b">
        <f t="shared" si="18"/>
        <v>0</v>
      </c>
      <c r="H321" s="1" t="str">
        <f t="shared" si="19"/>
        <v>Friday</v>
      </c>
      <c r="I321" s="1">
        <v>1</v>
      </c>
      <c r="J321" s="1">
        <v>0.16</v>
      </c>
    </row>
    <row r="322" spans="1:10" x14ac:dyDescent="0.2">
      <c r="A322" s="1">
        <v>321</v>
      </c>
      <c r="B322" s="2">
        <v>40557</v>
      </c>
      <c r="C322" s="1">
        <v>1</v>
      </c>
      <c r="D322" s="1">
        <f t="shared" si="16"/>
        <v>2011</v>
      </c>
      <c r="E322" s="1" t="str">
        <f t="shared" si="17"/>
        <v>January</v>
      </c>
      <c r="F322" s="1">
        <v>20</v>
      </c>
      <c r="G322" s="1" t="b">
        <f t="shared" si="18"/>
        <v>0</v>
      </c>
      <c r="H322" s="1" t="str">
        <f t="shared" si="19"/>
        <v>Friday</v>
      </c>
      <c r="I322" s="1">
        <v>1</v>
      </c>
      <c r="J322" s="1">
        <v>0.18</v>
      </c>
    </row>
    <row r="323" spans="1:10" x14ac:dyDescent="0.2">
      <c r="A323" s="1">
        <v>322</v>
      </c>
      <c r="B323" s="2">
        <v>40557</v>
      </c>
      <c r="C323" s="1">
        <v>1</v>
      </c>
      <c r="D323" s="1">
        <f t="shared" ref="D323:D386" si="20">YEAR(B323)</f>
        <v>2011</v>
      </c>
      <c r="E323" s="1" t="str">
        <f t="shared" ref="E323:E386" si="21">TEXT(B323,"MMMM")</f>
        <v>January</v>
      </c>
      <c r="F323" s="1">
        <v>21</v>
      </c>
      <c r="G323" s="1" t="b">
        <f t="shared" ref="G323:G386" si="22">IF(H323="Sunday",TRUE,FALSE)</f>
        <v>0</v>
      </c>
      <c r="H323" s="1" t="str">
        <f t="shared" ref="H323:H386" si="23">TEXT(B323,"DDDD")</f>
        <v>Friday</v>
      </c>
      <c r="I323" s="1">
        <v>1</v>
      </c>
      <c r="J323" s="1">
        <v>0.16</v>
      </c>
    </row>
    <row r="324" spans="1:10" x14ac:dyDescent="0.2">
      <c r="A324" s="1">
        <v>323</v>
      </c>
      <c r="B324" s="2">
        <v>40557</v>
      </c>
      <c r="C324" s="1">
        <v>1</v>
      </c>
      <c r="D324" s="1">
        <f t="shared" si="20"/>
        <v>2011</v>
      </c>
      <c r="E324" s="1" t="str">
        <f t="shared" si="21"/>
        <v>January</v>
      </c>
      <c r="F324" s="1">
        <v>22</v>
      </c>
      <c r="G324" s="1" t="b">
        <f t="shared" si="22"/>
        <v>0</v>
      </c>
      <c r="H324" s="1" t="str">
        <f t="shared" si="23"/>
        <v>Friday</v>
      </c>
      <c r="I324" s="1">
        <v>2</v>
      </c>
      <c r="J324" s="1">
        <v>0.16</v>
      </c>
    </row>
    <row r="325" spans="1:10" x14ac:dyDescent="0.2">
      <c r="A325" s="1">
        <v>324</v>
      </c>
      <c r="B325" s="2">
        <v>40557</v>
      </c>
      <c r="C325" s="1">
        <v>1</v>
      </c>
      <c r="D325" s="1">
        <f t="shared" si="20"/>
        <v>2011</v>
      </c>
      <c r="E325" s="1" t="str">
        <f t="shared" si="21"/>
        <v>January</v>
      </c>
      <c r="F325" s="1">
        <v>23</v>
      </c>
      <c r="G325" s="1" t="b">
        <f t="shared" si="22"/>
        <v>0</v>
      </c>
      <c r="H325" s="1" t="str">
        <f t="shared" si="23"/>
        <v>Friday</v>
      </c>
      <c r="I325" s="1">
        <v>2</v>
      </c>
      <c r="J325" s="1">
        <v>0.18</v>
      </c>
    </row>
    <row r="326" spans="1:10" x14ac:dyDescent="0.2">
      <c r="A326" s="1">
        <v>325</v>
      </c>
      <c r="B326" s="2">
        <v>40558</v>
      </c>
      <c r="C326" s="1">
        <v>1</v>
      </c>
      <c r="D326" s="1">
        <f t="shared" si="20"/>
        <v>2011</v>
      </c>
      <c r="E326" s="1" t="str">
        <f t="shared" si="21"/>
        <v>January</v>
      </c>
      <c r="F326" s="1">
        <v>0</v>
      </c>
      <c r="G326" s="1" t="b">
        <f t="shared" si="22"/>
        <v>0</v>
      </c>
      <c r="H326" s="1" t="str">
        <f t="shared" si="23"/>
        <v>Saturday</v>
      </c>
      <c r="I326" s="1">
        <v>1</v>
      </c>
      <c r="J326" s="1">
        <v>0.18</v>
      </c>
    </row>
    <row r="327" spans="1:10" x14ac:dyDescent="0.2">
      <c r="A327" s="1">
        <v>326</v>
      </c>
      <c r="B327" s="2">
        <v>40558</v>
      </c>
      <c r="C327" s="1">
        <v>1</v>
      </c>
      <c r="D327" s="1">
        <f t="shared" si="20"/>
        <v>2011</v>
      </c>
      <c r="E327" s="1" t="str">
        <f t="shared" si="21"/>
        <v>January</v>
      </c>
      <c r="F327" s="1">
        <v>1</v>
      </c>
      <c r="G327" s="1" t="b">
        <f t="shared" si="22"/>
        <v>0</v>
      </c>
      <c r="H327" s="1" t="str">
        <f t="shared" si="23"/>
        <v>Saturday</v>
      </c>
      <c r="I327" s="1">
        <v>2</v>
      </c>
      <c r="J327" s="1">
        <v>0.16</v>
      </c>
    </row>
    <row r="328" spans="1:10" x14ac:dyDescent="0.2">
      <c r="A328" s="1">
        <v>327</v>
      </c>
      <c r="B328" s="2">
        <v>40558</v>
      </c>
      <c r="C328" s="1">
        <v>1</v>
      </c>
      <c r="D328" s="1">
        <f t="shared" si="20"/>
        <v>2011</v>
      </c>
      <c r="E328" s="1" t="str">
        <f t="shared" si="21"/>
        <v>January</v>
      </c>
      <c r="F328" s="1">
        <v>2</v>
      </c>
      <c r="G328" s="1" t="b">
        <f t="shared" si="22"/>
        <v>0</v>
      </c>
      <c r="H328" s="1" t="str">
        <f t="shared" si="23"/>
        <v>Saturday</v>
      </c>
      <c r="I328" s="1">
        <v>2</v>
      </c>
      <c r="J328" s="1">
        <v>0.16</v>
      </c>
    </row>
    <row r="329" spans="1:10" x14ac:dyDescent="0.2">
      <c r="A329" s="1">
        <v>328</v>
      </c>
      <c r="B329" s="2">
        <v>40558</v>
      </c>
      <c r="C329" s="1">
        <v>1</v>
      </c>
      <c r="D329" s="1">
        <f t="shared" si="20"/>
        <v>2011</v>
      </c>
      <c r="E329" s="1" t="str">
        <f t="shared" si="21"/>
        <v>January</v>
      </c>
      <c r="F329" s="1">
        <v>3</v>
      </c>
      <c r="G329" s="1" t="b">
        <f t="shared" si="22"/>
        <v>0</v>
      </c>
      <c r="H329" s="1" t="str">
        <f t="shared" si="23"/>
        <v>Saturday</v>
      </c>
      <c r="I329" s="1">
        <v>2</v>
      </c>
      <c r="J329" s="1">
        <v>0.16</v>
      </c>
    </row>
    <row r="330" spans="1:10" x14ac:dyDescent="0.2">
      <c r="A330" s="1">
        <v>329</v>
      </c>
      <c r="B330" s="2">
        <v>40558</v>
      </c>
      <c r="C330" s="1">
        <v>1</v>
      </c>
      <c r="D330" s="1">
        <f t="shared" si="20"/>
        <v>2011</v>
      </c>
      <c r="E330" s="1" t="str">
        <f t="shared" si="21"/>
        <v>January</v>
      </c>
      <c r="F330" s="1">
        <v>4</v>
      </c>
      <c r="G330" s="1" t="b">
        <f t="shared" si="22"/>
        <v>0</v>
      </c>
      <c r="H330" s="1" t="str">
        <f t="shared" si="23"/>
        <v>Saturday</v>
      </c>
      <c r="I330" s="1">
        <v>2</v>
      </c>
      <c r="J330" s="1">
        <v>0.16</v>
      </c>
    </row>
    <row r="331" spans="1:10" x14ac:dyDescent="0.2">
      <c r="A331" s="1">
        <v>330</v>
      </c>
      <c r="B331" s="2">
        <v>40558</v>
      </c>
      <c r="C331" s="1">
        <v>1</v>
      </c>
      <c r="D331" s="1">
        <f t="shared" si="20"/>
        <v>2011</v>
      </c>
      <c r="E331" s="1" t="str">
        <f t="shared" si="21"/>
        <v>January</v>
      </c>
      <c r="F331" s="1">
        <v>5</v>
      </c>
      <c r="G331" s="1" t="b">
        <f t="shared" si="22"/>
        <v>0</v>
      </c>
      <c r="H331" s="1" t="str">
        <f t="shared" si="23"/>
        <v>Saturday</v>
      </c>
      <c r="I331" s="1">
        <v>1</v>
      </c>
      <c r="J331" s="1">
        <v>0.16</v>
      </c>
    </row>
    <row r="332" spans="1:10" x14ac:dyDescent="0.2">
      <c r="A332" s="1">
        <v>331</v>
      </c>
      <c r="B332" s="2">
        <v>40558</v>
      </c>
      <c r="C332" s="1">
        <v>1</v>
      </c>
      <c r="D332" s="1">
        <f t="shared" si="20"/>
        <v>2011</v>
      </c>
      <c r="E332" s="1" t="str">
        <f t="shared" si="21"/>
        <v>January</v>
      </c>
      <c r="F332" s="1">
        <v>6</v>
      </c>
      <c r="G332" s="1" t="b">
        <f t="shared" si="22"/>
        <v>0</v>
      </c>
      <c r="H332" s="1" t="str">
        <f t="shared" si="23"/>
        <v>Saturday</v>
      </c>
      <c r="I332" s="1">
        <v>1</v>
      </c>
      <c r="J332" s="1">
        <v>0.14000000000000001</v>
      </c>
    </row>
    <row r="333" spans="1:10" x14ac:dyDescent="0.2">
      <c r="A333" s="1">
        <v>332</v>
      </c>
      <c r="B333" s="2">
        <v>40558</v>
      </c>
      <c r="C333" s="1">
        <v>1</v>
      </c>
      <c r="D333" s="1">
        <f t="shared" si="20"/>
        <v>2011</v>
      </c>
      <c r="E333" s="1" t="str">
        <f t="shared" si="21"/>
        <v>January</v>
      </c>
      <c r="F333" s="1">
        <v>7</v>
      </c>
      <c r="G333" s="1" t="b">
        <f t="shared" si="22"/>
        <v>0</v>
      </c>
      <c r="H333" s="1" t="str">
        <f t="shared" si="23"/>
        <v>Saturday</v>
      </c>
      <c r="I333" s="1">
        <v>1</v>
      </c>
      <c r="J333" s="1">
        <v>0.14000000000000001</v>
      </c>
    </row>
    <row r="334" spans="1:10" x14ac:dyDescent="0.2">
      <c r="A334" s="1">
        <v>333</v>
      </c>
      <c r="B334" s="2">
        <v>40558</v>
      </c>
      <c r="C334" s="1">
        <v>1</v>
      </c>
      <c r="D334" s="1">
        <f t="shared" si="20"/>
        <v>2011</v>
      </c>
      <c r="E334" s="1" t="str">
        <f t="shared" si="21"/>
        <v>January</v>
      </c>
      <c r="F334" s="1">
        <v>8</v>
      </c>
      <c r="G334" s="1" t="b">
        <f t="shared" si="22"/>
        <v>0</v>
      </c>
      <c r="H334" s="1" t="str">
        <f t="shared" si="23"/>
        <v>Saturday</v>
      </c>
      <c r="I334" s="1">
        <v>1</v>
      </c>
      <c r="J334" s="1">
        <v>0.14000000000000001</v>
      </c>
    </row>
    <row r="335" spans="1:10" x14ac:dyDescent="0.2">
      <c r="A335" s="1">
        <v>334</v>
      </c>
      <c r="B335" s="2">
        <v>40558</v>
      </c>
      <c r="C335" s="1">
        <v>1</v>
      </c>
      <c r="D335" s="1">
        <f t="shared" si="20"/>
        <v>2011</v>
      </c>
      <c r="E335" s="1" t="str">
        <f t="shared" si="21"/>
        <v>January</v>
      </c>
      <c r="F335" s="1">
        <v>9</v>
      </c>
      <c r="G335" s="1" t="b">
        <f t="shared" si="22"/>
        <v>0</v>
      </c>
      <c r="H335" s="1" t="str">
        <f t="shared" si="23"/>
        <v>Saturday</v>
      </c>
      <c r="I335" s="1">
        <v>1</v>
      </c>
      <c r="J335" s="1">
        <v>0.16</v>
      </c>
    </row>
    <row r="336" spans="1:10" x14ac:dyDescent="0.2">
      <c r="A336" s="1">
        <v>335</v>
      </c>
      <c r="B336" s="2">
        <v>40558</v>
      </c>
      <c r="C336" s="1">
        <v>1</v>
      </c>
      <c r="D336" s="1">
        <f t="shared" si="20"/>
        <v>2011</v>
      </c>
      <c r="E336" s="1" t="str">
        <f t="shared" si="21"/>
        <v>January</v>
      </c>
      <c r="F336" s="1">
        <v>10</v>
      </c>
      <c r="G336" s="1" t="b">
        <f t="shared" si="22"/>
        <v>0</v>
      </c>
      <c r="H336" s="1" t="str">
        <f t="shared" si="23"/>
        <v>Saturday</v>
      </c>
      <c r="I336" s="1">
        <v>1</v>
      </c>
      <c r="J336" s="1">
        <v>0.18</v>
      </c>
    </row>
    <row r="337" spans="1:10" x14ac:dyDescent="0.2">
      <c r="A337" s="1">
        <v>336</v>
      </c>
      <c r="B337" s="2">
        <v>40558</v>
      </c>
      <c r="C337" s="1">
        <v>1</v>
      </c>
      <c r="D337" s="1">
        <f t="shared" si="20"/>
        <v>2011</v>
      </c>
      <c r="E337" s="1" t="str">
        <f t="shared" si="21"/>
        <v>January</v>
      </c>
      <c r="F337" s="1">
        <v>11</v>
      </c>
      <c r="G337" s="1" t="b">
        <f t="shared" si="22"/>
        <v>0</v>
      </c>
      <c r="H337" s="1" t="str">
        <f t="shared" si="23"/>
        <v>Saturday</v>
      </c>
      <c r="I337" s="1">
        <v>1</v>
      </c>
      <c r="J337" s="1">
        <v>0.2</v>
      </c>
    </row>
    <row r="338" spans="1:10" x14ac:dyDescent="0.2">
      <c r="A338" s="1">
        <v>337</v>
      </c>
      <c r="B338" s="2">
        <v>40558</v>
      </c>
      <c r="C338" s="1">
        <v>1</v>
      </c>
      <c r="D338" s="1">
        <f t="shared" si="20"/>
        <v>2011</v>
      </c>
      <c r="E338" s="1" t="str">
        <f t="shared" si="21"/>
        <v>January</v>
      </c>
      <c r="F338" s="1">
        <v>12</v>
      </c>
      <c r="G338" s="1" t="b">
        <f t="shared" si="22"/>
        <v>0</v>
      </c>
      <c r="H338" s="1" t="str">
        <f t="shared" si="23"/>
        <v>Saturday</v>
      </c>
      <c r="I338" s="1">
        <v>1</v>
      </c>
      <c r="J338" s="1">
        <v>0.24</v>
      </c>
    </row>
    <row r="339" spans="1:10" x14ac:dyDescent="0.2">
      <c r="A339" s="1">
        <v>338</v>
      </c>
      <c r="B339" s="2">
        <v>40558</v>
      </c>
      <c r="C339" s="1">
        <v>1</v>
      </c>
      <c r="D339" s="1">
        <f t="shared" si="20"/>
        <v>2011</v>
      </c>
      <c r="E339" s="1" t="str">
        <f t="shared" si="21"/>
        <v>January</v>
      </c>
      <c r="F339" s="1">
        <v>13</v>
      </c>
      <c r="G339" s="1" t="b">
        <f t="shared" si="22"/>
        <v>0</v>
      </c>
      <c r="H339" s="1" t="str">
        <f t="shared" si="23"/>
        <v>Saturday</v>
      </c>
      <c r="I339" s="1">
        <v>1</v>
      </c>
      <c r="J339" s="1">
        <v>0.28000000000000003</v>
      </c>
    </row>
    <row r="340" spans="1:10" x14ac:dyDescent="0.2">
      <c r="A340" s="1">
        <v>339</v>
      </c>
      <c r="B340" s="2">
        <v>40558</v>
      </c>
      <c r="C340" s="1">
        <v>1</v>
      </c>
      <c r="D340" s="1">
        <f t="shared" si="20"/>
        <v>2011</v>
      </c>
      <c r="E340" s="1" t="str">
        <f t="shared" si="21"/>
        <v>January</v>
      </c>
      <c r="F340" s="1">
        <v>14</v>
      </c>
      <c r="G340" s="1" t="b">
        <f t="shared" si="22"/>
        <v>0</v>
      </c>
      <c r="H340" s="1" t="str">
        <f t="shared" si="23"/>
        <v>Saturday</v>
      </c>
      <c r="I340" s="1">
        <v>1</v>
      </c>
      <c r="J340" s="1">
        <v>0.3</v>
      </c>
    </row>
    <row r="341" spans="1:10" x14ac:dyDescent="0.2">
      <c r="A341" s="1">
        <v>340</v>
      </c>
      <c r="B341" s="2">
        <v>40558</v>
      </c>
      <c r="C341" s="1">
        <v>1</v>
      </c>
      <c r="D341" s="1">
        <f t="shared" si="20"/>
        <v>2011</v>
      </c>
      <c r="E341" s="1" t="str">
        <f t="shared" si="21"/>
        <v>January</v>
      </c>
      <c r="F341" s="1">
        <v>15</v>
      </c>
      <c r="G341" s="1" t="b">
        <f t="shared" si="22"/>
        <v>0</v>
      </c>
      <c r="H341" s="1" t="str">
        <f t="shared" si="23"/>
        <v>Saturday</v>
      </c>
      <c r="I341" s="1">
        <v>2</v>
      </c>
      <c r="J341" s="1">
        <v>0.32</v>
      </c>
    </row>
    <row r="342" spans="1:10" x14ac:dyDescent="0.2">
      <c r="A342" s="1">
        <v>341</v>
      </c>
      <c r="B342" s="2">
        <v>40558</v>
      </c>
      <c r="C342" s="1">
        <v>1</v>
      </c>
      <c r="D342" s="1">
        <f t="shared" si="20"/>
        <v>2011</v>
      </c>
      <c r="E342" s="1" t="str">
        <f t="shared" si="21"/>
        <v>January</v>
      </c>
      <c r="F342" s="1">
        <v>16</v>
      </c>
      <c r="G342" s="1" t="b">
        <f t="shared" si="22"/>
        <v>0</v>
      </c>
      <c r="H342" s="1" t="str">
        <f t="shared" si="23"/>
        <v>Saturday</v>
      </c>
      <c r="I342" s="1">
        <v>2</v>
      </c>
      <c r="J342" s="1">
        <v>0.34</v>
      </c>
    </row>
    <row r="343" spans="1:10" x14ac:dyDescent="0.2">
      <c r="A343" s="1">
        <v>342</v>
      </c>
      <c r="B343" s="2">
        <v>40558</v>
      </c>
      <c r="C343" s="1">
        <v>1</v>
      </c>
      <c r="D343" s="1">
        <f t="shared" si="20"/>
        <v>2011</v>
      </c>
      <c r="E343" s="1" t="str">
        <f t="shared" si="21"/>
        <v>January</v>
      </c>
      <c r="F343" s="1">
        <v>17</v>
      </c>
      <c r="G343" s="1" t="b">
        <f t="shared" si="22"/>
        <v>0</v>
      </c>
      <c r="H343" s="1" t="str">
        <f t="shared" si="23"/>
        <v>Saturday</v>
      </c>
      <c r="I343" s="1">
        <v>2</v>
      </c>
      <c r="J343" s="1">
        <v>0.32</v>
      </c>
    </row>
    <row r="344" spans="1:10" x14ac:dyDescent="0.2">
      <c r="A344" s="1">
        <v>343</v>
      </c>
      <c r="B344" s="2">
        <v>40558</v>
      </c>
      <c r="C344" s="1">
        <v>1</v>
      </c>
      <c r="D344" s="1">
        <f t="shared" si="20"/>
        <v>2011</v>
      </c>
      <c r="E344" s="1" t="str">
        <f t="shared" si="21"/>
        <v>January</v>
      </c>
      <c r="F344" s="1">
        <v>18</v>
      </c>
      <c r="G344" s="1" t="b">
        <f t="shared" si="22"/>
        <v>0</v>
      </c>
      <c r="H344" s="1" t="str">
        <f t="shared" si="23"/>
        <v>Saturday</v>
      </c>
      <c r="I344" s="1">
        <v>2</v>
      </c>
      <c r="J344" s="1">
        <v>0.3</v>
      </c>
    </row>
    <row r="345" spans="1:10" x14ac:dyDescent="0.2">
      <c r="A345" s="1">
        <v>344</v>
      </c>
      <c r="B345" s="2">
        <v>40558</v>
      </c>
      <c r="C345" s="1">
        <v>1</v>
      </c>
      <c r="D345" s="1">
        <f t="shared" si="20"/>
        <v>2011</v>
      </c>
      <c r="E345" s="1" t="str">
        <f t="shared" si="21"/>
        <v>January</v>
      </c>
      <c r="F345" s="1">
        <v>19</v>
      </c>
      <c r="G345" s="1" t="b">
        <f t="shared" si="22"/>
        <v>0</v>
      </c>
      <c r="H345" s="1" t="str">
        <f t="shared" si="23"/>
        <v>Saturday</v>
      </c>
      <c r="I345" s="1">
        <v>2</v>
      </c>
      <c r="J345" s="1">
        <v>0.32</v>
      </c>
    </row>
    <row r="346" spans="1:10" x14ac:dyDescent="0.2">
      <c r="A346" s="1">
        <v>345</v>
      </c>
      <c r="B346" s="2">
        <v>40558</v>
      </c>
      <c r="C346" s="1">
        <v>1</v>
      </c>
      <c r="D346" s="1">
        <f t="shared" si="20"/>
        <v>2011</v>
      </c>
      <c r="E346" s="1" t="str">
        <f t="shared" si="21"/>
        <v>January</v>
      </c>
      <c r="F346" s="1">
        <v>20</v>
      </c>
      <c r="G346" s="1" t="b">
        <f t="shared" si="22"/>
        <v>0</v>
      </c>
      <c r="H346" s="1" t="str">
        <f t="shared" si="23"/>
        <v>Saturday</v>
      </c>
      <c r="I346" s="1">
        <v>2</v>
      </c>
      <c r="J346" s="1">
        <v>0.32</v>
      </c>
    </row>
    <row r="347" spans="1:10" x14ac:dyDescent="0.2">
      <c r="A347" s="1">
        <v>346</v>
      </c>
      <c r="B347" s="2">
        <v>40558</v>
      </c>
      <c r="C347" s="1">
        <v>1</v>
      </c>
      <c r="D347" s="1">
        <f t="shared" si="20"/>
        <v>2011</v>
      </c>
      <c r="E347" s="1" t="str">
        <f t="shared" si="21"/>
        <v>January</v>
      </c>
      <c r="F347" s="1">
        <v>21</v>
      </c>
      <c r="G347" s="1" t="b">
        <f t="shared" si="22"/>
        <v>0</v>
      </c>
      <c r="H347" s="1" t="str">
        <f t="shared" si="23"/>
        <v>Saturday</v>
      </c>
      <c r="I347" s="1">
        <v>2</v>
      </c>
      <c r="J347" s="1">
        <v>0.32</v>
      </c>
    </row>
    <row r="348" spans="1:10" x14ac:dyDescent="0.2">
      <c r="A348" s="1">
        <v>347</v>
      </c>
      <c r="B348" s="2">
        <v>40558</v>
      </c>
      <c r="C348" s="1">
        <v>1</v>
      </c>
      <c r="D348" s="1">
        <f t="shared" si="20"/>
        <v>2011</v>
      </c>
      <c r="E348" s="1" t="str">
        <f t="shared" si="21"/>
        <v>January</v>
      </c>
      <c r="F348" s="1">
        <v>22</v>
      </c>
      <c r="G348" s="1" t="b">
        <f t="shared" si="22"/>
        <v>0</v>
      </c>
      <c r="H348" s="1" t="str">
        <f t="shared" si="23"/>
        <v>Saturday</v>
      </c>
      <c r="I348" s="1">
        <v>2</v>
      </c>
      <c r="J348" s="1">
        <v>0.3</v>
      </c>
    </row>
    <row r="349" spans="1:10" x14ac:dyDescent="0.2">
      <c r="A349" s="1">
        <v>348</v>
      </c>
      <c r="B349" s="2">
        <v>40558</v>
      </c>
      <c r="C349" s="1">
        <v>1</v>
      </c>
      <c r="D349" s="1">
        <f t="shared" si="20"/>
        <v>2011</v>
      </c>
      <c r="E349" s="1" t="str">
        <f t="shared" si="21"/>
        <v>January</v>
      </c>
      <c r="F349" s="1">
        <v>23</v>
      </c>
      <c r="G349" s="1" t="b">
        <f t="shared" si="22"/>
        <v>0</v>
      </c>
      <c r="H349" s="1" t="str">
        <f t="shared" si="23"/>
        <v>Saturday</v>
      </c>
      <c r="I349" s="1">
        <v>1</v>
      </c>
      <c r="J349" s="1">
        <v>0.3</v>
      </c>
    </row>
    <row r="350" spans="1:10" x14ac:dyDescent="0.2">
      <c r="A350" s="1">
        <v>349</v>
      </c>
      <c r="B350" s="2">
        <v>40559</v>
      </c>
      <c r="C350" s="1">
        <v>1</v>
      </c>
      <c r="D350" s="1">
        <f t="shared" si="20"/>
        <v>2011</v>
      </c>
      <c r="E350" s="1" t="str">
        <f t="shared" si="21"/>
        <v>January</v>
      </c>
      <c r="F350" s="1">
        <v>0</v>
      </c>
      <c r="G350" s="1" t="b">
        <f t="shared" si="22"/>
        <v>1</v>
      </c>
      <c r="H350" s="1" t="str">
        <f t="shared" si="23"/>
        <v>Sunday</v>
      </c>
      <c r="I350" s="1">
        <v>1</v>
      </c>
      <c r="J350" s="1">
        <v>0.26</v>
      </c>
    </row>
    <row r="351" spans="1:10" x14ac:dyDescent="0.2">
      <c r="A351" s="1">
        <v>350</v>
      </c>
      <c r="B351" s="2">
        <v>40559</v>
      </c>
      <c r="C351" s="1">
        <v>1</v>
      </c>
      <c r="D351" s="1">
        <f t="shared" si="20"/>
        <v>2011</v>
      </c>
      <c r="E351" s="1" t="str">
        <f t="shared" si="21"/>
        <v>January</v>
      </c>
      <c r="F351" s="1">
        <v>1</v>
      </c>
      <c r="G351" s="1" t="b">
        <f t="shared" si="22"/>
        <v>1</v>
      </c>
      <c r="H351" s="1" t="str">
        <f t="shared" si="23"/>
        <v>Sunday</v>
      </c>
      <c r="I351" s="1">
        <v>1</v>
      </c>
      <c r="J351" s="1">
        <v>0.26</v>
      </c>
    </row>
    <row r="352" spans="1:10" x14ac:dyDescent="0.2">
      <c r="A352" s="1">
        <v>351</v>
      </c>
      <c r="B352" s="2">
        <v>40559</v>
      </c>
      <c r="C352" s="1">
        <v>1</v>
      </c>
      <c r="D352" s="1">
        <f t="shared" si="20"/>
        <v>2011</v>
      </c>
      <c r="E352" s="1" t="str">
        <f t="shared" si="21"/>
        <v>January</v>
      </c>
      <c r="F352" s="1">
        <v>2</v>
      </c>
      <c r="G352" s="1" t="b">
        <f t="shared" si="22"/>
        <v>1</v>
      </c>
      <c r="H352" s="1" t="str">
        <f t="shared" si="23"/>
        <v>Sunday</v>
      </c>
      <c r="I352" s="1">
        <v>1</v>
      </c>
      <c r="J352" s="1">
        <v>0.26</v>
      </c>
    </row>
    <row r="353" spans="1:10" x14ac:dyDescent="0.2">
      <c r="A353" s="1">
        <v>352</v>
      </c>
      <c r="B353" s="2">
        <v>40559</v>
      </c>
      <c r="C353" s="1">
        <v>1</v>
      </c>
      <c r="D353" s="1">
        <f t="shared" si="20"/>
        <v>2011</v>
      </c>
      <c r="E353" s="1" t="str">
        <f t="shared" si="21"/>
        <v>January</v>
      </c>
      <c r="F353" s="1">
        <v>3</v>
      </c>
      <c r="G353" s="1" t="b">
        <f t="shared" si="22"/>
        <v>1</v>
      </c>
      <c r="H353" s="1" t="str">
        <f t="shared" si="23"/>
        <v>Sunday</v>
      </c>
      <c r="I353" s="1">
        <v>1</v>
      </c>
      <c r="J353" s="1">
        <v>0.22</v>
      </c>
    </row>
    <row r="354" spans="1:10" x14ac:dyDescent="0.2">
      <c r="A354" s="1">
        <v>353</v>
      </c>
      <c r="B354" s="2">
        <v>40559</v>
      </c>
      <c r="C354" s="1">
        <v>1</v>
      </c>
      <c r="D354" s="1">
        <f t="shared" si="20"/>
        <v>2011</v>
      </c>
      <c r="E354" s="1" t="str">
        <f t="shared" si="21"/>
        <v>January</v>
      </c>
      <c r="F354" s="1">
        <v>4</v>
      </c>
      <c r="G354" s="1" t="b">
        <f t="shared" si="22"/>
        <v>1</v>
      </c>
      <c r="H354" s="1" t="str">
        <f t="shared" si="23"/>
        <v>Sunday</v>
      </c>
      <c r="I354" s="1">
        <v>1</v>
      </c>
      <c r="J354" s="1">
        <v>0.26</v>
      </c>
    </row>
    <row r="355" spans="1:10" x14ac:dyDescent="0.2">
      <c r="A355" s="1">
        <v>354</v>
      </c>
      <c r="B355" s="2">
        <v>40559</v>
      </c>
      <c r="C355" s="1">
        <v>1</v>
      </c>
      <c r="D355" s="1">
        <f t="shared" si="20"/>
        <v>2011</v>
      </c>
      <c r="E355" s="1" t="str">
        <f t="shared" si="21"/>
        <v>January</v>
      </c>
      <c r="F355" s="1">
        <v>5</v>
      </c>
      <c r="G355" s="1" t="b">
        <f t="shared" si="22"/>
        <v>1</v>
      </c>
      <c r="H355" s="1" t="str">
        <f t="shared" si="23"/>
        <v>Sunday</v>
      </c>
      <c r="I355" s="1">
        <v>2</v>
      </c>
      <c r="J355" s="1">
        <v>0.26</v>
      </c>
    </row>
    <row r="356" spans="1:10" x14ac:dyDescent="0.2">
      <c r="A356" s="1">
        <v>355</v>
      </c>
      <c r="B356" s="2">
        <v>40559</v>
      </c>
      <c r="C356" s="1">
        <v>1</v>
      </c>
      <c r="D356" s="1">
        <f t="shared" si="20"/>
        <v>2011</v>
      </c>
      <c r="E356" s="1" t="str">
        <f t="shared" si="21"/>
        <v>January</v>
      </c>
      <c r="F356" s="1">
        <v>6</v>
      </c>
      <c r="G356" s="1" t="b">
        <f t="shared" si="22"/>
        <v>1</v>
      </c>
      <c r="H356" s="1" t="str">
        <f t="shared" si="23"/>
        <v>Sunday</v>
      </c>
      <c r="I356" s="1">
        <v>2</v>
      </c>
      <c r="J356" s="1">
        <v>0.26</v>
      </c>
    </row>
    <row r="357" spans="1:10" x14ac:dyDescent="0.2">
      <c r="A357" s="1">
        <v>356</v>
      </c>
      <c r="B357" s="2">
        <v>40559</v>
      </c>
      <c r="C357" s="1">
        <v>1</v>
      </c>
      <c r="D357" s="1">
        <f t="shared" si="20"/>
        <v>2011</v>
      </c>
      <c r="E357" s="1" t="str">
        <f t="shared" si="21"/>
        <v>January</v>
      </c>
      <c r="F357" s="1">
        <v>7</v>
      </c>
      <c r="G357" s="1" t="b">
        <f t="shared" si="22"/>
        <v>1</v>
      </c>
      <c r="H357" s="1" t="str">
        <f t="shared" si="23"/>
        <v>Sunday</v>
      </c>
      <c r="I357" s="1">
        <v>2</v>
      </c>
      <c r="J357" s="1">
        <v>0.24</v>
      </c>
    </row>
    <row r="358" spans="1:10" x14ac:dyDescent="0.2">
      <c r="A358" s="1">
        <v>357</v>
      </c>
      <c r="B358" s="2">
        <v>40559</v>
      </c>
      <c r="C358" s="1">
        <v>1</v>
      </c>
      <c r="D358" s="1">
        <f t="shared" si="20"/>
        <v>2011</v>
      </c>
      <c r="E358" s="1" t="str">
        <f t="shared" si="21"/>
        <v>January</v>
      </c>
      <c r="F358" s="1">
        <v>8</v>
      </c>
      <c r="G358" s="1" t="b">
        <f t="shared" si="22"/>
        <v>1</v>
      </c>
      <c r="H358" s="1" t="str">
        <f t="shared" si="23"/>
        <v>Sunday</v>
      </c>
      <c r="I358" s="1">
        <v>1</v>
      </c>
      <c r="J358" s="1">
        <v>0.22</v>
      </c>
    </row>
    <row r="359" spans="1:10" x14ac:dyDescent="0.2">
      <c r="A359" s="1">
        <v>358</v>
      </c>
      <c r="B359" s="2">
        <v>40559</v>
      </c>
      <c r="C359" s="1">
        <v>1</v>
      </c>
      <c r="D359" s="1">
        <f t="shared" si="20"/>
        <v>2011</v>
      </c>
      <c r="E359" s="1" t="str">
        <f t="shared" si="21"/>
        <v>January</v>
      </c>
      <c r="F359" s="1">
        <v>9</v>
      </c>
      <c r="G359" s="1" t="b">
        <f t="shared" si="22"/>
        <v>1</v>
      </c>
      <c r="H359" s="1" t="str">
        <f t="shared" si="23"/>
        <v>Sunday</v>
      </c>
      <c r="I359" s="1">
        <v>1</v>
      </c>
      <c r="J359" s="1">
        <v>0.22</v>
      </c>
    </row>
    <row r="360" spans="1:10" x14ac:dyDescent="0.2">
      <c r="A360" s="1">
        <v>359</v>
      </c>
      <c r="B360" s="2">
        <v>40559</v>
      </c>
      <c r="C360" s="1">
        <v>1</v>
      </c>
      <c r="D360" s="1">
        <f t="shared" si="20"/>
        <v>2011</v>
      </c>
      <c r="E360" s="1" t="str">
        <f t="shared" si="21"/>
        <v>January</v>
      </c>
      <c r="F360" s="1">
        <v>10</v>
      </c>
      <c r="G360" s="1" t="b">
        <f t="shared" si="22"/>
        <v>1</v>
      </c>
      <c r="H360" s="1" t="str">
        <f t="shared" si="23"/>
        <v>Sunday</v>
      </c>
      <c r="I360" s="1">
        <v>1</v>
      </c>
      <c r="J360" s="1">
        <v>0.22</v>
      </c>
    </row>
    <row r="361" spans="1:10" x14ac:dyDescent="0.2">
      <c r="A361" s="1">
        <v>360</v>
      </c>
      <c r="B361" s="2">
        <v>40559</v>
      </c>
      <c r="C361" s="1">
        <v>1</v>
      </c>
      <c r="D361" s="1">
        <f t="shared" si="20"/>
        <v>2011</v>
      </c>
      <c r="E361" s="1" t="str">
        <f t="shared" si="21"/>
        <v>January</v>
      </c>
      <c r="F361" s="1">
        <v>11</v>
      </c>
      <c r="G361" s="1" t="b">
        <f t="shared" si="22"/>
        <v>1</v>
      </c>
      <c r="H361" s="1" t="str">
        <f t="shared" si="23"/>
        <v>Sunday</v>
      </c>
      <c r="I361" s="1">
        <v>1</v>
      </c>
      <c r="J361" s="1">
        <v>0.24</v>
      </c>
    </row>
    <row r="362" spans="1:10" x14ac:dyDescent="0.2">
      <c r="A362" s="1">
        <v>361</v>
      </c>
      <c r="B362" s="2">
        <v>40559</v>
      </c>
      <c r="C362" s="1">
        <v>1</v>
      </c>
      <c r="D362" s="1">
        <f t="shared" si="20"/>
        <v>2011</v>
      </c>
      <c r="E362" s="1" t="str">
        <f t="shared" si="21"/>
        <v>January</v>
      </c>
      <c r="F362" s="1">
        <v>12</v>
      </c>
      <c r="G362" s="1" t="b">
        <f t="shared" si="22"/>
        <v>1</v>
      </c>
      <c r="H362" s="1" t="str">
        <f t="shared" si="23"/>
        <v>Sunday</v>
      </c>
      <c r="I362" s="1">
        <v>1</v>
      </c>
      <c r="J362" s="1">
        <v>0.24</v>
      </c>
    </row>
    <row r="363" spans="1:10" x14ac:dyDescent="0.2">
      <c r="A363" s="1">
        <v>362</v>
      </c>
      <c r="B363" s="2">
        <v>40559</v>
      </c>
      <c r="C363" s="1">
        <v>1</v>
      </c>
      <c r="D363" s="1">
        <f t="shared" si="20"/>
        <v>2011</v>
      </c>
      <c r="E363" s="1" t="str">
        <f t="shared" si="21"/>
        <v>January</v>
      </c>
      <c r="F363" s="1">
        <v>13</v>
      </c>
      <c r="G363" s="1" t="b">
        <f t="shared" si="22"/>
        <v>1</v>
      </c>
      <c r="H363" s="1" t="str">
        <f t="shared" si="23"/>
        <v>Sunday</v>
      </c>
      <c r="I363" s="1">
        <v>1</v>
      </c>
      <c r="J363" s="1">
        <v>0.26</v>
      </c>
    </row>
    <row r="364" spans="1:10" x14ac:dyDescent="0.2">
      <c r="A364" s="1">
        <v>363</v>
      </c>
      <c r="B364" s="2">
        <v>40559</v>
      </c>
      <c r="C364" s="1">
        <v>1</v>
      </c>
      <c r="D364" s="1">
        <f t="shared" si="20"/>
        <v>2011</v>
      </c>
      <c r="E364" s="1" t="str">
        <f t="shared" si="21"/>
        <v>January</v>
      </c>
      <c r="F364" s="1">
        <v>14</v>
      </c>
      <c r="G364" s="1" t="b">
        <f t="shared" si="22"/>
        <v>1</v>
      </c>
      <c r="H364" s="1" t="str">
        <f t="shared" si="23"/>
        <v>Sunday</v>
      </c>
      <c r="I364" s="1">
        <v>1</v>
      </c>
      <c r="J364" s="1">
        <v>0.28000000000000003</v>
      </c>
    </row>
    <row r="365" spans="1:10" x14ac:dyDescent="0.2">
      <c r="A365" s="1">
        <v>364</v>
      </c>
      <c r="B365" s="2">
        <v>40559</v>
      </c>
      <c r="C365" s="1">
        <v>1</v>
      </c>
      <c r="D365" s="1">
        <f t="shared" si="20"/>
        <v>2011</v>
      </c>
      <c r="E365" s="1" t="str">
        <f t="shared" si="21"/>
        <v>January</v>
      </c>
      <c r="F365" s="1">
        <v>15</v>
      </c>
      <c r="G365" s="1" t="b">
        <f t="shared" si="22"/>
        <v>1</v>
      </c>
      <c r="H365" s="1" t="str">
        <f t="shared" si="23"/>
        <v>Sunday</v>
      </c>
      <c r="I365" s="1">
        <v>1</v>
      </c>
      <c r="J365" s="1">
        <v>0.26</v>
      </c>
    </row>
    <row r="366" spans="1:10" x14ac:dyDescent="0.2">
      <c r="A366" s="1">
        <v>365</v>
      </c>
      <c r="B366" s="2">
        <v>40559</v>
      </c>
      <c r="C366" s="1">
        <v>1</v>
      </c>
      <c r="D366" s="1">
        <f t="shared" si="20"/>
        <v>2011</v>
      </c>
      <c r="E366" s="1" t="str">
        <f t="shared" si="21"/>
        <v>January</v>
      </c>
      <c r="F366" s="1">
        <v>16</v>
      </c>
      <c r="G366" s="1" t="b">
        <f t="shared" si="22"/>
        <v>1</v>
      </c>
      <c r="H366" s="1" t="str">
        <f t="shared" si="23"/>
        <v>Sunday</v>
      </c>
      <c r="I366" s="1">
        <v>1</v>
      </c>
      <c r="J366" s="1">
        <v>0.24</v>
      </c>
    </row>
    <row r="367" spans="1:10" x14ac:dyDescent="0.2">
      <c r="A367" s="1">
        <v>366</v>
      </c>
      <c r="B367" s="2">
        <v>40559</v>
      </c>
      <c r="C367" s="1">
        <v>1</v>
      </c>
      <c r="D367" s="1">
        <f t="shared" si="20"/>
        <v>2011</v>
      </c>
      <c r="E367" s="1" t="str">
        <f t="shared" si="21"/>
        <v>January</v>
      </c>
      <c r="F367" s="1">
        <v>17</v>
      </c>
      <c r="G367" s="1" t="b">
        <f t="shared" si="22"/>
        <v>1</v>
      </c>
      <c r="H367" s="1" t="str">
        <f t="shared" si="23"/>
        <v>Sunday</v>
      </c>
      <c r="I367" s="1">
        <v>1</v>
      </c>
      <c r="J367" s="1">
        <v>0.22</v>
      </c>
    </row>
    <row r="368" spans="1:10" x14ac:dyDescent="0.2">
      <c r="A368" s="1">
        <v>367</v>
      </c>
      <c r="B368" s="2">
        <v>40559</v>
      </c>
      <c r="C368" s="1">
        <v>1</v>
      </c>
      <c r="D368" s="1">
        <f t="shared" si="20"/>
        <v>2011</v>
      </c>
      <c r="E368" s="1" t="str">
        <f t="shared" si="21"/>
        <v>January</v>
      </c>
      <c r="F368" s="1">
        <v>18</v>
      </c>
      <c r="G368" s="1" t="b">
        <f t="shared" si="22"/>
        <v>1</v>
      </c>
      <c r="H368" s="1" t="str">
        <f t="shared" si="23"/>
        <v>Sunday</v>
      </c>
      <c r="I368" s="1">
        <v>1</v>
      </c>
      <c r="J368" s="1">
        <v>0.2</v>
      </c>
    </row>
    <row r="369" spans="1:10" x14ac:dyDescent="0.2">
      <c r="A369" s="1">
        <v>368</v>
      </c>
      <c r="B369" s="2">
        <v>40559</v>
      </c>
      <c r="C369" s="1">
        <v>1</v>
      </c>
      <c r="D369" s="1">
        <f t="shared" si="20"/>
        <v>2011</v>
      </c>
      <c r="E369" s="1" t="str">
        <f t="shared" si="21"/>
        <v>January</v>
      </c>
      <c r="F369" s="1">
        <v>19</v>
      </c>
      <c r="G369" s="1" t="b">
        <f t="shared" si="22"/>
        <v>1</v>
      </c>
      <c r="H369" s="1" t="str">
        <f t="shared" si="23"/>
        <v>Sunday</v>
      </c>
      <c r="I369" s="1">
        <v>1</v>
      </c>
      <c r="J369" s="1">
        <v>0.18</v>
      </c>
    </row>
    <row r="370" spans="1:10" x14ac:dyDescent="0.2">
      <c r="A370" s="1">
        <v>369</v>
      </c>
      <c r="B370" s="2">
        <v>40559</v>
      </c>
      <c r="C370" s="1">
        <v>1</v>
      </c>
      <c r="D370" s="1">
        <f t="shared" si="20"/>
        <v>2011</v>
      </c>
      <c r="E370" s="1" t="str">
        <f t="shared" si="21"/>
        <v>January</v>
      </c>
      <c r="F370" s="1">
        <v>20</v>
      </c>
      <c r="G370" s="1" t="b">
        <f t="shared" si="22"/>
        <v>1</v>
      </c>
      <c r="H370" s="1" t="str">
        <f t="shared" si="23"/>
        <v>Sunday</v>
      </c>
      <c r="I370" s="1">
        <v>1</v>
      </c>
      <c r="J370" s="1">
        <v>0.18</v>
      </c>
    </row>
    <row r="371" spans="1:10" x14ac:dyDescent="0.2">
      <c r="A371" s="1">
        <v>370</v>
      </c>
      <c r="B371" s="2">
        <v>40559</v>
      </c>
      <c r="C371" s="1">
        <v>1</v>
      </c>
      <c r="D371" s="1">
        <f t="shared" si="20"/>
        <v>2011</v>
      </c>
      <c r="E371" s="1" t="str">
        <f t="shared" si="21"/>
        <v>January</v>
      </c>
      <c r="F371" s="1">
        <v>21</v>
      </c>
      <c r="G371" s="1" t="b">
        <f t="shared" si="22"/>
        <v>1</v>
      </c>
      <c r="H371" s="1" t="str">
        <f t="shared" si="23"/>
        <v>Sunday</v>
      </c>
      <c r="I371" s="1">
        <v>1</v>
      </c>
      <c r="J371" s="1">
        <v>0.18</v>
      </c>
    </row>
    <row r="372" spans="1:10" x14ac:dyDescent="0.2">
      <c r="A372" s="1">
        <v>371</v>
      </c>
      <c r="B372" s="2">
        <v>40559</v>
      </c>
      <c r="C372" s="1">
        <v>1</v>
      </c>
      <c r="D372" s="1">
        <f t="shared" si="20"/>
        <v>2011</v>
      </c>
      <c r="E372" s="1" t="str">
        <f t="shared" si="21"/>
        <v>January</v>
      </c>
      <c r="F372" s="1">
        <v>22</v>
      </c>
      <c r="G372" s="1" t="b">
        <f t="shared" si="22"/>
        <v>1</v>
      </c>
      <c r="H372" s="1" t="str">
        <f t="shared" si="23"/>
        <v>Sunday</v>
      </c>
      <c r="I372" s="1">
        <v>2</v>
      </c>
      <c r="J372" s="1">
        <v>0.2</v>
      </c>
    </row>
    <row r="373" spans="1:10" x14ac:dyDescent="0.2">
      <c r="A373" s="1">
        <v>372</v>
      </c>
      <c r="B373" s="2">
        <v>40559</v>
      </c>
      <c r="C373" s="1">
        <v>1</v>
      </c>
      <c r="D373" s="1">
        <f t="shared" si="20"/>
        <v>2011</v>
      </c>
      <c r="E373" s="1" t="str">
        <f t="shared" si="21"/>
        <v>January</v>
      </c>
      <c r="F373" s="1">
        <v>23</v>
      </c>
      <c r="G373" s="1" t="b">
        <f t="shared" si="22"/>
        <v>1</v>
      </c>
      <c r="H373" s="1" t="str">
        <f t="shared" si="23"/>
        <v>Sunday</v>
      </c>
      <c r="I373" s="1">
        <v>2</v>
      </c>
      <c r="J373" s="1">
        <v>0.2</v>
      </c>
    </row>
    <row r="374" spans="1:10" x14ac:dyDescent="0.2">
      <c r="A374" s="1">
        <v>373</v>
      </c>
      <c r="B374" s="2">
        <v>40560</v>
      </c>
      <c r="C374" s="1">
        <v>1</v>
      </c>
      <c r="D374" s="1">
        <f t="shared" si="20"/>
        <v>2011</v>
      </c>
      <c r="E374" s="1" t="str">
        <f t="shared" si="21"/>
        <v>January</v>
      </c>
      <c r="F374" s="1">
        <v>0</v>
      </c>
      <c r="G374" s="1" t="b">
        <f t="shared" si="22"/>
        <v>0</v>
      </c>
      <c r="H374" s="1" t="str">
        <f t="shared" si="23"/>
        <v>Monday</v>
      </c>
      <c r="I374" s="1">
        <v>2</v>
      </c>
      <c r="J374" s="1">
        <v>0.2</v>
      </c>
    </row>
    <row r="375" spans="1:10" x14ac:dyDescent="0.2">
      <c r="A375" s="1">
        <v>374</v>
      </c>
      <c r="B375" s="2">
        <v>40560</v>
      </c>
      <c r="C375" s="1">
        <v>1</v>
      </c>
      <c r="D375" s="1">
        <f t="shared" si="20"/>
        <v>2011</v>
      </c>
      <c r="E375" s="1" t="str">
        <f t="shared" si="21"/>
        <v>January</v>
      </c>
      <c r="F375" s="1">
        <v>1</v>
      </c>
      <c r="G375" s="1" t="b">
        <f t="shared" si="22"/>
        <v>0</v>
      </c>
      <c r="H375" s="1" t="str">
        <f t="shared" si="23"/>
        <v>Monday</v>
      </c>
      <c r="I375" s="1">
        <v>2</v>
      </c>
      <c r="J375" s="1">
        <v>0.2</v>
      </c>
    </row>
    <row r="376" spans="1:10" x14ac:dyDescent="0.2">
      <c r="A376" s="1">
        <v>375</v>
      </c>
      <c r="B376" s="2">
        <v>40560</v>
      </c>
      <c r="C376" s="1">
        <v>1</v>
      </c>
      <c r="D376" s="1">
        <f t="shared" si="20"/>
        <v>2011</v>
      </c>
      <c r="E376" s="1" t="str">
        <f t="shared" si="21"/>
        <v>January</v>
      </c>
      <c r="F376" s="1">
        <v>2</v>
      </c>
      <c r="G376" s="1" t="b">
        <f t="shared" si="22"/>
        <v>0</v>
      </c>
      <c r="H376" s="1" t="str">
        <f t="shared" si="23"/>
        <v>Monday</v>
      </c>
      <c r="I376" s="1">
        <v>2</v>
      </c>
      <c r="J376" s="1">
        <v>0.18</v>
      </c>
    </row>
    <row r="377" spans="1:10" x14ac:dyDescent="0.2">
      <c r="A377" s="1">
        <v>376</v>
      </c>
      <c r="B377" s="2">
        <v>40560</v>
      </c>
      <c r="C377" s="1">
        <v>1</v>
      </c>
      <c r="D377" s="1">
        <f t="shared" si="20"/>
        <v>2011</v>
      </c>
      <c r="E377" s="1" t="str">
        <f t="shared" si="21"/>
        <v>January</v>
      </c>
      <c r="F377" s="1">
        <v>3</v>
      </c>
      <c r="G377" s="1" t="b">
        <f t="shared" si="22"/>
        <v>0</v>
      </c>
      <c r="H377" s="1" t="str">
        <f t="shared" si="23"/>
        <v>Monday</v>
      </c>
      <c r="I377" s="1">
        <v>2</v>
      </c>
      <c r="J377" s="1">
        <v>0.18</v>
      </c>
    </row>
    <row r="378" spans="1:10" x14ac:dyDescent="0.2">
      <c r="A378" s="1">
        <v>377</v>
      </c>
      <c r="B378" s="2">
        <v>40560</v>
      </c>
      <c r="C378" s="1">
        <v>1</v>
      </c>
      <c r="D378" s="1">
        <f t="shared" si="20"/>
        <v>2011</v>
      </c>
      <c r="E378" s="1" t="str">
        <f t="shared" si="21"/>
        <v>January</v>
      </c>
      <c r="F378" s="1">
        <v>4</v>
      </c>
      <c r="G378" s="1" t="b">
        <f t="shared" si="22"/>
        <v>0</v>
      </c>
      <c r="H378" s="1" t="str">
        <f t="shared" si="23"/>
        <v>Monday</v>
      </c>
      <c r="I378" s="1">
        <v>2</v>
      </c>
      <c r="J378" s="1">
        <v>0.18</v>
      </c>
    </row>
    <row r="379" spans="1:10" x14ac:dyDescent="0.2">
      <c r="A379" s="1">
        <v>378</v>
      </c>
      <c r="B379" s="2">
        <v>40560</v>
      </c>
      <c r="C379" s="1">
        <v>1</v>
      </c>
      <c r="D379" s="1">
        <f t="shared" si="20"/>
        <v>2011</v>
      </c>
      <c r="E379" s="1" t="str">
        <f t="shared" si="21"/>
        <v>January</v>
      </c>
      <c r="F379" s="1">
        <v>5</v>
      </c>
      <c r="G379" s="1" t="b">
        <f t="shared" si="22"/>
        <v>0</v>
      </c>
      <c r="H379" s="1" t="str">
        <f t="shared" si="23"/>
        <v>Monday</v>
      </c>
      <c r="I379" s="1">
        <v>2</v>
      </c>
      <c r="J379" s="1">
        <v>0.18</v>
      </c>
    </row>
    <row r="380" spans="1:10" x14ac:dyDescent="0.2">
      <c r="A380" s="1">
        <v>379</v>
      </c>
      <c r="B380" s="2">
        <v>40560</v>
      </c>
      <c r="C380" s="1">
        <v>1</v>
      </c>
      <c r="D380" s="1">
        <f t="shared" si="20"/>
        <v>2011</v>
      </c>
      <c r="E380" s="1" t="str">
        <f t="shared" si="21"/>
        <v>January</v>
      </c>
      <c r="F380" s="1">
        <v>6</v>
      </c>
      <c r="G380" s="1" t="b">
        <f t="shared" si="22"/>
        <v>0</v>
      </c>
      <c r="H380" s="1" t="str">
        <f t="shared" si="23"/>
        <v>Monday</v>
      </c>
      <c r="I380" s="1">
        <v>2</v>
      </c>
      <c r="J380" s="1">
        <v>0.18</v>
      </c>
    </row>
    <row r="381" spans="1:10" x14ac:dyDescent="0.2">
      <c r="A381" s="1">
        <v>380</v>
      </c>
      <c r="B381" s="2">
        <v>40560</v>
      </c>
      <c r="C381" s="1">
        <v>1</v>
      </c>
      <c r="D381" s="1">
        <f t="shared" si="20"/>
        <v>2011</v>
      </c>
      <c r="E381" s="1" t="str">
        <f t="shared" si="21"/>
        <v>January</v>
      </c>
      <c r="F381" s="1">
        <v>7</v>
      </c>
      <c r="G381" s="1" t="b">
        <f t="shared" si="22"/>
        <v>0</v>
      </c>
      <c r="H381" s="1" t="str">
        <f t="shared" si="23"/>
        <v>Monday</v>
      </c>
      <c r="I381" s="1">
        <v>2</v>
      </c>
      <c r="J381" s="1">
        <v>0.16</v>
      </c>
    </row>
    <row r="382" spans="1:10" x14ac:dyDescent="0.2">
      <c r="A382" s="1">
        <v>381</v>
      </c>
      <c r="B382" s="2">
        <v>40560</v>
      </c>
      <c r="C382" s="1">
        <v>1</v>
      </c>
      <c r="D382" s="1">
        <f t="shared" si="20"/>
        <v>2011</v>
      </c>
      <c r="E382" s="1" t="str">
        <f t="shared" si="21"/>
        <v>January</v>
      </c>
      <c r="F382" s="1">
        <v>8</v>
      </c>
      <c r="G382" s="1" t="b">
        <f t="shared" si="22"/>
        <v>0</v>
      </c>
      <c r="H382" s="1" t="str">
        <f t="shared" si="23"/>
        <v>Monday</v>
      </c>
      <c r="I382" s="1">
        <v>2</v>
      </c>
      <c r="J382" s="1">
        <v>0.16</v>
      </c>
    </row>
    <row r="383" spans="1:10" x14ac:dyDescent="0.2">
      <c r="A383" s="1">
        <v>382</v>
      </c>
      <c r="B383" s="2">
        <v>40560</v>
      </c>
      <c r="C383" s="1">
        <v>1</v>
      </c>
      <c r="D383" s="1">
        <f t="shared" si="20"/>
        <v>2011</v>
      </c>
      <c r="E383" s="1" t="str">
        <f t="shared" si="21"/>
        <v>January</v>
      </c>
      <c r="F383" s="1">
        <v>9</v>
      </c>
      <c r="G383" s="1" t="b">
        <f t="shared" si="22"/>
        <v>0</v>
      </c>
      <c r="H383" s="1" t="str">
        <f t="shared" si="23"/>
        <v>Monday</v>
      </c>
      <c r="I383" s="1">
        <v>2</v>
      </c>
      <c r="J383" s="1">
        <v>0.16</v>
      </c>
    </row>
    <row r="384" spans="1:10" x14ac:dyDescent="0.2">
      <c r="A384" s="1">
        <v>383</v>
      </c>
      <c r="B384" s="2">
        <v>40560</v>
      </c>
      <c r="C384" s="1">
        <v>1</v>
      </c>
      <c r="D384" s="1">
        <f t="shared" si="20"/>
        <v>2011</v>
      </c>
      <c r="E384" s="1" t="str">
        <f t="shared" si="21"/>
        <v>January</v>
      </c>
      <c r="F384" s="1">
        <v>10</v>
      </c>
      <c r="G384" s="1" t="b">
        <f t="shared" si="22"/>
        <v>0</v>
      </c>
      <c r="H384" s="1" t="str">
        <f t="shared" si="23"/>
        <v>Monday</v>
      </c>
      <c r="I384" s="1">
        <v>2</v>
      </c>
      <c r="J384" s="1">
        <v>0.16</v>
      </c>
    </row>
    <row r="385" spans="1:10" x14ac:dyDescent="0.2">
      <c r="A385" s="1">
        <v>384</v>
      </c>
      <c r="B385" s="2">
        <v>40560</v>
      </c>
      <c r="C385" s="1">
        <v>1</v>
      </c>
      <c r="D385" s="1">
        <f t="shared" si="20"/>
        <v>2011</v>
      </c>
      <c r="E385" s="1" t="str">
        <f t="shared" si="21"/>
        <v>January</v>
      </c>
      <c r="F385" s="1">
        <v>11</v>
      </c>
      <c r="G385" s="1" t="b">
        <f t="shared" si="22"/>
        <v>0</v>
      </c>
      <c r="H385" s="1" t="str">
        <f t="shared" si="23"/>
        <v>Monday</v>
      </c>
      <c r="I385" s="1">
        <v>2</v>
      </c>
      <c r="J385" s="1">
        <v>0.16</v>
      </c>
    </row>
    <row r="386" spans="1:10" x14ac:dyDescent="0.2">
      <c r="A386" s="1">
        <v>385</v>
      </c>
      <c r="B386" s="2">
        <v>40560</v>
      </c>
      <c r="C386" s="1">
        <v>1</v>
      </c>
      <c r="D386" s="1">
        <f t="shared" si="20"/>
        <v>2011</v>
      </c>
      <c r="E386" s="1" t="str">
        <f t="shared" si="21"/>
        <v>January</v>
      </c>
      <c r="F386" s="1">
        <v>12</v>
      </c>
      <c r="G386" s="1" t="b">
        <f t="shared" si="22"/>
        <v>0</v>
      </c>
      <c r="H386" s="1" t="str">
        <f t="shared" si="23"/>
        <v>Monday</v>
      </c>
      <c r="I386" s="1">
        <v>2</v>
      </c>
      <c r="J386" s="1">
        <v>0.18</v>
      </c>
    </row>
    <row r="387" spans="1:10" x14ac:dyDescent="0.2">
      <c r="A387" s="1">
        <v>386</v>
      </c>
      <c r="B387" s="2">
        <v>40560</v>
      </c>
      <c r="C387" s="1">
        <v>1</v>
      </c>
      <c r="D387" s="1">
        <f t="shared" ref="D387:D450" si="24">YEAR(B387)</f>
        <v>2011</v>
      </c>
      <c r="E387" s="1" t="str">
        <f t="shared" ref="E387:E450" si="25">TEXT(B387,"MMMM")</f>
        <v>January</v>
      </c>
      <c r="F387" s="1">
        <v>13</v>
      </c>
      <c r="G387" s="1" t="b">
        <f t="shared" ref="G387:G450" si="26">IF(H387="Sunday",TRUE,FALSE)</f>
        <v>0</v>
      </c>
      <c r="H387" s="1" t="str">
        <f t="shared" ref="H387:H450" si="27">TEXT(B387,"DDDD")</f>
        <v>Monday</v>
      </c>
      <c r="I387" s="1">
        <v>2</v>
      </c>
      <c r="J387" s="1">
        <v>0.18</v>
      </c>
    </row>
    <row r="388" spans="1:10" x14ac:dyDescent="0.2">
      <c r="A388" s="1">
        <v>387</v>
      </c>
      <c r="B388" s="2">
        <v>40560</v>
      </c>
      <c r="C388" s="1">
        <v>1</v>
      </c>
      <c r="D388" s="1">
        <f t="shared" si="24"/>
        <v>2011</v>
      </c>
      <c r="E388" s="1" t="str">
        <f t="shared" si="25"/>
        <v>January</v>
      </c>
      <c r="F388" s="1">
        <v>14</v>
      </c>
      <c r="G388" s="1" t="b">
        <f t="shared" si="26"/>
        <v>0</v>
      </c>
      <c r="H388" s="1" t="str">
        <f t="shared" si="27"/>
        <v>Monday</v>
      </c>
      <c r="I388" s="1">
        <v>2</v>
      </c>
      <c r="J388" s="1">
        <v>0.18</v>
      </c>
    </row>
    <row r="389" spans="1:10" x14ac:dyDescent="0.2">
      <c r="A389" s="1">
        <v>388</v>
      </c>
      <c r="B389" s="2">
        <v>40560</v>
      </c>
      <c r="C389" s="1">
        <v>1</v>
      </c>
      <c r="D389" s="1">
        <f t="shared" si="24"/>
        <v>2011</v>
      </c>
      <c r="E389" s="1" t="str">
        <f t="shared" si="25"/>
        <v>January</v>
      </c>
      <c r="F389" s="1">
        <v>15</v>
      </c>
      <c r="G389" s="1" t="b">
        <f t="shared" si="26"/>
        <v>0</v>
      </c>
      <c r="H389" s="1" t="str">
        <f t="shared" si="27"/>
        <v>Monday</v>
      </c>
      <c r="I389" s="1">
        <v>2</v>
      </c>
      <c r="J389" s="1">
        <v>0.2</v>
      </c>
    </row>
    <row r="390" spans="1:10" x14ac:dyDescent="0.2">
      <c r="A390" s="1">
        <v>389</v>
      </c>
      <c r="B390" s="2">
        <v>40560</v>
      </c>
      <c r="C390" s="1">
        <v>1</v>
      </c>
      <c r="D390" s="1">
        <f t="shared" si="24"/>
        <v>2011</v>
      </c>
      <c r="E390" s="1" t="str">
        <f t="shared" si="25"/>
        <v>January</v>
      </c>
      <c r="F390" s="1">
        <v>16</v>
      </c>
      <c r="G390" s="1" t="b">
        <f t="shared" si="26"/>
        <v>0</v>
      </c>
      <c r="H390" s="1" t="str">
        <f t="shared" si="27"/>
        <v>Monday</v>
      </c>
      <c r="I390" s="1">
        <v>2</v>
      </c>
      <c r="J390" s="1">
        <v>0.2</v>
      </c>
    </row>
    <row r="391" spans="1:10" x14ac:dyDescent="0.2">
      <c r="A391" s="1">
        <v>390</v>
      </c>
      <c r="B391" s="2">
        <v>40560</v>
      </c>
      <c r="C391" s="1">
        <v>1</v>
      </c>
      <c r="D391" s="1">
        <f t="shared" si="24"/>
        <v>2011</v>
      </c>
      <c r="E391" s="1" t="str">
        <f t="shared" si="25"/>
        <v>January</v>
      </c>
      <c r="F391" s="1">
        <v>17</v>
      </c>
      <c r="G391" s="1" t="b">
        <f t="shared" si="26"/>
        <v>0</v>
      </c>
      <c r="H391" s="1" t="str">
        <f t="shared" si="27"/>
        <v>Monday</v>
      </c>
      <c r="I391" s="1">
        <v>1</v>
      </c>
      <c r="J391" s="1">
        <v>0.2</v>
      </c>
    </row>
    <row r="392" spans="1:10" x14ac:dyDescent="0.2">
      <c r="A392" s="1">
        <v>391</v>
      </c>
      <c r="B392" s="2">
        <v>40560</v>
      </c>
      <c r="C392" s="1">
        <v>1</v>
      </c>
      <c r="D392" s="1">
        <f t="shared" si="24"/>
        <v>2011</v>
      </c>
      <c r="E392" s="1" t="str">
        <f t="shared" si="25"/>
        <v>January</v>
      </c>
      <c r="F392" s="1">
        <v>18</v>
      </c>
      <c r="G392" s="1" t="b">
        <f t="shared" si="26"/>
        <v>0</v>
      </c>
      <c r="H392" s="1" t="str">
        <f t="shared" si="27"/>
        <v>Monday</v>
      </c>
      <c r="I392" s="1">
        <v>2</v>
      </c>
      <c r="J392" s="1">
        <v>0.18</v>
      </c>
    </row>
    <row r="393" spans="1:10" x14ac:dyDescent="0.2">
      <c r="A393" s="1">
        <v>392</v>
      </c>
      <c r="B393" s="2">
        <v>40560</v>
      </c>
      <c r="C393" s="1">
        <v>1</v>
      </c>
      <c r="D393" s="1">
        <f t="shared" si="24"/>
        <v>2011</v>
      </c>
      <c r="E393" s="1" t="str">
        <f t="shared" si="25"/>
        <v>January</v>
      </c>
      <c r="F393" s="1">
        <v>19</v>
      </c>
      <c r="G393" s="1" t="b">
        <f t="shared" si="26"/>
        <v>0</v>
      </c>
      <c r="H393" s="1" t="str">
        <f t="shared" si="27"/>
        <v>Monday</v>
      </c>
      <c r="I393" s="1">
        <v>3</v>
      </c>
      <c r="J393" s="1">
        <v>0.18</v>
      </c>
    </row>
    <row r="394" spans="1:10" x14ac:dyDescent="0.2">
      <c r="A394" s="1">
        <v>393</v>
      </c>
      <c r="B394" s="2">
        <v>40560</v>
      </c>
      <c r="C394" s="1">
        <v>1</v>
      </c>
      <c r="D394" s="1">
        <f t="shared" si="24"/>
        <v>2011</v>
      </c>
      <c r="E394" s="1" t="str">
        <f t="shared" si="25"/>
        <v>January</v>
      </c>
      <c r="F394" s="1">
        <v>20</v>
      </c>
      <c r="G394" s="1" t="b">
        <f t="shared" si="26"/>
        <v>0</v>
      </c>
      <c r="H394" s="1" t="str">
        <f t="shared" si="27"/>
        <v>Monday</v>
      </c>
      <c r="I394" s="1">
        <v>3</v>
      </c>
      <c r="J394" s="1">
        <v>0.16</v>
      </c>
    </row>
    <row r="395" spans="1:10" x14ac:dyDescent="0.2">
      <c r="A395" s="1">
        <v>394</v>
      </c>
      <c r="B395" s="2">
        <v>40560</v>
      </c>
      <c r="C395" s="1">
        <v>1</v>
      </c>
      <c r="D395" s="1">
        <f t="shared" si="24"/>
        <v>2011</v>
      </c>
      <c r="E395" s="1" t="str">
        <f t="shared" si="25"/>
        <v>January</v>
      </c>
      <c r="F395" s="1">
        <v>21</v>
      </c>
      <c r="G395" s="1" t="b">
        <f t="shared" si="26"/>
        <v>0</v>
      </c>
      <c r="H395" s="1" t="str">
        <f t="shared" si="27"/>
        <v>Monday</v>
      </c>
      <c r="I395" s="1">
        <v>3</v>
      </c>
      <c r="J395" s="1">
        <v>0.16</v>
      </c>
    </row>
    <row r="396" spans="1:10" x14ac:dyDescent="0.2">
      <c r="A396" s="1">
        <v>395</v>
      </c>
      <c r="B396" s="2">
        <v>40560</v>
      </c>
      <c r="C396" s="1">
        <v>1</v>
      </c>
      <c r="D396" s="1">
        <f t="shared" si="24"/>
        <v>2011</v>
      </c>
      <c r="E396" s="1" t="str">
        <f t="shared" si="25"/>
        <v>January</v>
      </c>
      <c r="F396" s="1">
        <v>22</v>
      </c>
      <c r="G396" s="1" t="b">
        <f t="shared" si="26"/>
        <v>0</v>
      </c>
      <c r="H396" s="1" t="str">
        <f t="shared" si="27"/>
        <v>Monday</v>
      </c>
      <c r="I396" s="1">
        <v>3</v>
      </c>
      <c r="J396" s="1">
        <v>0.14000000000000001</v>
      </c>
    </row>
    <row r="397" spans="1:10" x14ac:dyDescent="0.2">
      <c r="A397" s="1">
        <v>396</v>
      </c>
      <c r="B397" s="2">
        <v>40560</v>
      </c>
      <c r="C397" s="1">
        <v>1</v>
      </c>
      <c r="D397" s="1">
        <f t="shared" si="24"/>
        <v>2011</v>
      </c>
      <c r="E397" s="1" t="str">
        <f t="shared" si="25"/>
        <v>January</v>
      </c>
      <c r="F397" s="1">
        <v>23</v>
      </c>
      <c r="G397" s="1" t="b">
        <f t="shared" si="26"/>
        <v>0</v>
      </c>
      <c r="H397" s="1" t="str">
        <f t="shared" si="27"/>
        <v>Monday</v>
      </c>
      <c r="I397" s="1">
        <v>3</v>
      </c>
      <c r="J397" s="1">
        <v>0.16</v>
      </c>
    </row>
    <row r="398" spans="1:10" x14ac:dyDescent="0.2">
      <c r="A398" s="1">
        <v>397</v>
      </c>
      <c r="B398" s="2">
        <v>40561</v>
      </c>
      <c r="C398" s="1">
        <v>1</v>
      </c>
      <c r="D398" s="1">
        <f t="shared" si="24"/>
        <v>2011</v>
      </c>
      <c r="E398" s="1" t="str">
        <f t="shared" si="25"/>
        <v>January</v>
      </c>
      <c r="F398" s="1">
        <v>12</v>
      </c>
      <c r="G398" s="1" t="b">
        <f t="shared" si="26"/>
        <v>0</v>
      </c>
      <c r="H398" s="1" t="str">
        <f t="shared" si="27"/>
        <v>Tuesday</v>
      </c>
      <c r="I398" s="1">
        <v>2</v>
      </c>
      <c r="J398" s="1">
        <v>0.2</v>
      </c>
    </row>
    <row r="399" spans="1:10" x14ac:dyDescent="0.2">
      <c r="A399" s="1">
        <v>398</v>
      </c>
      <c r="B399" s="2">
        <v>40561</v>
      </c>
      <c r="C399" s="1">
        <v>1</v>
      </c>
      <c r="D399" s="1">
        <f t="shared" si="24"/>
        <v>2011</v>
      </c>
      <c r="E399" s="1" t="str">
        <f t="shared" si="25"/>
        <v>January</v>
      </c>
      <c r="F399" s="1">
        <v>13</v>
      </c>
      <c r="G399" s="1" t="b">
        <f t="shared" si="26"/>
        <v>0</v>
      </c>
      <c r="H399" s="1" t="str">
        <f t="shared" si="27"/>
        <v>Tuesday</v>
      </c>
      <c r="I399" s="1">
        <v>2</v>
      </c>
      <c r="J399" s="1">
        <v>0.2</v>
      </c>
    </row>
    <row r="400" spans="1:10" x14ac:dyDescent="0.2">
      <c r="A400" s="1">
        <v>399</v>
      </c>
      <c r="B400" s="2">
        <v>40561</v>
      </c>
      <c r="C400" s="1">
        <v>1</v>
      </c>
      <c r="D400" s="1">
        <f t="shared" si="24"/>
        <v>2011</v>
      </c>
      <c r="E400" s="1" t="str">
        <f t="shared" si="25"/>
        <v>January</v>
      </c>
      <c r="F400" s="1">
        <v>14</v>
      </c>
      <c r="G400" s="1" t="b">
        <f t="shared" si="26"/>
        <v>0</v>
      </c>
      <c r="H400" s="1" t="str">
        <f t="shared" si="27"/>
        <v>Tuesday</v>
      </c>
      <c r="I400" s="1">
        <v>2</v>
      </c>
      <c r="J400" s="1">
        <v>0.22</v>
      </c>
    </row>
    <row r="401" spans="1:10" x14ac:dyDescent="0.2">
      <c r="A401" s="1">
        <v>400</v>
      </c>
      <c r="B401" s="2">
        <v>40561</v>
      </c>
      <c r="C401" s="1">
        <v>1</v>
      </c>
      <c r="D401" s="1">
        <f t="shared" si="24"/>
        <v>2011</v>
      </c>
      <c r="E401" s="1" t="str">
        <f t="shared" si="25"/>
        <v>January</v>
      </c>
      <c r="F401" s="1">
        <v>15</v>
      </c>
      <c r="G401" s="1" t="b">
        <f t="shared" si="26"/>
        <v>0</v>
      </c>
      <c r="H401" s="1" t="str">
        <f t="shared" si="27"/>
        <v>Tuesday</v>
      </c>
      <c r="I401" s="1">
        <v>2</v>
      </c>
      <c r="J401" s="1">
        <v>0.22</v>
      </c>
    </row>
    <row r="402" spans="1:10" x14ac:dyDescent="0.2">
      <c r="A402" s="1">
        <v>401</v>
      </c>
      <c r="B402" s="2">
        <v>40561</v>
      </c>
      <c r="C402" s="1">
        <v>1</v>
      </c>
      <c r="D402" s="1">
        <f t="shared" si="24"/>
        <v>2011</v>
      </c>
      <c r="E402" s="1" t="str">
        <f t="shared" si="25"/>
        <v>January</v>
      </c>
      <c r="F402" s="1">
        <v>16</v>
      </c>
      <c r="G402" s="1" t="b">
        <f t="shared" si="26"/>
        <v>0</v>
      </c>
      <c r="H402" s="1" t="str">
        <f t="shared" si="27"/>
        <v>Tuesday</v>
      </c>
      <c r="I402" s="1">
        <v>2</v>
      </c>
      <c r="J402" s="1">
        <v>0.22</v>
      </c>
    </row>
    <row r="403" spans="1:10" x14ac:dyDescent="0.2">
      <c r="A403" s="1">
        <v>402</v>
      </c>
      <c r="B403" s="2">
        <v>40561</v>
      </c>
      <c r="C403" s="1">
        <v>1</v>
      </c>
      <c r="D403" s="1">
        <f t="shared" si="24"/>
        <v>2011</v>
      </c>
      <c r="E403" s="1" t="str">
        <f t="shared" si="25"/>
        <v>January</v>
      </c>
      <c r="F403" s="1">
        <v>17</v>
      </c>
      <c r="G403" s="1" t="b">
        <f t="shared" si="26"/>
        <v>0</v>
      </c>
      <c r="H403" s="1" t="str">
        <f t="shared" si="27"/>
        <v>Tuesday</v>
      </c>
      <c r="I403" s="1">
        <v>2</v>
      </c>
      <c r="J403" s="1">
        <v>0.22</v>
      </c>
    </row>
    <row r="404" spans="1:10" x14ac:dyDescent="0.2">
      <c r="A404" s="1">
        <v>403</v>
      </c>
      <c r="B404" s="2">
        <v>40561</v>
      </c>
      <c r="C404" s="1">
        <v>1</v>
      </c>
      <c r="D404" s="1">
        <f t="shared" si="24"/>
        <v>2011</v>
      </c>
      <c r="E404" s="1" t="str">
        <f t="shared" si="25"/>
        <v>January</v>
      </c>
      <c r="F404" s="1">
        <v>18</v>
      </c>
      <c r="G404" s="1" t="b">
        <f t="shared" si="26"/>
        <v>0</v>
      </c>
      <c r="H404" s="1" t="str">
        <f t="shared" si="27"/>
        <v>Tuesday</v>
      </c>
      <c r="I404" s="1">
        <v>2</v>
      </c>
      <c r="J404" s="1">
        <v>0.22</v>
      </c>
    </row>
    <row r="405" spans="1:10" x14ac:dyDescent="0.2">
      <c r="A405" s="1">
        <v>404</v>
      </c>
      <c r="B405" s="2">
        <v>40561</v>
      </c>
      <c r="C405" s="1">
        <v>1</v>
      </c>
      <c r="D405" s="1">
        <f t="shared" si="24"/>
        <v>2011</v>
      </c>
      <c r="E405" s="1" t="str">
        <f t="shared" si="25"/>
        <v>January</v>
      </c>
      <c r="F405" s="1">
        <v>19</v>
      </c>
      <c r="G405" s="1" t="b">
        <f t="shared" si="26"/>
        <v>0</v>
      </c>
      <c r="H405" s="1" t="str">
        <f t="shared" si="27"/>
        <v>Tuesday</v>
      </c>
      <c r="I405" s="1">
        <v>2</v>
      </c>
      <c r="J405" s="1">
        <v>0.22</v>
      </c>
    </row>
    <row r="406" spans="1:10" x14ac:dyDescent="0.2">
      <c r="A406" s="1">
        <v>405</v>
      </c>
      <c r="B406" s="2">
        <v>40561</v>
      </c>
      <c r="C406" s="1">
        <v>1</v>
      </c>
      <c r="D406" s="1">
        <f t="shared" si="24"/>
        <v>2011</v>
      </c>
      <c r="E406" s="1" t="str">
        <f t="shared" si="25"/>
        <v>January</v>
      </c>
      <c r="F406" s="1">
        <v>20</v>
      </c>
      <c r="G406" s="1" t="b">
        <f t="shared" si="26"/>
        <v>0</v>
      </c>
      <c r="H406" s="1" t="str">
        <f t="shared" si="27"/>
        <v>Tuesday</v>
      </c>
      <c r="I406" s="1">
        <v>2</v>
      </c>
      <c r="J406" s="1">
        <v>0.22</v>
      </c>
    </row>
    <row r="407" spans="1:10" x14ac:dyDescent="0.2">
      <c r="A407" s="1">
        <v>406</v>
      </c>
      <c r="B407" s="2">
        <v>40561</v>
      </c>
      <c r="C407" s="1">
        <v>1</v>
      </c>
      <c r="D407" s="1">
        <f t="shared" si="24"/>
        <v>2011</v>
      </c>
      <c r="E407" s="1" t="str">
        <f t="shared" si="25"/>
        <v>January</v>
      </c>
      <c r="F407" s="1">
        <v>21</v>
      </c>
      <c r="G407" s="1" t="b">
        <f t="shared" si="26"/>
        <v>0</v>
      </c>
      <c r="H407" s="1" t="str">
        <f t="shared" si="27"/>
        <v>Tuesday</v>
      </c>
      <c r="I407" s="1">
        <v>2</v>
      </c>
      <c r="J407" s="1">
        <v>0.22</v>
      </c>
    </row>
    <row r="408" spans="1:10" x14ac:dyDescent="0.2">
      <c r="A408" s="1">
        <v>407</v>
      </c>
      <c r="B408" s="2">
        <v>40561</v>
      </c>
      <c r="C408" s="1">
        <v>1</v>
      </c>
      <c r="D408" s="1">
        <f t="shared" si="24"/>
        <v>2011</v>
      </c>
      <c r="E408" s="1" t="str">
        <f t="shared" si="25"/>
        <v>January</v>
      </c>
      <c r="F408" s="1">
        <v>22</v>
      </c>
      <c r="G408" s="1" t="b">
        <f t="shared" si="26"/>
        <v>0</v>
      </c>
      <c r="H408" s="1" t="str">
        <f t="shared" si="27"/>
        <v>Tuesday</v>
      </c>
      <c r="I408" s="1">
        <v>2</v>
      </c>
      <c r="J408" s="1">
        <v>0.22</v>
      </c>
    </row>
    <row r="409" spans="1:10" x14ac:dyDescent="0.2">
      <c r="A409" s="1">
        <v>408</v>
      </c>
      <c r="B409" s="2">
        <v>40561</v>
      </c>
      <c r="C409" s="1">
        <v>1</v>
      </c>
      <c r="D409" s="1">
        <f t="shared" si="24"/>
        <v>2011</v>
      </c>
      <c r="E409" s="1" t="str">
        <f t="shared" si="25"/>
        <v>January</v>
      </c>
      <c r="F409" s="1">
        <v>23</v>
      </c>
      <c r="G409" s="1" t="b">
        <f t="shared" si="26"/>
        <v>0</v>
      </c>
      <c r="H409" s="1" t="str">
        <f t="shared" si="27"/>
        <v>Tuesday</v>
      </c>
      <c r="I409" s="1">
        <v>2</v>
      </c>
      <c r="J409" s="1">
        <v>0.22</v>
      </c>
    </row>
    <row r="410" spans="1:10" x14ac:dyDescent="0.2">
      <c r="A410" s="1">
        <v>409</v>
      </c>
      <c r="B410" s="2">
        <v>40562</v>
      </c>
      <c r="C410" s="1">
        <v>1</v>
      </c>
      <c r="D410" s="1">
        <f t="shared" si="24"/>
        <v>2011</v>
      </c>
      <c r="E410" s="1" t="str">
        <f t="shared" si="25"/>
        <v>January</v>
      </c>
      <c r="F410" s="1">
        <v>0</v>
      </c>
      <c r="G410" s="1" t="b">
        <f t="shared" si="26"/>
        <v>0</v>
      </c>
      <c r="H410" s="1" t="str">
        <f t="shared" si="27"/>
        <v>Wednesday</v>
      </c>
      <c r="I410" s="1">
        <v>2</v>
      </c>
      <c r="J410" s="1">
        <v>0.22</v>
      </c>
    </row>
    <row r="411" spans="1:10" x14ac:dyDescent="0.2">
      <c r="A411" s="1">
        <v>410</v>
      </c>
      <c r="B411" s="2">
        <v>40562</v>
      </c>
      <c r="C411" s="1">
        <v>1</v>
      </c>
      <c r="D411" s="1">
        <f t="shared" si="24"/>
        <v>2011</v>
      </c>
      <c r="E411" s="1" t="str">
        <f t="shared" si="25"/>
        <v>January</v>
      </c>
      <c r="F411" s="1">
        <v>1</v>
      </c>
      <c r="G411" s="1" t="b">
        <f t="shared" si="26"/>
        <v>0</v>
      </c>
      <c r="H411" s="1" t="str">
        <f t="shared" si="27"/>
        <v>Wednesday</v>
      </c>
      <c r="I411" s="1">
        <v>3</v>
      </c>
      <c r="J411" s="1">
        <v>0.22</v>
      </c>
    </row>
    <row r="412" spans="1:10" x14ac:dyDescent="0.2">
      <c r="A412" s="1">
        <v>411</v>
      </c>
      <c r="B412" s="2">
        <v>40562</v>
      </c>
      <c r="C412" s="1">
        <v>1</v>
      </c>
      <c r="D412" s="1">
        <f t="shared" si="24"/>
        <v>2011</v>
      </c>
      <c r="E412" s="1" t="str">
        <f t="shared" si="25"/>
        <v>January</v>
      </c>
      <c r="F412" s="1">
        <v>2</v>
      </c>
      <c r="G412" s="1" t="b">
        <f t="shared" si="26"/>
        <v>0</v>
      </c>
      <c r="H412" s="1" t="str">
        <f t="shared" si="27"/>
        <v>Wednesday</v>
      </c>
      <c r="I412" s="1">
        <v>3</v>
      </c>
      <c r="J412" s="1">
        <v>0.22</v>
      </c>
    </row>
    <row r="413" spans="1:10" x14ac:dyDescent="0.2">
      <c r="A413" s="1">
        <v>412</v>
      </c>
      <c r="B413" s="2">
        <v>40562</v>
      </c>
      <c r="C413" s="1">
        <v>1</v>
      </c>
      <c r="D413" s="1">
        <f t="shared" si="24"/>
        <v>2011</v>
      </c>
      <c r="E413" s="1" t="str">
        <f t="shared" si="25"/>
        <v>January</v>
      </c>
      <c r="F413" s="1">
        <v>4</v>
      </c>
      <c r="G413" s="1" t="b">
        <f t="shared" si="26"/>
        <v>0</v>
      </c>
      <c r="H413" s="1" t="str">
        <f t="shared" si="27"/>
        <v>Wednesday</v>
      </c>
      <c r="I413" s="1">
        <v>3</v>
      </c>
      <c r="J413" s="1">
        <v>0.22</v>
      </c>
    </row>
    <row r="414" spans="1:10" x14ac:dyDescent="0.2">
      <c r="A414" s="1">
        <v>413</v>
      </c>
      <c r="B414" s="2">
        <v>40562</v>
      </c>
      <c r="C414" s="1">
        <v>1</v>
      </c>
      <c r="D414" s="1">
        <f t="shared" si="24"/>
        <v>2011</v>
      </c>
      <c r="E414" s="1" t="str">
        <f t="shared" si="25"/>
        <v>January</v>
      </c>
      <c r="F414" s="1">
        <v>5</v>
      </c>
      <c r="G414" s="1" t="b">
        <f t="shared" si="26"/>
        <v>0</v>
      </c>
      <c r="H414" s="1" t="str">
        <f t="shared" si="27"/>
        <v>Wednesday</v>
      </c>
      <c r="I414" s="1">
        <v>2</v>
      </c>
      <c r="J414" s="1">
        <v>0.22</v>
      </c>
    </row>
    <row r="415" spans="1:10" x14ac:dyDescent="0.2">
      <c r="A415" s="1">
        <v>414</v>
      </c>
      <c r="B415" s="2">
        <v>40562</v>
      </c>
      <c r="C415" s="1">
        <v>1</v>
      </c>
      <c r="D415" s="1">
        <f t="shared" si="24"/>
        <v>2011</v>
      </c>
      <c r="E415" s="1" t="str">
        <f t="shared" si="25"/>
        <v>January</v>
      </c>
      <c r="F415" s="1">
        <v>6</v>
      </c>
      <c r="G415" s="1" t="b">
        <f t="shared" si="26"/>
        <v>0</v>
      </c>
      <c r="H415" s="1" t="str">
        <f t="shared" si="27"/>
        <v>Wednesday</v>
      </c>
      <c r="I415" s="1">
        <v>2</v>
      </c>
      <c r="J415" s="1">
        <v>0.22</v>
      </c>
    </row>
    <row r="416" spans="1:10" x14ac:dyDescent="0.2">
      <c r="A416" s="1">
        <v>415</v>
      </c>
      <c r="B416" s="2">
        <v>40562</v>
      </c>
      <c r="C416" s="1">
        <v>1</v>
      </c>
      <c r="D416" s="1">
        <f t="shared" si="24"/>
        <v>2011</v>
      </c>
      <c r="E416" s="1" t="str">
        <f t="shared" si="25"/>
        <v>January</v>
      </c>
      <c r="F416" s="1">
        <v>7</v>
      </c>
      <c r="G416" s="1" t="b">
        <f t="shared" si="26"/>
        <v>0</v>
      </c>
      <c r="H416" s="1" t="str">
        <f t="shared" si="27"/>
        <v>Wednesday</v>
      </c>
      <c r="I416" s="1">
        <v>2</v>
      </c>
      <c r="J416" s="1">
        <v>0.24</v>
      </c>
    </row>
    <row r="417" spans="1:10" x14ac:dyDescent="0.2">
      <c r="A417" s="1">
        <v>416</v>
      </c>
      <c r="B417" s="2">
        <v>40562</v>
      </c>
      <c r="C417" s="1">
        <v>1</v>
      </c>
      <c r="D417" s="1">
        <f t="shared" si="24"/>
        <v>2011</v>
      </c>
      <c r="E417" s="1" t="str">
        <f t="shared" si="25"/>
        <v>January</v>
      </c>
      <c r="F417" s="1">
        <v>8</v>
      </c>
      <c r="G417" s="1" t="b">
        <f t="shared" si="26"/>
        <v>0</v>
      </c>
      <c r="H417" s="1" t="str">
        <f t="shared" si="27"/>
        <v>Wednesday</v>
      </c>
      <c r="I417" s="1">
        <v>2</v>
      </c>
      <c r="J417" s="1">
        <v>0.24</v>
      </c>
    </row>
    <row r="418" spans="1:10" x14ac:dyDescent="0.2">
      <c r="A418" s="1">
        <v>417</v>
      </c>
      <c r="B418" s="2">
        <v>40562</v>
      </c>
      <c r="C418" s="1">
        <v>1</v>
      </c>
      <c r="D418" s="1">
        <f t="shared" si="24"/>
        <v>2011</v>
      </c>
      <c r="E418" s="1" t="str">
        <f t="shared" si="25"/>
        <v>January</v>
      </c>
      <c r="F418" s="1">
        <v>9</v>
      </c>
      <c r="G418" s="1" t="b">
        <f t="shared" si="26"/>
        <v>0</v>
      </c>
      <c r="H418" s="1" t="str">
        <f t="shared" si="27"/>
        <v>Wednesday</v>
      </c>
      <c r="I418" s="1">
        <v>2</v>
      </c>
      <c r="J418" s="1">
        <v>0.24</v>
      </c>
    </row>
    <row r="419" spans="1:10" x14ac:dyDescent="0.2">
      <c r="A419" s="1">
        <v>418</v>
      </c>
      <c r="B419" s="2">
        <v>40562</v>
      </c>
      <c r="C419" s="1">
        <v>1</v>
      </c>
      <c r="D419" s="1">
        <f t="shared" si="24"/>
        <v>2011</v>
      </c>
      <c r="E419" s="1" t="str">
        <f t="shared" si="25"/>
        <v>January</v>
      </c>
      <c r="F419" s="1">
        <v>10</v>
      </c>
      <c r="G419" s="1" t="b">
        <f t="shared" si="26"/>
        <v>0</v>
      </c>
      <c r="H419" s="1" t="str">
        <f t="shared" si="27"/>
        <v>Wednesday</v>
      </c>
      <c r="I419" s="1">
        <v>2</v>
      </c>
      <c r="J419" s="1">
        <v>0.26</v>
      </c>
    </row>
    <row r="420" spans="1:10" x14ac:dyDescent="0.2">
      <c r="A420" s="1">
        <v>419</v>
      </c>
      <c r="B420" s="2">
        <v>40562</v>
      </c>
      <c r="C420" s="1">
        <v>1</v>
      </c>
      <c r="D420" s="1">
        <f t="shared" si="24"/>
        <v>2011</v>
      </c>
      <c r="E420" s="1" t="str">
        <f t="shared" si="25"/>
        <v>January</v>
      </c>
      <c r="F420" s="1">
        <v>11</v>
      </c>
      <c r="G420" s="1" t="b">
        <f t="shared" si="26"/>
        <v>0</v>
      </c>
      <c r="H420" s="1" t="str">
        <f t="shared" si="27"/>
        <v>Wednesday</v>
      </c>
      <c r="I420" s="1">
        <v>2</v>
      </c>
      <c r="J420" s="1">
        <v>0.28000000000000003</v>
      </c>
    </row>
    <row r="421" spans="1:10" x14ac:dyDescent="0.2">
      <c r="A421" s="1">
        <v>420</v>
      </c>
      <c r="B421" s="2">
        <v>40562</v>
      </c>
      <c r="C421" s="1">
        <v>1</v>
      </c>
      <c r="D421" s="1">
        <f t="shared" si="24"/>
        <v>2011</v>
      </c>
      <c r="E421" s="1" t="str">
        <f t="shared" si="25"/>
        <v>January</v>
      </c>
      <c r="F421" s="1">
        <v>12</v>
      </c>
      <c r="G421" s="1" t="b">
        <f t="shared" si="26"/>
        <v>0</v>
      </c>
      <c r="H421" s="1" t="str">
        <f t="shared" si="27"/>
        <v>Wednesday</v>
      </c>
      <c r="I421" s="1">
        <v>2</v>
      </c>
      <c r="J421" s="1">
        <v>0.3</v>
      </c>
    </row>
    <row r="422" spans="1:10" x14ac:dyDescent="0.2">
      <c r="A422" s="1">
        <v>421</v>
      </c>
      <c r="B422" s="2">
        <v>40562</v>
      </c>
      <c r="C422" s="1">
        <v>1</v>
      </c>
      <c r="D422" s="1">
        <f t="shared" si="24"/>
        <v>2011</v>
      </c>
      <c r="E422" s="1" t="str">
        <f t="shared" si="25"/>
        <v>January</v>
      </c>
      <c r="F422" s="1">
        <v>13</v>
      </c>
      <c r="G422" s="1" t="b">
        <f t="shared" si="26"/>
        <v>0</v>
      </c>
      <c r="H422" s="1" t="str">
        <f t="shared" si="27"/>
        <v>Wednesday</v>
      </c>
      <c r="I422" s="1">
        <v>1</v>
      </c>
      <c r="J422" s="1">
        <v>0.4</v>
      </c>
    </row>
    <row r="423" spans="1:10" x14ac:dyDescent="0.2">
      <c r="A423" s="1">
        <v>422</v>
      </c>
      <c r="B423" s="2">
        <v>40562</v>
      </c>
      <c r="C423" s="1">
        <v>1</v>
      </c>
      <c r="D423" s="1">
        <f t="shared" si="24"/>
        <v>2011</v>
      </c>
      <c r="E423" s="1" t="str">
        <f t="shared" si="25"/>
        <v>January</v>
      </c>
      <c r="F423" s="1">
        <v>14</v>
      </c>
      <c r="G423" s="1" t="b">
        <f t="shared" si="26"/>
        <v>0</v>
      </c>
      <c r="H423" s="1" t="str">
        <f t="shared" si="27"/>
        <v>Wednesday</v>
      </c>
      <c r="I423" s="1">
        <v>1</v>
      </c>
      <c r="J423" s="1">
        <v>0.4</v>
      </c>
    </row>
    <row r="424" spans="1:10" x14ac:dyDescent="0.2">
      <c r="A424" s="1">
        <v>423</v>
      </c>
      <c r="B424" s="2">
        <v>40562</v>
      </c>
      <c r="C424" s="1">
        <v>1</v>
      </c>
      <c r="D424" s="1">
        <f t="shared" si="24"/>
        <v>2011</v>
      </c>
      <c r="E424" s="1" t="str">
        <f t="shared" si="25"/>
        <v>January</v>
      </c>
      <c r="F424" s="1">
        <v>15</v>
      </c>
      <c r="G424" s="1" t="b">
        <f t="shared" si="26"/>
        <v>0</v>
      </c>
      <c r="H424" s="1" t="str">
        <f t="shared" si="27"/>
        <v>Wednesday</v>
      </c>
      <c r="I424" s="1">
        <v>1</v>
      </c>
      <c r="J424" s="1">
        <v>0.4</v>
      </c>
    </row>
    <row r="425" spans="1:10" x14ac:dyDescent="0.2">
      <c r="A425" s="1">
        <v>424</v>
      </c>
      <c r="B425" s="2">
        <v>40562</v>
      </c>
      <c r="C425" s="1">
        <v>1</v>
      </c>
      <c r="D425" s="1">
        <f t="shared" si="24"/>
        <v>2011</v>
      </c>
      <c r="E425" s="1" t="str">
        <f t="shared" si="25"/>
        <v>January</v>
      </c>
      <c r="F425" s="1">
        <v>16</v>
      </c>
      <c r="G425" s="1" t="b">
        <f t="shared" si="26"/>
        <v>0</v>
      </c>
      <c r="H425" s="1" t="str">
        <f t="shared" si="27"/>
        <v>Wednesday</v>
      </c>
      <c r="I425" s="1">
        <v>1</v>
      </c>
      <c r="J425" s="1">
        <v>0.38</v>
      </c>
    </row>
    <row r="426" spans="1:10" x14ac:dyDescent="0.2">
      <c r="A426" s="1">
        <v>425</v>
      </c>
      <c r="B426" s="2">
        <v>40562</v>
      </c>
      <c r="C426" s="1">
        <v>1</v>
      </c>
      <c r="D426" s="1">
        <f t="shared" si="24"/>
        <v>2011</v>
      </c>
      <c r="E426" s="1" t="str">
        <f t="shared" si="25"/>
        <v>January</v>
      </c>
      <c r="F426" s="1">
        <v>17</v>
      </c>
      <c r="G426" s="1" t="b">
        <f t="shared" si="26"/>
        <v>0</v>
      </c>
      <c r="H426" s="1" t="str">
        <f t="shared" si="27"/>
        <v>Wednesday</v>
      </c>
      <c r="I426" s="1">
        <v>1</v>
      </c>
      <c r="J426" s="1">
        <v>0.36</v>
      </c>
    </row>
    <row r="427" spans="1:10" x14ac:dyDescent="0.2">
      <c r="A427" s="1">
        <v>426</v>
      </c>
      <c r="B427" s="2">
        <v>40562</v>
      </c>
      <c r="C427" s="1">
        <v>1</v>
      </c>
      <c r="D427" s="1">
        <f t="shared" si="24"/>
        <v>2011</v>
      </c>
      <c r="E427" s="1" t="str">
        <f t="shared" si="25"/>
        <v>January</v>
      </c>
      <c r="F427" s="1">
        <v>18</v>
      </c>
      <c r="G427" s="1" t="b">
        <f t="shared" si="26"/>
        <v>0</v>
      </c>
      <c r="H427" s="1" t="str">
        <f t="shared" si="27"/>
        <v>Wednesday</v>
      </c>
      <c r="I427" s="1">
        <v>1</v>
      </c>
      <c r="J427" s="1">
        <v>0.34</v>
      </c>
    </row>
    <row r="428" spans="1:10" x14ac:dyDescent="0.2">
      <c r="A428" s="1">
        <v>427</v>
      </c>
      <c r="B428" s="2">
        <v>40562</v>
      </c>
      <c r="C428" s="1">
        <v>1</v>
      </c>
      <c r="D428" s="1">
        <f t="shared" si="24"/>
        <v>2011</v>
      </c>
      <c r="E428" s="1" t="str">
        <f t="shared" si="25"/>
        <v>January</v>
      </c>
      <c r="F428" s="1">
        <v>19</v>
      </c>
      <c r="G428" s="1" t="b">
        <f t="shared" si="26"/>
        <v>0</v>
      </c>
      <c r="H428" s="1" t="str">
        <f t="shared" si="27"/>
        <v>Wednesday</v>
      </c>
      <c r="I428" s="1">
        <v>1</v>
      </c>
      <c r="J428" s="1">
        <v>0.32</v>
      </c>
    </row>
    <row r="429" spans="1:10" x14ac:dyDescent="0.2">
      <c r="A429" s="1">
        <v>428</v>
      </c>
      <c r="B429" s="2">
        <v>40562</v>
      </c>
      <c r="C429" s="1">
        <v>1</v>
      </c>
      <c r="D429" s="1">
        <f t="shared" si="24"/>
        <v>2011</v>
      </c>
      <c r="E429" s="1" t="str">
        <f t="shared" si="25"/>
        <v>January</v>
      </c>
      <c r="F429" s="1">
        <v>20</v>
      </c>
      <c r="G429" s="1" t="b">
        <f t="shared" si="26"/>
        <v>0</v>
      </c>
      <c r="H429" s="1" t="str">
        <f t="shared" si="27"/>
        <v>Wednesday</v>
      </c>
      <c r="I429" s="1">
        <v>1</v>
      </c>
      <c r="J429" s="1">
        <v>0.32</v>
      </c>
    </row>
    <row r="430" spans="1:10" x14ac:dyDescent="0.2">
      <c r="A430" s="1">
        <v>429</v>
      </c>
      <c r="B430" s="2">
        <v>40562</v>
      </c>
      <c r="C430" s="1">
        <v>1</v>
      </c>
      <c r="D430" s="1">
        <f t="shared" si="24"/>
        <v>2011</v>
      </c>
      <c r="E430" s="1" t="str">
        <f t="shared" si="25"/>
        <v>January</v>
      </c>
      <c r="F430" s="1">
        <v>21</v>
      </c>
      <c r="G430" s="1" t="b">
        <f t="shared" si="26"/>
        <v>0</v>
      </c>
      <c r="H430" s="1" t="str">
        <f t="shared" si="27"/>
        <v>Wednesday</v>
      </c>
      <c r="I430" s="1">
        <v>1</v>
      </c>
      <c r="J430" s="1">
        <v>0.32</v>
      </c>
    </row>
    <row r="431" spans="1:10" x14ac:dyDescent="0.2">
      <c r="A431" s="1">
        <v>430</v>
      </c>
      <c r="B431" s="2">
        <v>40562</v>
      </c>
      <c r="C431" s="1">
        <v>1</v>
      </c>
      <c r="D431" s="1">
        <f t="shared" si="24"/>
        <v>2011</v>
      </c>
      <c r="E431" s="1" t="str">
        <f t="shared" si="25"/>
        <v>January</v>
      </c>
      <c r="F431" s="1">
        <v>22</v>
      </c>
      <c r="G431" s="1" t="b">
        <f t="shared" si="26"/>
        <v>0</v>
      </c>
      <c r="H431" s="1" t="str">
        <f t="shared" si="27"/>
        <v>Wednesday</v>
      </c>
      <c r="I431" s="1">
        <v>1</v>
      </c>
      <c r="J431" s="1">
        <v>0.3</v>
      </c>
    </row>
    <row r="432" spans="1:10" x14ac:dyDescent="0.2">
      <c r="A432" s="1">
        <v>431</v>
      </c>
      <c r="B432" s="2">
        <v>40562</v>
      </c>
      <c r="C432" s="1">
        <v>1</v>
      </c>
      <c r="D432" s="1">
        <f t="shared" si="24"/>
        <v>2011</v>
      </c>
      <c r="E432" s="1" t="str">
        <f t="shared" si="25"/>
        <v>January</v>
      </c>
      <c r="F432" s="1">
        <v>23</v>
      </c>
      <c r="G432" s="1" t="b">
        <f t="shared" si="26"/>
        <v>0</v>
      </c>
      <c r="H432" s="1" t="str">
        <f t="shared" si="27"/>
        <v>Wednesday</v>
      </c>
      <c r="I432" s="1">
        <v>1</v>
      </c>
      <c r="J432" s="1">
        <v>0.3</v>
      </c>
    </row>
    <row r="433" spans="1:10" x14ac:dyDescent="0.2">
      <c r="A433" s="1">
        <v>432</v>
      </c>
      <c r="B433" s="2">
        <v>40563</v>
      </c>
      <c r="C433" s="1">
        <v>1</v>
      </c>
      <c r="D433" s="1">
        <f t="shared" si="24"/>
        <v>2011</v>
      </c>
      <c r="E433" s="1" t="str">
        <f t="shared" si="25"/>
        <v>January</v>
      </c>
      <c r="F433" s="1">
        <v>0</v>
      </c>
      <c r="G433" s="1" t="b">
        <f t="shared" si="26"/>
        <v>0</v>
      </c>
      <c r="H433" s="1" t="str">
        <f t="shared" si="27"/>
        <v>Thursday</v>
      </c>
      <c r="I433" s="1">
        <v>1</v>
      </c>
      <c r="J433" s="1">
        <v>0.26</v>
      </c>
    </row>
    <row r="434" spans="1:10" x14ac:dyDescent="0.2">
      <c r="A434" s="1">
        <v>433</v>
      </c>
      <c r="B434" s="2">
        <v>40563</v>
      </c>
      <c r="C434" s="1">
        <v>1</v>
      </c>
      <c r="D434" s="1">
        <f t="shared" si="24"/>
        <v>2011</v>
      </c>
      <c r="E434" s="1" t="str">
        <f t="shared" si="25"/>
        <v>January</v>
      </c>
      <c r="F434" s="1">
        <v>1</v>
      </c>
      <c r="G434" s="1" t="b">
        <f t="shared" si="26"/>
        <v>0</v>
      </c>
      <c r="H434" s="1" t="str">
        <f t="shared" si="27"/>
        <v>Thursday</v>
      </c>
      <c r="I434" s="1">
        <v>1</v>
      </c>
      <c r="J434" s="1">
        <v>0.26</v>
      </c>
    </row>
    <row r="435" spans="1:10" x14ac:dyDescent="0.2">
      <c r="A435" s="1">
        <v>434</v>
      </c>
      <c r="B435" s="2">
        <v>40563</v>
      </c>
      <c r="C435" s="1">
        <v>1</v>
      </c>
      <c r="D435" s="1">
        <f t="shared" si="24"/>
        <v>2011</v>
      </c>
      <c r="E435" s="1" t="str">
        <f t="shared" si="25"/>
        <v>January</v>
      </c>
      <c r="F435" s="1">
        <v>2</v>
      </c>
      <c r="G435" s="1" t="b">
        <f t="shared" si="26"/>
        <v>0</v>
      </c>
      <c r="H435" s="1" t="str">
        <f t="shared" si="27"/>
        <v>Thursday</v>
      </c>
      <c r="I435" s="1">
        <v>1</v>
      </c>
      <c r="J435" s="1">
        <v>0.26</v>
      </c>
    </row>
    <row r="436" spans="1:10" x14ac:dyDescent="0.2">
      <c r="A436" s="1">
        <v>435</v>
      </c>
      <c r="B436" s="2">
        <v>40563</v>
      </c>
      <c r="C436" s="1">
        <v>1</v>
      </c>
      <c r="D436" s="1">
        <f t="shared" si="24"/>
        <v>2011</v>
      </c>
      <c r="E436" s="1" t="str">
        <f t="shared" si="25"/>
        <v>January</v>
      </c>
      <c r="F436" s="1">
        <v>3</v>
      </c>
      <c r="G436" s="1" t="b">
        <f t="shared" si="26"/>
        <v>0</v>
      </c>
      <c r="H436" s="1" t="str">
        <f t="shared" si="27"/>
        <v>Thursday</v>
      </c>
      <c r="I436" s="1">
        <v>1</v>
      </c>
      <c r="J436" s="1">
        <v>0.26</v>
      </c>
    </row>
    <row r="437" spans="1:10" x14ac:dyDescent="0.2">
      <c r="A437" s="1">
        <v>436</v>
      </c>
      <c r="B437" s="2">
        <v>40563</v>
      </c>
      <c r="C437" s="1">
        <v>1</v>
      </c>
      <c r="D437" s="1">
        <f t="shared" si="24"/>
        <v>2011</v>
      </c>
      <c r="E437" s="1" t="str">
        <f t="shared" si="25"/>
        <v>January</v>
      </c>
      <c r="F437" s="1">
        <v>4</v>
      </c>
      <c r="G437" s="1" t="b">
        <f t="shared" si="26"/>
        <v>0</v>
      </c>
      <c r="H437" s="1" t="str">
        <f t="shared" si="27"/>
        <v>Thursday</v>
      </c>
      <c r="I437" s="1">
        <v>1</v>
      </c>
      <c r="J437" s="1">
        <v>0.26</v>
      </c>
    </row>
    <row r="438" spans="1:10" x14ac:dyDescent="0.2">
      <c r="A438" s="1">
        <v>437</v>
      </c>
      <c r="B438" s="2">
        <v>40563</v>
      </c>
      <c r="C438" s="1">
        <v>1</v>
      </c>
      <c r="D438" s="1">
        <f t="shared" si="24"/>
        <v>2011</v>
      </c>
      <c r="E438" s="1" t="str">
        <f t="shared" si="25"/>
        <v>January</v>
      </c>
      <c r="F438" s="1">
        <v>5</v>
      </c>
      <c r="G438" s="1" t="b">
        <f t="shared" si="26"/>
        <v>0</v>
      </c>
      <c r="H438" s="1" t="str">
        <f t="shared" si="27"/>
        <v>Thursday</v>
      </c>
      <c r="I438" s="1">
        <v>1</v>
      </c>
      <c r="J438" s="1">
        <v>0.24</v>
      </c>
    </row>
    <row r="439" spans="1:10" x14ac:dyDescent="0.2">
      <c r="A439" s="1">
        <v>438</v>
      </c>
      <c r="B439" s="2">
        <v>40563</v>
      </c>
      <c r="C439" s="1">
        <v>1</v>
      </c>
      <c r="D439" s="1">
        <f t="shared" si="24"/>
        <v>2011</v>
      </c>
      <c r="E439" s="1" t="str">
        <f t="shared" si="25"/>
        <v>January</v>
      </c>
      <c r="F439" s="1">
        <v>6</v>
      </c>
      <c r="G439" s="1" t="b">
        <f t="shared" si="26"/>
        <v>0</v>
      </c>
      <c r="H439" s="1" t="str">
        <f t="shared" si="27"/>
        <v>Thursday</v>
      </c>
      <c r="I439" s="1">
        <v>1</v>
      </c>
      <c r="J439" s="1">
        <v>0.22</v>
      </c>
    </row>
    <row r="440" spans="1:10" x14ac:dyDescent="0.2">
      <c r="A440" s="1">
        <v>439</v>
      </c>
      <c r="B440" s="2">
        <v>40563</v>
      </c>
      <c r="C440" s="1">
        <v>1</v>
      </c>
      <c r="D440" s="1">
        <f t="shared" si="24"/>
        <v>2011</v>
      </c>
      <c r="E440" s="1" t="str">
        <f t="shared" si="25"/>
        <v>January</v>
      </c>
      <c r="F440" s="1">
        <v>7</v>
      </c>
      <c r="G440" s="1" t="b">
        <f t="shared" si="26"/>
        <v>0</v>
      </c>
      <c r="H440" s="1" t="str">
        <f t="shared" si="27"/>
        <v>Thursday</v>
      </c>
      <c r="I440" s="1">
        <v>1</v>
      </c>
      <c r="J440" s="1">
        <v>0.22</v>
      </c>
    </row>
    <row r="441" spans="1:10" x14ac:dyDescent="0.2">
      <c r="A441" s="1">
        <v>440</v>
      </c>
      <c r="B441" s="2">
        <v>40563</v>
      </c>
      <c r="C441" s="1">
        <v>1</v>
      </c>
      <c r="D441" s="1">
        <f t="shared" si="24"/>
        <v>2011</v>
      </c>
      <c r="E441" s="1" t="str">
        <f t="shared" si="25"/>
        <v>January</v>
      </c>
      <c r="F441" s="1">
        <v>8</v>
      </c>
      <c r="G441" s="1" t="b">
        <f t="shared" si="26"/>
        <v>0</v>
      </c>
      <c r="H441" s="1" t="str">
        <f t="shared" si="27"/>
        <v>Thursday</v>
      </c>
      <c r="I441" s="1">
        <v>1</v>
      </c>
      <c r="J441" s="1">
        <v>0.22</v>
      </c>
    </row>
    <row r="442" spans="1:10" x14ac:dyDescent="0.2">
      <c r="A442" s="1">
        <v>441</v>
      </c>
      <c r="B442" s="2">
        <v>40563</v>
      </c>
      <c r="C442" s="1">
        <v>1</v>
      </c>
      <c r="D442" s="1">
        <f t="shared" si="24"/>
        <v>2011</v>
      </c>
      <c r="E442" s="1" t="str">
        <f t="shared" si="25"/>
        <v>January</v>
      </c>
      <c r="F442" s="1">
        <v>9</v>
      </c>
      <c r="G442" s="1" t="b">
        <f t="shared" si="26"/>
        <v>0</v>
      </c>
      <c r="H442" s="1" t="str">
        <f t="shared" si="27"/>
        <v>Thursday</v>
      </c>
      <c r="I442" s="1">
        <v>2</v>
      </c>
      <c r="J442" s="1">
        <v>0.24</v>
      </c>
    </row>
    <row r="443" spans="1:10" x14ac:dyDescent="0.2">
      <c r="A443" s="1">
        <v>442</v>
      </c>
      <c r="B443" s="2">
        <v>40563</v>
      </c>
      <c r="C443" s="1">
        <v>1</v>
      </c>
      <c r="D443" s="1">
        <f t="shared" si="24"/>
        <v>2011</v>
      </c>
      <c r="E443" s="1" t="str">
        <f t="shared" si="25"/>
        <v>January</v>
      </c>
      <c r="F443" s="1">
        <v>10</v>
      </c>
      <c r="G443" s="1" t="b">
        <f t="shared" si="26"/>
        <v>0</v>
      </c>
      <c r="H443" s="1" t="str">
        <f t="shared" si="27"/>
        <v>Thursday</v>
      </c>
      <c r="I443" s="1">
        <v>1</v>
      </c>
      <c r="J443" s="1">
        <v>0.26</v>
      </c>
    </row>
    <row r="444" spans="1:10" x14ac:dyDescent="0.2">
      <c r="A444" s="1">
        <v>443</v>
      </c>
      <c r="B444" s="2">
        <v>40563</v>
      </c>
      <c r="C444" s="1">
        <v>1</v>
      </c>
      <c r="D444" s="1">
        <f t="shared" si="24"/>
        <v>2011</v>
      </c>
      <c r="E444" s="1" t="str">
        <f t="shared" si="25"/>
        <v>January</v>
      </c>
      <c r="F444" s="1">
        <v>11</v>
      </c>
      <c r="G444" s="1" t="b">
        <f t="shared" si="26"/>
        <v>0</v>
      </c>
      <c r="H444" s="1" t="str">
        <f t="shared" si="27"/>
        <v>Thursday</v>
      </c>
      <c r="I444" s="1">
        <v>2</v>
      </c>
      <c r="J444" s="1">
        <v>0.28000000000000003</v>
      </c>
    </row>
    <row r="445" spans="1:10" x14ac:dyDescent="0.2">
      <c r="A445" s="1">
        <v>444</v>
      </c>
      <c r="B445" s="2">
        <v>40563</v>
      </c>
      <c r="C445" s="1">
        <v>1</v>
      </c>
      <c r="D445" s="1">
        <f t="shared" si="24"/>
        <v>2011</v>
      </c>
      <c r="E445" s="1" t="str">
        <f t="shared" si="25"/>
        <v>January</v>
      </c>
      <c r="F445" s="1">
        <v>12</v>
      </c>
      <c r="G445" s="1" t="b">
        <f t="shared" si="26"/>
        <v>0</v>
      </c>
      <c r="H445" s="1" t="str">
        <f t="shared" si="27"/>
        <v>Thursday</v>
      </c>
      <c r="I445" s="1">
        <v>2</v>
      </c>
      <c r="J445" s="1">
        <v>0.3</v>
      </c>
    </row>
    <row r="446" spans="1:10" x14ac:dyDescent="0.2">
      <c r="A446" s="1">
        <v>445</v>
      </c>
      <c r="B446" s="2">
        <v>40563</v>
      </c>
      <c r="C446" s="1">
        <v>1</v>
      </c>
      <c r="D446" s="1">
        <f t="shared" si="24"/>
        <v>2011</v>
      </c>
      <c r="E446" s="1" t="str">
        <f t="shared" si="25"/>
        <v>January</v>
      </c>
      <c r="F446" s="1">
        <v>13</v>
      </c>
      <c r="G446" s="1" t="b">
        <f t="shared" si="26"/>
        <v>0</v>
      </c>
      <c r="H446" s="1" t="str">
        <f t="shared" si="27"/>
        <v>Thursday</v>
      </c>
      <c r="I446" s="1">
        <v>2</v>
      </c>
      <c r="J446" s="1">
        <v>0.28000000000000003</v>
      </c>
    </row>
    <row r="447" spans="1:10" x14ac:dyDescent="0.2">
      <c r="A447" s="1">
        <v>446</v>
      </c>
      <c r="B447" s="2">
        <v>40563</v>
      </c>
      <c r="C447" s="1">
        <v>1</v>
      </c>
      <c r="D447" s="1">
        <f t="shared" si="24"/>
        <v>2011</v>
      </c>
      <c r="E447" s="1" t="str">
        <f t="shared" si="25"/>
        <v>January</v>
      </c>
      <c r="F447" s="1">
        <v>14</v>
      </c>
      <c r="G447" s="1" t="b">
        <f t="shared" si="26"/>
        <v>0</v>
      </c>
      <c r="H447" s="1" t="str">
        <f t="shared" si="27"/>
        <v>Thursday</v>
      </c>
      <c r="I447" s="1">
        <v>2</v>
      </c>
      <c r="J447" s="1">
        <v>0.3</v>
      </c>
    </row>
    <row r="448" spans="1:10" x14ac:dyDescent="0.2">
      <c r="A448" s="1">
        <v>447</v>
      </c>
      <c r="B448" s="2">
        <v>40563</v>
      </c>
      <c r="C448" s="1">
        <v>1</v>
      </c>
      <c r="D448" s="1">
        <f t="shared" si="24"/>
        <v>2011</v>
      </c>
      <c r="E448" s="1" t="str">
        <f t="shared" si="25"/>
        <v>January</v>
      </c>
      <c r="F448" s="1">
        <v>15</v>
      </c>
      <c r="G448" s="1" t="b">
        <f t="shared" si="26"/>
        <v>0</v>
      </c>
      <c r="H448" s="1" t="str">
        <f t="shared" si="27"/>
        <v>Thursday</v>
      </c>
      <c r="I448" s="1">
        <v>2</v>
      </c>
      <c r="J448" s="1">
        <v>0.32</v>
      </c>
    </row>
    <row r="449" spans="1:10" x14ac:dyDescent="0.2">
      <c r="A449" s="1">
        <v>448</v>
      </c>
      <c r="B449" s="2">
        <v>40563</v>
      </c>
      <c r="C449" s="1">
        <v>1</v>
      </c>
      <c r="D449" s="1">
        <f t="shared" si="24"/>
        <v>2011</v>
      </c>
      <c r="E449" s="1" t="str">
        <f t="shared" si="25"/>
        <v>January</v>
      </c>
      <c r="F449" s="1">
        <v>16</v>
      </c>
      <c r="G449" s="1" t="b">
        <f t="shared" si="26"/>
        <v>0</v>
      </c>
      <c r="H449" s="1" t="str">
        <f t="shared" si="27"/>
        <v>Thursday</v>
      </c>
      <c r="I449" s="1">
        <v>2</v>
      </c>
      <c r="J449" s="1">
        <v>0.3</v>
      </c>
    </row>
    <row r="450" spans="1:10" x14ac:dyDescent="0.2">
      <c r="A450" s="1">
        <v>449</v>
      </c>
      <c r="B450" s="2">
        <v>40563</v>
      </c>
      <c r="C450" s="1">
        <v>1</v>
      </c>
      <c r="D450" s="1">
        <f t="shared" si="24"/>
        <v>2011</v>
      </c>
      <c r="E450" s="1" t="str">
        <f t="shared" si="25"/>
        <v>January</v>
      </c>
      <c r="F450" s="1">
        <v>17</v>
      </c>
      <c r="G450" s="1" t="b">
        <f t="shared" si="26"/>
        <v>0</v>
      </c>
      <c r="H450" s="1" t="str">
        <f t="shared" si="27"/>
        <v>Thursday</v>
      </c>
      <c r="I450" s="1">
        <v>2</v>
      </c>
      <c r="J450" s="1">
        <v>0.3</v>
      </c>
    </row>
    <row r="451" spans="1:10" x14ac:dyDescent="0.2">
      <c r="A451" s="1">
        <v>450</v>
      </c>
      <c r="B451" s="2">
        <v>40563</v>
      </c>
      <c r="C451" s="1">
        <v>1</v>
      </c>
      <c r="D451" s="1">
        <f t="shared" ref="D451:D514" si="28">YEAR(B451)</f>
        <v>2011</v>
      </c>
      <c r="E451" s="1" t="str">
        <f t="shared" ref="E451:E514" si="29">TEXT(B451,"MMMM")</f>
        <v>January</v>
      </c>
      <c r="F451" s="1">
        <v>18</v>
      </c>
      <c r="G451" s="1" t="b">
        <f t="shared" ref="G451:G514" si="30">IF(H451="Sunday",TRUE,FALSE)</f>
        <v>0</v>
      </c>
      <c r="H451" s="1" t="str">
        <f t="shared" ref="H451:H514" si="31">TEXT(B451,"DDDD")</f>
        <v>Thursday</v>
      </c>
      <c r="I451" s="1">
        <v>2</v>
      </c>
      <c r="J451" s="1">
        <v>0.26</v>
      </c>
    </row>
    <row r="452" spans="1:10" x14ac:dyDescent="0.2">
      <c r="A452" s="1">
        <v>451</v>
      </c>
      <c r="B452" s="2">
        <v>40563</v>
      </c>
      <c r="C452" s="1">
        <v>1</v>
      </c>
      <c r="D452" s="1">
        <f t="shared" si="28"/>
        <v>2011</v>
      </c>
      <c r="E452" s="1" t="str">
        <f t="shared" si="29"/>
        <v>January</v>
      </c>
      <c r="F452" s="1">
        <v>19</v>
      </c>
      <c r="G452" s="1" t="b">
        <f t="shared" si="30"/>
        <v>0</v>
      </c>
      <c r="H452" s="1" t="str">
        <f t="shared" si="31"/>
        <v>Thursday</v>
      </c>
      <c r="I452" s="1">
        <v>1</v>
      </c>
      <c r="J452" s="1">
        <v>0.26</v>
      </c>
    </row>
    <row r="453" spans="1:10" x14ac:dyDescent="0.2">
      <c r="A453" s="1">
        <v>452</v>
      </c>
      <c r="B453" s="2">
        <v>40563</v>
      </c>
      <c r="C453" s="1">
        <v>1</v>
      </c>
      <c r="D453" s="1">
        <f t="shared" si="28"/>
        <v>2011</v>
      </c>
      <c r="E453" s="1" t="str">
        <f t="shared" si="29"/>
        <v>January</v>
      </c>
      <c r="F453" s="1">
        <v>20</v>
      </c>
      <c r="G453" s="1" t="b">
        <f t="shared" si="30"/>
        <v>0</v>
      </c>
      <c r="H453" s="1" t="str">
        <f t="shared" si="31"/>
        <v>Thursday</v>
      </c>
      <c r="I453" s="1">
        <v>2</v>
      </c>
      <c r="J453" s="1">
        <v>0.26</v>
      </c>
    </row>
    <row r="454" spans="1:10" x14ac:dyDescent="0.2">
      <c r="A454" s="1">
        <v>453</v>
      </c>
      <c r="B454" s="2">
        <v>40563</v>
      </c>
      <c r="C454" s="1">
        <v>1</v>
      </c>
      <c r="D454" s="1">
        <f t="shared" si="28"/>
        <v>2011</v>
      </c>
      <c r="E454" s="1" t="str">
        <f t="shared" si="29"/>
        <v>January</v>
      </c>
      <c r="F454" s="1">
        <v>21</v>
      </c>
      <c r="G454" s="1" t="b">
        <f t="shared" si="30"/>
        <v>0</v>
      </c>
      <c r="H454" s="1" t="str">
        <f t="shared" si="31"/>
        <v>Thursday</v>
      </c>
      <c r="I454" s="1">
        <v>2</v>
      </c>
      <c r="J454" s="1">
        <v>0.24</v>
      </c>
    </row>
    <row r="455" spans="1:10" x14ac:dyDescent="0.2">
      <c r="A455" s="1">
        <v>454</v>
      </c>
      <c r="B455" s="2">
        <v>40563</v>
      </c>
      <c r="C455" s="1">
        <v>1</v>
      </c>
      <c r="D455" s="1">
        <f t="shared" si="28"/>
        <v>2011</v>
      </c>
      <c r="E455" s="1" t="str">
        <f t="shared" si="29"/>
        <v>January</v>
      </c>
      <c r="F455" s="1">
        <v>22</v>
      </c>
      <c r="G455" s="1" t="b">
        <f t="shared" si="30"/>
        <v>0</v>
      </c>
      <c r="H455" s="1" t="str">
        <f t="shared" si="31"/>
        <v>Thursday</v>
      </c>
      <c r="I455" s="1">
        <v>2</v>
      </c>
      <c r="J455" s="1">
        <v>0.24</v>
      </c>
    </row>
    <row r="456" spans="1:10" x14ac:dyDescent="0.2">
      <c r="A456" s="1">
        <v>455</v>
      </c>
      <c r="B456" s="2">
        <v>40563</v>
      </c>
      <c r="C456" s="1">
        <v>1</v>
      </c>
      <c r="D456" s="1">
        <f t="shared" si="28"/>
        <v>2011</v>
      </c>
      <c r="E456" s="1" t="str">
        <f t="shared" si="29"/>
        <v>January</v>
      </c>
      <c r="F456" s="1">
        <v>23</v>
      </c>
      <c r="G456" s="1" t="b">
        <f t="shared" si="30"/>
        <v>0</v>
      </c>
      <c r="H456" s="1" t="str">
        <f t="shared" si="31"/>
        <v>Thursday</v>
      </c>
      <c r="I456" s="1">
        <v>2</v>
      </c>
      <c r="J456" s="1">
        <v>0.24</v>
      </c>
    </row>
    <row r="457" spans="1:10" x14ac:dyDescent="0.2">
      <c r="A457" s="1">
        <v>456</v>
      </c>
      <c r="B457" s="2">
        <v>40564</v>
      </c>
      <c r="C457" s="1">
        <v>1</v>
      </c>
      <c r="D457" s="1">
        <f t="shared" si="28"/>
        <v>2011</v>
      </c>
      <c r="E457" s="1" t="str">
        <f t="shared" si="29"/>
        <v>January</v>
      </c>
      <c r="F457" s="1">
        <v>0</v>
      </c>
      <c r="G457" s="1" t="b">
        <f t="shared" si="30"/>
        <v>0</v>
      </c>
      <c r="H457" s="1" t="str">
        <f t="shared" si="31"/>
        <v>Friday</v>
      </c>
      <c r="I457" s="1">
        <v>2</v>
      </c>
      <c r="J457" s="1">
        <v>0.24</v>
      </c>
    </row>
    <row r="458" spans="1:10" x14ac:dyDescent="0.2">
      <c r="A458" s="1">
        <v>457</v>
      </c>
      <c r="B458" s="2">
        <v>40564</v>
      </c>
      <c r="C458" s="1">
        <v>1</v>
      </c>
      <c r="D458" s="1">
        <f t="shared" si="28"/>
        <v>2011</v>
      </c>
      <c r="E458" s="1" t="str">
        <f t="shared" si="29"/>
        <v>January</v>
      </c>
      <c r="F458" s="1">
        <v>1</v>
      </c>
      <c r="G458" s="1" t="b">
        <f t="shared" si="30"/>
        <v>0</v>
      </c>
      <c r="H458" s="1" t="str">
        <f t="shared" si="31"/>
        <v>Friday</v>
      </c>
      <c r="I458" s="1">
        <v>2</v>
      </c>
      <c r="J458" s="1">
        <v>0.24</v>
      </c>
    </row>
    <row r="459" spans="1:10" x14ac:dyDescent="0.2">
      <c r="A459" s="1">
        <v>458</v>
      </c>
      <c r="B459" s="2">
        <v>40564</v>
      </c>
      <c r="C459" s="1">
        <v>1</v>
      </c>
      <c r="D459" s="1">
        <f t="shared" si="28"/>
        <v>2011</v>
      </c>
      <c r="E459" s="1" t="str">
        <f t="shared" si="29"/>
        <v>January</v>
      </c>
      <c r="F459" s="1">
        <v>2</v>
      </c>
      <c r="G459" s="1" t="b">
        <f t="shared" si="30"/>
        <v>0</v>
      </c>
      <c r="H459" s="1" t="str">
        <f t="shared" si="31"/>
        <v>Friday</v>
      </c>
      <c r="I459" s="1">
        <v>3</v>
      </c>
      <c r="J459" s="1">
        <v>0.24</v>
      </c>
    </row>
    <row r="460" spans="1:10" x14ac:dyDescent="0.2">
      <c r="A460" s="1">
        <v>459</v>
      </c>
      <c r="B460" s="2">
        <v>40564</v>
      </c>
      <c r="C460" s="1">
        <v>1</v>
      </c>
      <c r="D460" s="1">
        <f t="shared" si="28"/>
        <v>2011</v>
      </c>
      <c r="E460" s="1" t="str">
        <f t="shared" si="29"/>
        <v>January</v>
      </c>
      <c r="F460" s="1">
        <v>3</v>
      </c>
      <c r="G460" s="1" t="b">
        <f t="shared" si="30"/>
        <v>0</v>
      </c>
      <c r="H460" s="1" t="str">
        <f t="shared" si="31"/>
        <v>Friday</v>
      </c>
      <c r="I460" s="1">
        <v>3</v>
      </c>
      <c r="J460" s="1">
        <v>0.22</v>
      </c>
    </row>
    <row r="461" spans="1:10" x14ac:dyDescent="0.2">
      <c r="A461" s="1">
        <v>460</v>
      </c>
      <c r="B461" s="2">
        <v>40564</v>
      </c>
      <c r="C461" s="1">
        <v>1</v>
      </c>
      <c r="D461" s="1">
        <f t="shared" si="28"/>
        <v>2011</v>
      </c>
      <c r="E461" s="1" t="str">
        <f t="shared" si="29"/>
        <v>January</v>
      </c>
      <c r="F461" s="1">
        <v>4</v>
      </c>
      <c r="G461" s="1" t="b">
        <f t="shared" si="30"/>
        <v>0</v>
      </c>
      <c r="H461" s="1" t="str">
        <f t="shared" si="31"/>
        <v>Friday</v>
      </c>
      <c r="I461" s="1">
        <v>2</v>
      </c>
      <c r="J461" s="1">
        <v>0.22</v>
      </c>
    </row>
    <row r="462" spans="1:10" x14ac:dyDescent="0.2">
      <c r="A462" s="1">
        <v>461</v>
      </c>
      <c r="B462" s="2">
        <v>40564</v>
      </c>
      <c r="C462" s="1">
        <v>1</v>
      </c>
      <c r="D462" s="1">
        <f t="shared" si="28"/>
        <v>2011</v>
      </c>
      <c r="E462" s="1" t="str">
        <f t="shared" si="29"/>
        <v>January</v>
      </c>
      <c r="F462" s="1">
        <v>5</v>
      </c>
      <c r="G462" s="1" t="b">
        <f t="shared" si="30"/>
        <v>0</v>
      </c>
      <c r="H462" s="1" t="str">
        <f t="shared" si="31"/>
        <v>Friday</v>
      </c>
      <c r="I462" s="1">
        <v>1</v>
      </c>
      <c r="J462" s="1">
        <v>0.24</v>
      </c>
    </row>
    <row r="463" spans="1:10" x14ac:dyDescent="0.2">
      <c r="A463" s="1">
        <v>462</v>
      </c>
      <c r="B463" s="2">
        <v>40564</v>
      </c>
      <c r="C463" s="1">
        <v>1</v>
      </c>
      <c r="D463" s="1">
        <f t="shared" si="28"/>
        <v>2011</v>
      </c>
      <c r="E463" s="1" t="str">
        <f t="shared" si="29"/>
        <v>January</v>
      </c>
      <c r="F463" s="1">
        <v>6</v>
      </c>
      <c r="G463" s="1" t="b">
        <f t="shared" si="30"/>
        <v>0</v>
      </c>
      <c r="H463" s="1" t="str">
        <f t="shared" si="31"/>
        <v>Friday</v>
      </c>
      <c r="I463" s="1">
        <v>1</v>
      </c>
      <c r="J463" s="1">
        <v>0.22</v>
      </c>
    </row>
    <row r="464" spans="1:10" x14ac:dyDescent="0.2">
      <c r="A464" s="1">
        <v>463</v>
      </c>
      <c r="B464" s="2">
        <v>40564</v>
      </c>
      <c r="C464" s="1">
        <v>1</v>
      </c>
      <c r="D464" s="1">
        <f t="shared" si="28"/>
        <v>2011</v>
      </c>
      <c r="E464" s="1" t="str">
        <f t="shared" si="29"/>
        <v>January</v>
      </c>
      <c r="F464" s="1">
        <v>7</v>
      </c>
      <c r="G464" s="1" t="b">
        <f t="shared" si="30"/>
        <v>0</v>
      </c>
      <c r="H464" s="1" t="str">
        <f t="shared" si="31"/>
        <v>Friday</v>
      </c>
      <c r="I464" s="1">
        <v>1</v>
      </c>
      <c r="J464" s="1">
        <v>0.2</v>
      </c>
    </row>
    <row r="465" spans="1:10" x14ac:dyDescent="0.2">
      <c r="A465" s="1">
        <v>464</v>
      </c>
      <c r="B465" s="2">
        <v>40564</v>
      </c>
      <c r="C465" s="1">
        <v>1</v>
      </c>
      <c r="D465" s="1">
        <f t="shared" si="28"/>
        <v>2011</v>
      </c>
      <c r="E465" s="1" t="str">
        <f t="shared" si="29"/>
        <v>January</v>
      </c>
      <c r="F465" s="1">
        <v>8</v>
      </c>
      <c r="G465" s="1" t="b">
        <f t="shared" si="30"/>
        <v>0</v>
      </c>
      <c r="H465" s="1" t="str">
        <f t="shared" si="31"/>
        <v>Friday</v>
      </c>
      <c r="I465" s="1">
        <v>1</v>
      </c>
      <c r="J465" s="1">
        <v>0.2</v>
      </c>
    </row>
    <row r="466" spans="1:10" x14ac:dyDescent="0.2">
      <c r="A466" s="1">
        <v>465</v>
      </c>
      <c r="B466" s="2">
        <v>40564</v>
      </c>
      <c r="C466" s="1">
        <v>1</v>
      </c>
      <c r="D466" s="1">
        <f t="shared" si="28"/>
        <v>2011</v>
      </c>
      <c r="E466" s="1" t="str">
        <f t="shared" si="29"/>
        <v>January</v>
      </c>
      <c r="F466" s="1">
        <v>9</v>
      </c>
      <c r="G466" s="1" t="b">
        <f t="shared" si="30"/>
        <v>0</v>
      </c>
      <c r="H466" s="1" t="str">
        <f t="shared" si="31"/>
        <v>Friday</v>
      </c>
      <c r="I466" s="1">
        <v>1</v>
      </c>
      <c r="J466" s="1">
        <v>0.2</v>
      </c>
    </row>
    <row r="467" spans="1:10" x14ac:dyDescent="0.2">
      <c r="A467" s="1">
        <v>466</v>
      </c>
      <c r="B467" s="2">
        <v>40564</v>
      </c>
      <c r="C467" s="1">
        <v>1</v>
      </c>
      <c r="D467" s="1">
        <f t="shared" si="28"/>
        <v>2011</v>
      </c>
      <c r="E467" s="1" t="str">
        <f t="shared" si="29"/>
        <v>January</v>
      </c>
      <c r="F467" s="1">
        <v>10</v>
      </c>
      <c r="G467" s="1" t="b">
        <f t="shared" si="30"/>
        <v>0</v>
      </c>
      <c r="H467" s="1" t="str">
        <f t="shared" si="31"/>
        <v>Friday</v>
      </c>
      <c r="I467" s="1">
        <v>1</v>
      </c>
      <c r="J467" s="1">
        <v>0.2</v>
      </c>
    </row>
    <row r="468" spans="1:10" x14ac:dyDescent="0.2">
      <c r="A468" s="1">
        <v>467</v>
      </c>
      <c r="B468" s="2">
        <v>40564</v>
      </c>
      <c r="C468" s="1">
        <v>1</v>
      </c>
      <c r="D468" s="1">
        <f t="shared" si="28"/>
        <v>2011</v>
      </c>
      <c r="E468" s="1" t="str">
        <f t="shared" si="29"/>
        <v>January</v>
      </c>
      <c r="F468" s="1">
        <v>11</v>
      </c>
      <c r="G468" s="1" t="b">
        <f t="shared" si="30"/>
        <v>0</v>
      </c>
      <c r="H468" s="1" t="str">
        <f t="shared" si="31"/>
        <v>Friday</v>
      </c>
      <c r="I468" s="1">
        <v>1</v>
      </c>
      <c r="J468" s="1">
        <v>0.22</v>
      </c>
    </row>
    <row r="469" spans="1:10" x14ac:dyDescent="0.2">
      <c r="A469" s="1">
        <v>468</v>
      </c>
      <c r="B469" s="2">
        <v>40564</v>
      </c>
      <c r="C469" s="1">
        <v>1</v>
      </c>
      <c r="D469" s="1">
        <f t="shared" si="28"/>
        <v>2011</v>
      </c>
      <c r="E469" s="1" t="str">
        <f t="shared" si="29"/>
        <v>January</v>
      </c>
      <c r="F469" s="1">
        <v>12</v>
      </c>
      <c r="G469" s="1" t="b">
        <f t="shared" si="30"/>
        <v>0</v>
      </c>
      <c r="H469" s="1" t="str">
        <f t="shared" si="31"/>
        <v>Friday</v>
      </c>
      <c r="I469" s="1">
        <v>1</v>
      </c>
      <c r="J469" s="1">
        <v>0.22</v>
      </c>
    </row>
    <row r="470" spans="1:10" x14ac:dyDescent="0.2">
      <c r="A470" s="1">
        <v>469</v>
      </c>
      <c r="B470" s="2">
        <v>40564</v>
      </c>
      <c r="C470" s="1">
        <v>1</v>
      </c>
      <c r="D470" s="1">
        <f t="shared" si="28"/>
        <v>2011</v>
      </c>
      <c r="E470" s="1" t="str">
        <f t="shared" si="29"/>
        <v>January</v>
      </c>
      <c r="F470" s="1">
        <v>13</v>
      </c>
      <c r="G470" s="1" t="b">
        <f t="shared" si="30"/>
        <v>0</v>
      </c>
      <c r="H470" s="1" t="str">
        <f t="shared" si="31"/>
        <v>Friday</v>
      </c>
      <c r="I470" s="1">
        <v>1</v>
      </c>
      <c r="J470" s="1">
        <v>0.2</v>
      </c>
    </row>
    <row r="471" spans="1:10" x14ac:dyDescent="0.2">
      <c r="A471" s="1">
        <v>470</v>
      </c>
      <c r="B471" s="2">
        <v>40564</v>
      </c>
      <c r="C471" s="1">
        <v>1</v>
      </c>
      <c r="D471" s="1">
        <f t="shared" si="28"/>
        <v>2011</v>
      </c>
      <c r="E471" s="1" t="str">
        <f t="shared" si="29"/>
        <v>January</v>
      </c>
      <c r="F471" s="1">
        <v>14</v>
      </c>
      <c r="G471" s="1" t="b">
        <f t="shared" si="30"/>
        <v>0</v>
      </c>
      <c r="H471" s="1" t="str">
        <f t="shared" si="31"/>
        <v>Friday</v>
      </c>
      <c r="I471" s="1">
        <v>1</v>
      </c>
      <c r="J471" s="1">
        <v>0.2</v>
      </c>
    </row>
    <row r="472" spans="1:10" x14ac:dyDescent="0.2">
      <c r="A472" s="1">
        <v>471</v>
      </c>
      <c r="B472" s="2">
        <v>40564</v>
      </c>
      <c r="C472" s="1">
        <v>1</v>
      </c>
      <c r="D472" s="1">
        <f t="shared" si="28"/>
        <v>2011</v>
      </c>
      <c r="E472" s="1" t="str">
        <f t="shared" si="29"/>
        <v>January</v>
      </c>
      <c r="F472" s="1">
        <v>15</v>
      </c>
      <c r="G472" s="1" t="b">
        <f t="shared" si="30"/>
        <v>0</v>
      </c>
      <c r="H472" s="1" t="str">
        <f t="shared" si="31"/>
        <v>Friday</v>
      </c>
      <c r="I472" s="1">
        <v>1</v>
      </c>
      <c r="J472" s="1">
        <v>0.16</v>
      </c>
    </row>
    <row r="473" spans="1:10" x14ac:dyDescent="0.2">
      <c r="A473" s="1">
        <v>472</v>
      </c>
      <c r="B473" s="2">
        <v>40564</v>
      </c>
      <c r="C473" s="1">
        <v>1</v>
      </c>
      <c r="D473" s="1">
        <f t="shared" si="28"/>
        <v>2011</v>
      </c>
      <c r="E473" s="1" t="str">
        <f t="shared" si="29"/>
        <v>January</v>
      </c>
      <c r="F473" s="1">
        <v>16</v>
      </c>
      <c r="G473" s="1" t="b">
        <f t="shared" si="30"/>
        <v>0</v>
      </c>
      <c r="H473" s="1" t="str">
        <f t="shared" si="31"/>
        <v>Friday</v>
      </c>
      <c r="I473" s="1">
        <v>1</v>
      </c>
      <c r="J473" s="1">
        <v>0.16</v>
      </c>
    </row>
    <row r="474" spans="1:10" x14ac:dyDescent="0.2">
      <c r="A474" s="1">
        <v>473</v>
      </c>
      <c r="B474" s="2">
        <v>40564</v>
      </c>
      <c r="C474" s="1">
        <v>1</v>
      </c>
      <c r="D474" s="1">
        <f t="shared" si="28"/>
        <v>2011</v>
      </c>
      <c r="E474" s="1" t="str">
        <f t="shared" si="29"/>
        <v>January</v>
      </c>
      <c r="F474" s="1">
        <v>17</v>
      </c>
      <c r="G474" s="1" t="b">
        <f t="shared" si="30"/>
        <v>0</v>
      </c>
      <c r="H474" s="1" t="str">
        <f t="shared" si="31"/>
        <v>Friday</v>
      </c>
      <c r="I474" s="1">
        <v>1</v>
      </c>
      <c r="J474" s="1">
        <v>0.14000000000000001</v>
      </c>
    </row>
    <row r="475" spans="1:10" x14ac:dyDescent="0.2">
      <c r="A475" s="1">
        <v>474</v>
      </c>
      <c r="B475" s="2">
        <v>40564</v>
      </c>
      <c r="C475" s="1">
        <v>1</v>
      </c>
      <c r="D475" s="1">
        <f t="shared" si="28"/>
        <v>2011</v>
      </c>
      <c r="E475" s="1" t="str">
        <f t="shared" si="29"/>
        <v>January</v>
      </c>
      <c r="F475" s="1">
        <v>18</v>
      </c>
      <c r="G475" s="1" t="b">
        <f t="shared" si="30"/>
        <v>0</v>
      </c>
      <c r="H475" s="1" t="str">
        <f t="shared" si="31"/>
        <v>Friday</v>
      </c>
      <c r="I475" s="1">
        <v>1</v>
      </c>
      <c r="J475" s="1">
        <v>0.12</v>
      </c>
    </row>
    <row r="476" spans="1:10" x14ac:dyDescent="0.2">
      <c r="A476" s="1">
        <v>475</v>
      </c>
      <c r="B476" s="2">
        <v>40564</v>
      </c>
      <c r="C476" s="1">
        <v>1</v>
      </c>
      <c r="D476" s="1">
        <f t="shared" si="28"/>
        <v>2011</v>
      </c>
      <c r="E476" s="1" t="str">
        <f t="shared" si="29"/>
        <v>January</v>
      </c>
      <c r="F476" s="1">
        <v>19</v>
      </c>
      <c r="G476" s="1" t="b">
        <f t="shared" si="30"/>
        <v>0</v>
      </c>
      <c r="H476" s="1" t="str">
        <f t="shared" si="31"/>
        <v>Friday</v>
      </c>
      <c r="I476" s="1">
        <v>1</v>
      </c>
      <c r="J476" s="1">
        <v>0.12</v>
      </c>
    </row>
    <row r="477" spans="1:10" x14ac:dyDescent="0.2">
      <c r="A477" s="1">
        <v>476</v>
      </c>
      <c r="B477" s="2">
        <v>40564</v>
      </c>
      <c r="C477" s="1">
        <v>1</v>
      </c>
      <c r="D477" s="1">
        <f t="shared" si="28"/>
        <v>2011</v>
      </c>
      <c r="E477" s="1" t="str">
        <f t="shared" si="29"/>
        <v>January</v>
      </c>
      <c r="F477" s="1">
        <v>20</v>
      </c>
      <c r="G477" s="1" t="b">
        <f t="shared" si="30"/>
        <v>0</v>
      </c>
      <c r="H477" s="1" t="str">
        <f t="shared" si="31"/>
        <v>Friday</v>
      </c>
      <c r="I477" s="1">
        <v>1</v>
      </c>
      <c r="J477" s="1">
        <v>0.1</v>
      </c>
    </row>
    <row r="478" spans="1:10" x14ac:dyDescent="0.2">
      <c r="A478" s="1">
        <v>477</v>
      </c>
      <c r="B478" s="2">
        <v>40564</v>
      </c>
      <c r="C478" s="1">
        <v>1</v>
      </c>
      <c r="D478" s="1">
        <f t="shared" si="28"/>
        <v>2011</v>
      </c>
      <c r="E478" s="1" t="str">
        <f t="shared" si="29"/>
        <v>January</v>
      </c>
      <c r="F478" s="1">
        <v>21</v>
      </c>
      <c r="G478" s="1" t="b">
        <f t="shared" si="30"/>
        <v>0</v>
      </c>
      <c r="H478" s="1" t="str">
        <f t="shared" si="31"/>
        <v>Friday</v>
      </c>
      <c r="I478" s="1">
        <v>1</v>
      </c>
      <c r="J478" s="1">
        <v>0.08</v>
      </c>
    </row>
    <row r="479" spans="1:10" x14ac:dyDescent="0.2">
      <c r="A479" s="1">
        <v>478</v>
      </c>
      <c r="B479" s="2">
        <v>40564</v>
      </c>
      <c r="C479" s="1">
        <v>1</v>
      </c>
      <c r="D479" s="1">
        <f t="shared" si="28"/>
        <v>2011</v>
      </c>
      <c r="E479" s="1" t="str">
        <f t="shared" si="29"/>
        <v>January</v>
      </c>
      <c r="F479" s="1">
        <v>22</v>
      </c>
      <c r="G479" s="1" t="b">
        <f t="shared" si="30"/>
        <v>0</v>
      </c>
      <c r="H479" s="1" t="str">
        <f t="shared" si="31"/>
        <v>Friday</v>
      </c>
      <c r="I479" s="1">
        <v>1</v>
      </c>
      <c r="J479" s="1">
        <v>0.06</v>
      </c>
    </row>
    <row r="480" spans="1:10" x14ac:dyDescent="0.2">
      <c r="A480" s="1">
        <v>479</v>
      </c>
      <c r="B480" s="2">
        <v>40564</v>
      </c>
      <c r="C480" s="1">
        <v>1</v>
      </c>
      <c r="D480" s="1">
        <f t="shared" si="28"/>
        <v>2011</v>
      </c>
      <c r="E480" s="1" t="str">
        <f t="shared" si="29"/>
        <v>January</v>
      </c>
      <c r="F480" s="1">
        <v>23</v>
      </c>
      <c r="G480" s="1" t="b">
        <f t="shared" si="30"/>
        <v>0</v>
      </c>
      <c r="H480" s="1" t="str">
        <f t="shared" si="31"/>
        <v>Friday</v>
      </c>
      <c r="I480" s="1">
        <v>1</v>
      </c>
      <c r="J480" s="1">
        <v>0.06</v>
      </c>
    </row>
    <row r="481" spans="1:10" x14ac:dyDescent="0.2">
      <c r="A481" s="1">
        <v>480</v>
      </c>
      <c r="B481" s="2">
        <v>40565</v>
      </c>
      <c r="C481" s="1">
        <v>1</v>
      </c>
      <c r="D481" s="1">
        <f t="shared" si="28"/>
        <v>2011</v>
      </c>
      <c r="E481" s="1" t="str">
        <f t="shared" si="29"/>
        <v>January</v>
      </c>
      <c r="F481" s="1">
        <v>0</v>
      </c>
      <c r="G481" s="1" t="b">
        <f t="shared" si="30"/>
        <v>0</v>
      </c>
      <c r="H481" s="1" t="str">
        <f t="shared" si="31"/>
        <v>Saturday</v>
      </c>
      <c r="I481" s="1">
        <v>1</v>
      </c>
      <c r="J481" s="1">
        <v>0.04</v>
      </c>
    </row>
    <row r="482" spans="1:10" x14ac:dyDescent="0.2">
      <c r="A482" s="1">
        <v>481</v>
      </c>
      <c r="B482" s="2">
        <v>40565</v>
      </c>
      <c r="C482" s="1">
        <v>1</v>
      </c>
      <c r="D482" s="1">
        <f t="shared" si="28"/>
        <v>2011</v>
      </c>
      <c r="E482" s="1" t="str">
        <f t="shared" si="29"/>
        <v>January</v>
      </c>
      <c r="F482" s="1">
        <v>1</v>
      </c>
      <c r="G482" s="1" t="b">
        <f t="shared" si="30"/>
        <v>0</v>
      </c>
      <c r="H482" s="1" t="str">
        <f t="shared" si="31"/>
        <v>Saturday</v>
      </c>
      <c r="I482" s="1">
        <v>2</v>
      </c>
      <c r="J482" s="1">
        <v>0.04</v>
      </c>
    </row>
    <row r="483" spans="1:10" x14ac:dyDescent="0.2">
      <c r="A483" s="1">
        <v>482</v>
      </c>
      <c r="B483" s="2">
        <v>40565</v>
      </c>
      <c r="C483" s="1">
        <v>1</v>
      </c>
      <c r="D483" s="1">
        <f t="shared" si="28"/>
        <v>2011</v>
      </c>
      <c r="E483" s="1" t="str">
        <f t="shared" si="29"/>
        <v>January</v>
      </c>
      <c r="F483" s="1">
        <v>2</v>
      </c>
      <c r="G483" s="1" t="b">
        <f t="shared" si="30"/>
        <v>0</v>
      </c>
      <c r="H483" s="1" t="str">
        <f t="shared" si="31"/>
        <v>Saturday</v>
      </c>
      <c r="I483" s="1">
        <v>2</v>
      </c>
      <c r="J483" s="1">
        <v>0.04</v>
      </c>
    </row>
    <row r="484" spans="1:10" x14ac:dyDescent="0.2">
      <c r="A484" s="1">
        <v>483</v>
      </c>
      <c r="B484" s="2">
        <v>40565</v>
      </c>
      <c r="C484" s="1">
        <v>1</v>
      </c>
      <c r="D484" s="1">
        <f t="shared" si="28"/>
        <v>2011</v>
      </c>
      <c r="E484" s="1" t="str">
        <f t="shared" si="29"/>
        <v>January</v>
      </c>
      <c r="F484" s="1">
        <v>3</v>
      </c>
      <c r="G484" s="1" t="b">
        <f t="shared" si="30"/>
        <v>0</v>
      </c>
      <c r="H484" s="1" t="str">
        <f t="shared" si="31"/>
        <v>Saturday</v>
      </c>
      <c r="I484" s="1">
        <v>2</v>
      </c>
      <c r="J484" s="1">
        <v>0.04</v>
      </c>
    </row>
    <row r="485" spans="1:10" x14ac:dyDescent="0.2">
      <c r="A485" s="1">
        <v>484</v>
      </c>
      <c r="B485" s="2">
        <v>40565</v>
      </c>
      <c r="C485" s="1">
        <v>1</v>
      </c>
      <c r="D485" s="1">
        <f t="shared" si="28"/>
        <v>2011</v>
      </c>
      <c r="E485" s="1" t="str">
        <f t="shared" si="29"/>
        <v>January</v>
      </c>
      <c r="F485" s="1">
        <v>4</v>
      </c>
      <c r="G485" s="1" t="b">
        <f t="shared" si="30"/>
        <v>0</v>
      </c>
      <c r="H485" s="1" t="str">
        <f t="shared" si="31"/>
        <v>Saturday</v>
      </c>
      <c r="I485" s="1">
        <v>2</v>
      </c>
      <c r="J485" s="1">
        <v>0.02</v>
      </c>
    </row>
    <row r="486" spans="1:10" x14ac:dyDescent="0.2">
      <c r="A486" s="1">
        <v>485</v>
      </c>
      <c r="B486" s="2">
        <v>40565</v>
      </c>
      <c r="C486" s="1">
        <v>1</v>
      </c>
      <c r="D486" s="1">
        <f t="shared" si="28"/>
        <v>2011</v>
      </c>
      <c r="E486" s="1" t="str">
        <f t="shared" si="29"/>
        <v>January</v>
      </c>
      <c r="F486" s="1">
        <v>6</v>
      </c>
      <c r="G486" s="1" t="b">
        <f t="shared" si="30"/>
        <v>0</v>
      </c>
      <c r="H486" s="1" t="str">
        <f t="shared" si="31"/>
        <v>Saturday</v>
      </c>
      <c r="I486" s="1">
        <v>2</v>
      </c>
      <c r="J486" s="1">
        <v>0.02</v>
      </c>
    </row>
    <row r="487" spans="1:10" x14ac:dyDescent="0.2">
      <c r="A487" s="1">
        <v>486</v>
      </c>
      <c r="B487" s="2">
        <v>40565</v>
      </c>
      <c r="C487" s="1">
        <v>1</v>
      </c>
      <c r="D487" s="1">
        <f t="shared" si="28"/>
        <v>2011</v>
      </c>
      <c r="E487" s="1" t="str">
        <f t="shared" si="29"/>
        <v>January</v>
      </c>
      <c r="F487" s="1">
        <v>7</v>
      </c>
      <c r="G487" s="1" t="b">
        <f t="shared" si="30"/>
        <v>0</v>
      </c>
      <c r="H487" s="1" t="str">
        <f t="shared" si="31"/>
        <v>Saturday</v>
      </c>
      <c r="I487" s="1">
        <v>1</v>
      </c>
      <c r="J487" s="1">
        <v>0.02</v>
      </c>
    </row>
    <row r="488" spans="1:10" x14ac:dyDescent="0.2">
      <c r="A488" s="1">
        <v>487</v>
      </c>
      <c r="B488" s="2">
        <v>40565</v>
      </c>
      <c r="C488" s="1">
        <v>1</v>
      </c>
      <c r="D488" s="1">
        <f t="shared" si="28"/>
        <v>2011</v>
      </c>
      <c r="E488" s="1" t="str">
        <f t="shared" si="29"/>
        <v>January</v>
      </c>
      <c r="F488" s="1">
        <v>8</v>
      </c>
      <c r="G488" s="1" t="b">
        <f t="shared" si="30"/>
        <v>0</v>
      </c>
      <c r="H488" s="1" t="str">
        <f t="shared" si="31"/>
        <v>Saturday</v>
      </c>
      <c r="I488" s="1">
        <v>1</v>
      </c>
      <c r="J488" s="1">
        <v>0.02</v>
      </c>
    </row>
    <row r="489" spans="1:10" x14ac:dyDescent="0.2">
      <c r="A489" s="1">
        <v>488</v>
      </c>
      <c r="B489" s="2">
        <v>40565</v>
      </c>
      <c r="C489" s="1">
        <v>1</v>
      </c>
      <c r="D489" s="1">
        <f t="shared" si="28"/>
        <v>2011</v>
      </c>
      <c r="E489" s="1" t="str">
        <f t="shared" si="29"/>
        <v>January</v>
      </c>
      <c r="F489" s="1">
        <v>9</v>
      </c>
      <c r="G489" s="1" t="b">
        <f t="shared" si="30"/>
        <v>0</v>
      </c>
      <c r="H489" s="1" t="str">
        <f t="shared" si="31"/>
        <v>Saturday</v>
      </c>
      <c r="I489" s="1">
        <v>1</v>
      </c>
      <c r="J489" s="1">
        <v>0.04</v>
      </c>
    </row>
    <row r="490" spans="1:10" x14ac:dyDescent="0.2">
      <c r="A490" s="1">
        <v>489</v>
      </c>
      <c r="B490" s="2">
        <v>40565</v>
      </c>
      <c r="C490" s="1">
        <v>1</v>
      </c>
      <c r="D490" s="1">
        <f t="shared" si="28"/>
        <v>2011</v>
      </c>
      <c r="E490" s="1" t="str">
        <f t="shared" si="29"/>
        <v>January</v>
      </c>
      <c r="F490" s="1">
        <v>10</v>
      </c>
      <c r="G490" s="1" t="b">
        <f t="shared" si="30"/>
        <v>0</v>
      </c>
      <c r="H490" s="1" t="str">
        <f t="shared" si="31"/>
        <v>Saturday</v>
      </c>
      <c r="I490" s="1">
        <v>2</v>
      </c>
      <c r="J490" s="1">
        <v>0.04</v>
      </c>
    </row>
    <row r="491" spans="1:10" x14ac:dyDescent="0.2">
      <c r="A491" s="1">
        <v>490</v>
      </c>
      <c r="B491" s="2">
        <v>40565</v>
      </c>
      <c r="C491" s="1">
        <v>1</v>
      </c>
      <c r="D491" s="1">
        <f t="shared" si="28"/>
        <v>2011</v>
      </c>
      <c r="E491" s="1" t="str">
        <f t="shared" si="29"/>
        <v>January</v>
      </c>
      <c r="F491" s="1">
        <v>11</v>
      </c>
      <c r="G491" s="1" t="b">
        <f t="shared" si="30"/>
        <v>0</v>
      </c>
      <c r="H491" s="1" t="str">
        <f t="shared" si="31"/>
        <v>Saturday</v>
      </c>
      <c r="I491" s="1">
        <v>2</v>
      </c>
      <c r="J491" s="1">
        <v>0.06</v>
      </c>
    </row>
    <row r="492" spans="1:10" x14ac:dyDescent="0.2">
      <c r="A492" s="1">
        <v>491</v>
      </c>
      <c r="B492" s="2">
        <v>40565</v>
      </c>
      <c r="C492" s="1">
        <v>1</v>
      </c>
      <c r="D492" s="1">
        <f t="shared" si="28"/>
        <v>2011</v>
      </c>
      <c r="E492" s="1" t="str">
        <f t="shared" si="29"/>
        <v>January</v>
      </c>
      <c r="F492" s="1">
        <v>12</v>
      </c>
      <c r="G492" s="1" t="b">
        <f t="shared" si="30"/>
        <v>0</v>
      </c>
      <c r="H492" s="1" t="str">
        <f t="shared" si="31"/>
        <v>Saturday</v>
      </c>
      <c r="I492" s="1">
        <v>2</v>
      </c>
      <c r="J492" s="1">
        <v>0.06</v>
      </c>
    </row>
    <row r="493" spans="1:10" x14ac:dyDescent="0.2">
      <c r="A493" s="1">
        <v>492</v>
      </c>
      <c r="B493" s="2">
        <v>40565</v>
      </c>
      <c r="C493" s="1">
        <v>1</v>
      </c>
      <c r="D493" s="1">
        <f t="shared" si="28"/>
        <v>2011</v>
      </c>
      <c r="E493" s="1" t="str">
        <f t="shared" si="29"/>
        <v>January</v>
      </c>
      <c r="F493" s="1">
        <v>13</v>
      </c>
      <c r="G493" s="1" t="b">
        <f t="shared" si="30"/>
        <v>0</v>
      </c>
      <c r="H493" s="1" t="str">
        <f t="shared" si="31"/>
        <v>Saturday</v>
      </c>
      <c r="I493" s="1">
        <v>1</v>
      </c>
      <c r="J493" s="1">
        <v>0.08</v>
      </c>
    </row>
    <row r="494" spans="1:10" x14ac:dyDescent="0.2">
      <c r="A494" s="1">
        <v>493</v>
      </c>
      <c r="B494" s="2">
        <v>40565</v>
      </c>
      <c r="C494" s="1">
        <v>1</v>
      </c>
      <c r="D494" s="1">
        <f t="shared" si="28"/>
        <v>2011</v>
      </c>
      <c r="E494" s="1" t="str">
        <f t="shared" si="29"/>
        <v>January</v>
      </c>
      <c r="F494" s="1">
        <v>14</v>
      </c>
      <c r="G494" s="1" t="b">
        <f t="shared" si="30"/>
        <v>0</v>
      </c>
      <c r="H494" s="1" t="str">
        <f t="shared" si="31"/>
        <v>Saturday</v>
      </c>
      <c r="I494" s="1">
        <v>1</v>
      </c>
      <c r="J494" s="1">
        <v>0.1</v>
      </c>
    </row>
    <row r="495" spans="1:10" x14ac:dyDescent="0.2">
      <c r="A495" s="1">
        <v>494</v>
      </c>
      <c r="B495" s="2">
        <v>40565</v>
      </c>
      <c r="C495" s="1">
        <v>1</v>
      </c>
      <c r="D495" s="1">
        <f t="shared" si="28"/>
        <v>2011</v>
      </c>
      <c r="E495" s="1" t="str">
        <f t="shared" si="29"/>
        <v>January</v>
      </c>
      <c r="F495" s="1">
        <v>15</v>
      </c>
      <c r="G495" s="1" t="b">
        <f t="shared" si="30"/>
        <v>0</v>
      </c>
      <c r="H495" s="1" t="str">
        <f t="shared" si="31"/>
        <v>Saturday</v>
      </c>
      <c r="I495" s="1">
        <v>1</v>
      </c>
      <c r="J495" s="1">
        <v>0.12</v>
      </c>
    </row>
    <row r="496" spans="1:10" x14ac:dyDescent="0.2">
      <c r="A496" s="1">
        <v>495</v>
      </c>
      <c r="B496" s="2">
        <v>40565</v>
      </c>
      <c r="C496" s="1">
        <v>1</v>
      </c>
      <c r="D496" s="1">
        <f t="shared" si="28"/>
        <v>2011</v>
      </c>
      <c r="E496" s="1" t="str">
        <f t="shared" si="29"/>
        <v>January</v>
      </c>
      <c r="F496" s="1">
        <v>16</v>
      </c>
      <c r="G496" s="1" t="b">
        <f t="shared" si="30"/>
        <v>0</v>
      </c>
      <c r="H496" s="1" t="str">
        <f t="shared" si="31"/>
        <v>Saturday</v>
      </c>
      <c r="I496" s="1">
        <v>1</v>
      </c>
      <c r="J496" s="1">
        <v>0.12</v>
      </c>
    </row>
    <row r="497" spans="1:10" x14ac:dyDescent="0.2">
      <c r="A497" s="1">
        <v>496</v>
      </c>
      <c r="B497" s="2">
        <v>40565</v>
      </c>
      <c r="C497" s="1">
        <v>1</v>
      </c>
      <c r="D497" s="1">
        <f t="shared" si="28"/>
        <v>2011</v>
      </c>
      <c r="E497" s="1" t="str">
        <f t="shared" si="29"/>
        <v>January</v>
      </c>
      <c r="F497" s="1">
        <v>17</v>
      </c>
      <c r="G497" s="1" t="b">
        <f t="shared" si="30"/>
        <v>0</v>
      </c>
      <c r="H497" s="1" t="str">
        <f t="shared" si="31"/>
        <v>Saturday</v>
      </c>
      <c r="I497" s="1">
        <v>1</v>
      </c>
      <c r="J497" s="1">
        <v>0.12</v>
      </c>
    </row>
    <row r="498" spans="1:10" x14ac:dyDescent="0.2">
      <c r="A498" s="1">
        <v>497</v>
      </c>
      <c r="B498" s="2">
        <v>40565</v>
      </c>
      <c r="C498" s="1">
        <v>1</v>
      </c>
      <c r="D498" s="1">
        <f t="shared" si="28"/>
        <v>2011</v>
      </c>
      <c r="E498" s="1" t="str">
        <f t="shared" si="29"/>
        <v>January</v>
      </c>
      <c r="F498" s="1">
        <v>18</v>
      </c>
      <c r="G498" s="1" t="b">
        <f t="shared" si="30"/>
        <v>0</v>
      </c>
      <c r="H498" s="1" t="str">
        <f t="shared" si="31"/>
        <v>Saturday</v>
      </c>
      <c r="I498" s="1">
        <v>1</v>
      </c>
      <c r="J498" s="1">
        <v>0.08</v>
      </c>
    </row>
    <row r="499" spans="1:10" x14ac:dyDescent="0.2">
      <c r="A499" s="1">
        <v>498</v>
      </c>
      <c r="B499" s="2">
        <v>40565</v>
      </c>
      <c r="C499" s="1">
        <v>1</v>
      </c>
      <c r="D499" s="1">
        <f t="shared" si="28"/>
        <v>2011</v>
      </c>
      <c r="E499" s="1" t="str">
        <f t="shared" si="29"/>
        <v>January</v>
      </c>
      <c r="F499" s="1">
        <v>19</v>
      </c>
      <c r="G499" s="1" t="b">
        <f t="shared" si="30"/>
        <v>0</v>
      </c>
      <c r="H499" s="1" t="str">
        <f t="shared" si="31"/>
        <v>Saturday</v>
      </c>
      <c r="I499" s="1">
        <v>1</v>
      </c>
      <c r="J499" s="1">
        <v>0.08</v>
      </c>
    </row>
    <row r="500" spans="1:10" x14ac:dyDescent="0.2">
      <c r="A500" s="1">
        <v>499</v>
      </c>
      <c r="B500" s="2">
        <v>40565</v>
      </c>
      <c r="C500" s="1">
        <v>1</v>
      </c>
      <c r="D500" s="1">
        <f t="shared" si="28"/>
        <v>2011</v>
      </c>
      <c r="E500" s="1" t="str">
        <f t="shared" si="29"/>
        <v>January</v>
      </c>
      <c r="F500" s="1">
        <v>20</v>
      </c>
      <c r="G500" s="1" t="b">
        <f t="shared" si="30"/>
        <v>0</v>
      </c>
      <c r="H500" s="1" t="str">
        <f t="shared" si="31"/>
        <v>Saturday</v>
      </c>
      <c r="I500" s="1">
        <v>1</v>
      </c>
      <c r="J500" s="1">
        <v>0.06</v>
      </c>
    </row>
    <row r="501" spans="1:10" x14ac:dyDescent="0.2">
      <c r="A501" s="1">
        <v>500</v>
      </c>
      <c r="B501" s="2">
        <v>40565</v>
      </c>
      <c r="C501" s="1">
        <v>1</v>
      </c>
      <c r="D501" s="1">
        <f t="shared" si="28"/>
        <v>2011</v>
      </c>
      <c r="E501" s="1" t="str">
        <f t="shared" si="29"/>
        <v>January</v>
      </c>
      <c r="F501" s="1">
        <v>21</v>
      </c>
      <c r="G501" s="1" t="b">
        <f t="shared" si="30"/>
        <v>0</v>
      </c>
      <c r="H501" s="1" t="str">
        <f t="shared" si="31"/>
        <v>Saturday</v>
      </c>
      <c r="I501" s="1">
        <v>1</v>
      </c>
      <c r="J501" s="1">
        <v>0.06</v>
      </c>
    </row>
    <row r="502" spans="1:10" x14ac:dyDescent="0.2">
      <c r="A502" s="1">
        <v>501</v>
      </c>
      <c r="B502" s="2">
        <v>40565</v>
      </c>
      <c r="C502" s="1">
        <v>1</v>
      </c>
      <c r="D502" s="1">
        <f t="shared" si="28"/>
        <v>2011</v>
      </c>
      <c r="E502" s="1" t="str">
        <f t="shared" si="29"/>
        <v>January</v>
      </c>
      <c r="F502" s="1">
        <v>22</v>
      </c>
      <c r="G502" s="1" t="b">
        <f t="shared" si="30"/>
        <v>0</v>
      </c>
      <c r="H502" s="1" t="str">
        <f t="shared" si="31"/>
        <v>Saturday</v>
      </c>
      <c r="I502" s="1">
        <v>1</v>
      </c>
      <c r="J502" s="1">
        <v>0.06</v>
      </c>
    </row>
    <row r="503" spans="1:10" x14ac:dyDescent="0.2">
      <c r="A503" s="1">
        <v>502</v>
      </c>
      <c r="B503" s="2">
        <v>40565</v>
      </c>
      <c r="C503" s="1">
        <v>1</v>
      </c>
      <c r="D503" s="1">
        <f t="shared" si="28"/>
        <v>2011</v>
      </c>
      <c r="E503" s="1" t="str">
        <f t="shared" si="29"/>
        <v>January</v>
      </c>
      <c r="F503" s="1">
        <v>23</v>
      </c>
      <c r="G503" s="1" t="b">
        <f t="shared" si="30"/>
        <v>0</v>
      </c>
      <c r="H503" s="1" t="str">
        <f t="shared" si="31"/>
        <v>Saturday</v>
      </c>
      <c r="I503" s="1">
        <v>1</v>
      </c>
      <c r="J503" s="1">
        <v>0.04</v>
      </c>
    </row>
    <row r="504" spans="1:10" x14ac:dyDescent="0.2">
      <c r="A504" s="1">
        <v>503</v>
      </c>
      <c r="B504" s="2">
        <v>40566</v>
      </c>
      <c r="C504" s="1">
        <v>1</v>
      </c>
      <c r="D504" s="1">
        <f t="shared" si="28"/>
        <v>2011</v>
      </c>
      <c r="E504" s="1" t="str">
        <f t="shared" si="29"/>
        <v>January</v>
      </c>
      <c r="F504" s="1">
        <v>0</v>
      </c>
      <c r="G504" s="1" t="b">
        <f t="shared" si="30"/>
        <v>1</v>
      </c>
      <c r="H504" s="1" t="str">
        <f t="shared" si="31"/>
        <v>Sunday</v>
      </c>
      <c r="I504" s="1">
        <v>1</v>
      </c>
      <c r="J504" s="1">
        <v>0.04</v>
      </c>
    </row>
    <row r="505" spans="1:10" x14ac:dyDescent="0.2">
      <c r="A505" s="1">
        <v>504</v>
      </c>
      <c r="B505" s="2">
        <v>40566</v>
      </c>
      <c r="C505" s="1">
        <v>1</v>
      </c>
      <c r="D505" s="1">
        <f t="shared" si="28"/>
        <v>2011</v>
      </c>
      <c r="E505" s="1" t="str">
        <f t="shared" si="29"/>
        <v>January</v>
      </c>
      <c r="F505" s="1">
        <v>1</v>
      </c>
      <c r="G505" s="1" t="b">
        <f t="shared" si="30"/>
        <v>1</v>
      </c>
      <c r="H505" s="1" t="str">
        <f t="shared" si="31"/>
        <v>Sunday</v>
      </c>
      <c r="I505" s="1">
        <v>1</v>
      </c>
      <c r="J505" s="1">
        <v>0.04</v>
      </c>
    </row>
    <row r="506" spans="1:10" x14ac:dyDescent="0.2">
      <c r="A506" s="1">
        <v>505</v>
      </c>
      <c r="B506" s="2">
        <v>40566</v>
      </c>
      <c r="C506" s="1">
        <v>1</v>
      </c>
      <c r="D506" s="1">
        <f t="shared" si="28"/>
        <v>2011</v>
      </c>
      <c r="E506" s="1" t="str">
        <f t="shared" si="29"/>
        <v>January</v>
      </c>
      <c r="F506" s="1">
        <v>2</v>
      </c>
      <c r="G506" s="1" t="b">
        <f t="shared" si="30"/>
        <v>1</v>
      </c>
      <c r="H506" s="1" t="str">
        <f t="shared" si="31"/>
        <v>Sunday</v>
      </c>
      <c r="I506" s="1">
        <v>1</v>
      </c>
      <c r="J506" s="1">
        <v>0.02</v>
      </c>
    </row>
    <row r="507" spans="1:10" x14ac:dyDescent="0.2">
      <c r="A507" s="1">
        <v>506</v>
      </c>
      <c r="B507" s="2">
        <v>40566</v>
      </c>
      <c r="C507" s="1">
        <v>1</v>
      </c>
      <c r="D507" s="1">
        <f t="shared" si="28"/>
        <v>2011</v>
      </c>
      <c r="E507" s="1" t="str">
        <f t="shared" si="29"/>
        <v>January</v>
      </c>
      <c r="F507" s="1">
        <v>3</v>
      </c>
      <c r="G507" s="1" t="b">
        <f t="shared" si="30"/>
        <v>1</v>
      </c>
      <c r="H507" s="1" t="str">
        <f t="shared" si="31"/>
        <v>Sunday</v>
      </c>
      <c r="I507" s="1">
        <v>1</v>
      </c>
      <c r="J507" s="1">
        <v>0.02</v>
      </c>
    </row>
    <row r="508" spans="1:10" x14ac:dyDescent="0.2">
      <c r="A508" s="1">
        <v>507</v>
      </c>
      <c r="B508" s="2">
        <v>40566</v>
      </c>
      <c r="C508" s="1">
        <v>1</v>
      </c>
      <c r="D508" s="1">
        <f t="shared" si="28"/>
        <v>2011</v>
      </c>
      <c r="E508" s="1" t="str">
        <f t="shared" si="29"/>
        <v>January</v>
      </c>
      <c r="F508" s="1">
        <v>5</v>
      </c>
      <c r="G508" s="1" t="b">
        <f t="shared" si="30"/>
        <v>1</v>
      </c>
      <c r="H508" s="1" t="str">
        <f t="shared" si="31"/>
        <v>Sunday</v>
      </c>
      <c r="I508" s="1">
        <v>2</v>
      </c>
      <c r="J508" s="1">
        <v>0.04</v>
      </c>
    </row>
    <row r="509" spans="1:10" x14ac:dyDescent="0.2">
      <c r="A509" s="1">
        <v>508</v>
      </c>
      <c r="B509" s="2">
        <v>40566</v>
      </c>
      <c r="C509" s="1">
        <v>1</v>
      </c>
      <c r="D509" s="1">
        <f t="shared" si="28"/>
        <v>2011</v>
      </c>
      <c r="E509" s="1" t="str">
        <f t="shared" si="29"/>
        <v>January</v>
      </c>
      <c r="F509" s="1">
        <v>6</v>
      </c>
      <c r="G509" s="1" t="b">
        <f t="shared" si="30"/>
        <v>1</v>
      </c>
      <c r="H509" s="1" t="str">
        <f t="shared" si="31"/>
        <v>Sunday</v>
      </c>
      <c r="I509" s="1">
        <v>2</v>
      </c>
      <c r="J509" s="1">
        <v>0.04</v>
      </c>
    </row>
    <row r="510" spans="1:10" x14ac:dyDescent="0.2">
      <c r="A510" s="1">
        <v>509</v>
      </c>
      <c r="B510" s="2">
        <v>40566</v>
      </c>
      <c r="C510" s="1">
        <v>1</v>
      </c>
      <c r="D510" s="1">
        <f t="shared" si="28"/>
        <v>2011</v>
      </c>
      <c r="E510" s="1" t="str">
        <f t="shared" si="29"/>
        <v>January</v>
      </c>
      <c r="F510" s="1">
        <v>7</v>
      </c>
      <c r="G510" s="1" t="b">
        <f t="shared" si="30"/>
        <v>1</v>
      </c>
      <c r="H510" s="1" t="str">
        <f t="shared" si="31"/>
        <v>Sunday</v>
      </c>
      <c r="I510" s="1">
        <v>1</v>
      </c>
      <c r="J510" s="1">
        <v>0.08</v>
      </c>
    </row>
    <row r="511" spans="1:10" x14ac:dyDescent="0.2">
      <c r="A511" s="1">
        <v>510</v>
      </c>
      <c r="B511" s="2">
        <v>40566</v>
      </c>
      <c r="C511" s="1">
        <v>1</v>
      </c>
      <c r="D511" s="1">
        <f t="shared" si="28"/>
        <v>2011</v>
      </c>
      <c r="E511" s="1" t="str">
        <f t="shared" si="29"/>
        <v>January</v>
      </c>
      <c r="F511" s="1">
        <v>8</v>
      </c>
      <c r="G511" s="1" t="b">
        <f t="shared" si="30"/>
        <v>1</v>
      </c>
      <c r="H511" s="1" t="str">
        <f t="shared" si="31"/>
        <v>Sunday</v>
      </c>
      <c r="I511" s="1">
        <v>1</v>
      </c>
      <c r="J511" s="1">
        <v>0.06</v>
      </c>
    </row>
    <row r="512" spans="1:10" x14ac:dyDescent="0.2">
      <c r="A512" s="1">
        <v>511</v>
      </c>
      <c r="B512" s="2">
        <v>40566</v>
      </c>
      <c r="C512" s="1">
        <v>1</v>
      </c>
      <c r="D512" s="1">
        <f t="shared" si="28"/>
        <v>2011</v>
      </c>
      <c r="E512" s="1" t="str">
        <f t="shared" si="29"/>
        <v>January</v>
      </c>
      <c r="F512" s="1">
        <v>9</v>
      </c>
      <c r="G512" s="1" t="b">
        <f t="shared" si="30"/>
        <v>1</v>
      </c>
      <c r="H512" s="1" t="str">
        <f t="shared" si="31"/>
        <v>Sunday</v>
      </c>
      <c r="I512" s="1">
        <v>1</v>
      </c>
      <c r="J512" s="1">
        <v>0.1</v>
      </c>
    </row>
    <row r="513" spans="1:10" x14ac:dyDescent="0.2">
      <c r="A513" s="1">
        <v>512</v>
      </c>
      <c r="B513" s="2">
        <v>40566</v>
      </c>
      <c r="C513" s="1">
        <v>1</v>
      </c>
      <c r="D513" s="1">
        <f t="shared" si="28"/>
        <v>2011</v>
      </c>
      <c r="E513" s="1" t="str">
        <f t="shared" si="29"/>
        <v>January</v>
      </c>
      <c r="F513" s="1">
        <v>10</v>
      </c>
      <c r="G513" s="1" t="b">
        <f t="shared" si="30"/>
        <v>1</v>
      </c>
      <c r="H513" s="1" t="str">
        <f t="shared" si="31"/>
        <v>Sunday</v>
      </c>
      <c r="I513" s="1">
        <v>1</v>
      </c>
      <c r="J513" s="1">
        <v>0.14000000000000001</v>
      </c>
    </row>
    <row r="514" spans="1:10" x14ac:dyDescent="0.2">
      <c r="A514" s="1">
        <v>513</v>
      </c>
      <c r="B514" s="2">
        <v>40566</v>
      </c>
      <c r="C514" s="1">
        <v>1</v>
      </c>
      <c r="D514" s="1">
        <f t="shared" si="28"/>
        <v>2011</v>
      </c>
      <c r="E514" s="1" t="str">
        <f t="shared" si="29"/>
        <v>January</v>
      </c>
      <c r="F514" s="1">
        <v>11</v>
      </c>
      <c r="G514" s="1" t="b">
        <f t="shared" si="30"/>
        <v>1</v>
      </c>
      <c r="H514" s="1" t="str">
        <f t="shared" si="31"/>
        <v>Sunday</v>
      </c>
      <c r="I514" s="1">
        <v>1</v>
      </c>
      <c r="J514" s="1">
        <v>0.14000000000000001</v>
      </c>
    </row>
    <row r="515" spans="1:10" x14ac:dyDescent="0.2">
      <c r="A515" s="1">
        <v>514</v>
      </c>
      <c r="B515" s="2">
        <v>40566</v>
      </c>
      <c r="C515" s="1">
        <v>1</v>
      </c>
      <c r="D515" s="1">
        <f t="shared" ref="D515:D578" si="32">YEAR(B515)</f>
        <v>2011</v>
      </c>
      <c r="E515" s="1" t="str">
        <f t="shared" ref="E515:E578" si="33">TEXT(B515,"MMMM")</f>
        <v>January</v>
      </c>
      <c r="F515" s="1">
        <v>12</v>
      </c>
      <c r="G515" s="1" t="b">
        <f t="shared" ref="G515:G578" si="34">IF(H515="Sunday",TRUE,FALSE)</f>
        <v>1</v>
      </c>
      <c r="H515" s="1" t="str">
        <f t="shared" ref="H515:H578" si="35">TEXT(B515,"DDDD")</f>
        <v>Sunday</v>
      </c>
      <c r="I515" s="1">
        <v>1</v>
      </c>
      <c r="J515" s="1">
        <v>0.16</v>
      </c>
    </row>
    <row r="516" spans="1:10" x14ac:dyDescent="0.2">
      <c r="A516" s="1">
        <v>515</v>
      </c>
      <c r="B516" s="2">
        <v>40566</v>
      </c>
      <c r="C516" s="1">
        <v>1</v>
      </c>
      <c r="D516" s="1">
        <f t="shared" si="32"/>
        <v>2011</v>
      </c>
      <c r="E516" s="1" t="str">
        <f t="shared" si="33"/>
        <v>January</v>
      </c>
      <c r="F516" s="1">
        <v>13</v>
      </c>
      <c r="G516" s="1" t="b">
        <f t="shared" si="34"/>
        <v>1</v>
      </c>
      <c r="H516" s="1" t="str">
        <f t="shared" si="35"/>
        <v>Sunday</v>
      </c>
      <c r="I516" s="1">
        <v>1</v>
      </c>
      <c r="J516" s="1">
        <v>0.14000000000000001</v>
      </c>
    </row>
    <row r="517" spans="1:10" x14ac:dyDescent="0.2">
      <c r="A517" s="1">
        <v>516</v>
      </c>
      <c r="B517" s="2">
        <v>40566</v>
      </c>
      <c r="C517" s="1">
        <v>1</v>
      </c>
      <c r="D517" s="1">
        <f t="shared" si="32"/>
        <v>2011</v>
      </c>
      <c r="E517" s="1" t="str">
        <f t="shared" si="33"/>
        <v>January</v>
      </c>
      <c r="F517" s="1">
        <v>14</v>
      </c>
      <c r="G517" s="1" t="b">
        <f t="shared" si="34"/>
        <v>1</v>
      </c>
      <c r="H517" s="1" t="str">
        <f t="shared" si="35"/>
        <v>Sunday</v>
      </c>
      <c r="I517" s="1">
        <v>1</v>
      </c>
      <c r="J517" s="1">
        <v>0.16</v>
      </c>
    </row>
    <row r="518" spans="1:10" x14ac:dyDescent="0.2">
      <c r="A518" s="1">
        <v>517</v>
      </c>
      <c r="B518" s="2">
        <v>40566</v>
      </c>
      <c r="C518" s="1">
        <v>1</v>
      </c>
      <c r="D518" s="1">
        <f t="shared" si="32"/>
        <v>2011</v>
      </c>
      <c r="E518" s="1" t="str">
        <f t="shared" si="33"/>
        <v>January</v>
      </c>
      <c r="F518" s="1">
        <v>15</v>
      </c>
      <c r="G518" s="1" t="b">
        <f t="shared" si="34"/>
        <v>1</v>
      </c>
      <c r="H518" s="1" t="str">
        <f t="shared" si="35"/>
        <v>Sunday</v>
      </c>
      <c r="I518" s="1">
        <v>1</v>
      </c>
      <c r="J518" s="1">
        <v>0.16</v>
      </c>
    </row>
    <row r="519" spans="1:10" x14ac:dyDescent="0.2">
      <c r="A519" s="1">
        <v>518</v>
      </c>
      <c r="B519" s="2">
        <v>40566</v>
      </c>
      <c r="C519" s="1">
        <v>1</v>
      </c>
      <c r="D519" s="1">
        <f t="shared" si="32"/>
        <v>2011</v>
      </c>
      <c r="E519" s="1" t="str">
        <f t="shared" si="33"/>
        <v>January</v>
      </c>
      <c r="F519" s="1">
        <v>16</v>
      </c>
      <c r="G519" s="1" t="b">
        <f t="shared" si="34"/>
        <v>1</v>
      </c>
      <c r="H519" s="1" t="str">
        <f t="shared" si="35"/>
        <v>Sunday</v>
      </c>
      <c r="I519" s="1">
        <v>1</v>
      </c>
      <c r="J519" s="1">
        <v>0.16</v>
      </c>
    </row>
    <row r="520" spans="1:10" x14ac:dyDescent="0.2">
      <c r="A520" s="1">
        <v>519</v>
      </c>
      <c r="B520" s="2">
        <v>40566</v>
      </c>
      <c r="C520" s="1">
        <v>1</v>
      </c>
      <c r="D520" s="1">
        <f t="shared" si="32"/>
        <v>2011</v>
      </c>
      <c r="E520" s="1" t="str">
        <f t="shared" si="33"/>
        <v>January</v>
      </c>
      <c r="F520" s="1">
        <v>17</v>
      </c>
      <c r="G520" s="1" t="b">
        <f t="shared" si="34"/>
        <v>1</v>
      </c>
      <c r="H520" s="1" t="str">
        <f t="shared" si="35"/>
        <v>Sunday</v>
      </c>
      <c r="I520" s="1">
        <v>1</v>
      </c>
      <c r="J520" s="1">
        <v>0.14000000000000001</v>
      </c>
    </row>
    <row r="521" spans="1:10" x14ac:dyDescent="0.2">
      <c r="A521" s="1">
        <v>520</v>
      </c>
      <c r="B521" s="2">
        <v>40566</v>
      </c>
      <c r="C521" s="1">
        <v>1</v>
      </c>
      <c r="D521" s="1">
        <f t="shared" si="32"/>
        <v>2011</v>
      </c>
      <c r="E521" s="1" t="str">
        <f t="shared" si="33"/>
        <v>January</v>
      </c>
      <c r="F521" s="1">
        <v>18</v>
      </c>
      <c r="G521" s="1" t="b">
        <f t="shared" si="34"/>
        <v>1</v>
      </c>
      <c r="H521" s="1" t="str">
        <f t="shared" si="35"/>
        <v>Sunday</v>
      </c>
      <c r="I521" s="1">
        <v>1</v>
      </c>
      <c r="J521" s="1">
        <v>0.12</v>
      </c>
    </row>
    <row r="522" spans="1:10" x14ac:dyDescent="0.2">
      <c r="A522" s="1">
        <v>521</v>
      </c>
      <c r="B522" s="2">
        <v>40566</v>
      </c>
      <c r="C522" s="1">
        <v>1</v>
      </c>
      <c r="D522" s="1">
        <f t="shared" si="32"/>
        <v>2011</v>
      </c>
      <c r="E522" s="1" t="str">
        <f t="shared" si="33"/>
        <v>January</v>
      </c>
      <c r="F522" s="1">
        <v>19</v>
      </c>
      <c r="G522" s="1" t="b">
        <f t="shared" si="34"/>
        <v>1</v>
      </c>
      <c r="H522" s="1" t="str">
        <f t="shared" si="35"/>
        <v>Sunday</v>
      </c>
      <c r="I522" s="1">
        <v>1</v>
      </c>
      <c r="J522" s="1">
        <v>0.12</v>
      </c>
    </row>
    <row r="523" spans="1:10" x14ac:dyDescent="0.2">
      <c r="A523" s="1">
        <v>522</v>
      </c>
      <c r="B523" s="2">
        <v>40566</v>
      </c>
      <c r="C523" s="1">
        <v>1</v>
      </c>
      <c r="D523" s="1">
        <f t="shared" si="32"/>
        <v>2011</v>
      </c>
      <c r="E523" s="1" t="str">
        <f t="shared" si="33"/>
        <v>January</v>
      </c>
      <c r="F523" s="1">
        <v>20</v>
      </c>
      <c r="G523" s="1" t="b">
        <f t="shared" si="34"/>
        <v>1</v>
      </c>
      <c r="H523" s="1" t="str">
        <f t="shared" si="35"/>
        <v>Sunday</v>
      </c>
      <c r="I523" s="1">
        <v>1</v>
      </c>
      <c r="J523" s="1">
        <v>0.1</v>
      </c>
    </row>
    <row r="524" spans="1:10" x14ac:dyDescent="0.2">
      <c r="A524" s="1">
        <v>523</v>
      </c>
      <c r="B524" s="2">
        <v>40566</v>
      </c>
      <c r="C524" s="1">
        <v>1</v>
      </c>
      <c r="D524" s="1">
        <f t="shared" si="32"/>
        <v>2011</v>
      </c>
      <c r="E524" s="1" t="str">
        <f t="shared" si="33"/>
        <v>January</v>
      </c>
      <c r="F524" s="1">
        <v>21</v>
      </c>
      <c r="G524" s="1" t="b">
        <f t="shared" si="34"/>
        <v>1</v>
      </c>
      <c r="H524" s="1" t="str">
        <f t="shared" si="35"/>
        <v>Sunday</v>
      </c>
      <c r="I524" s="1">
        <v>1</v>
      </c>
      <c r="J524" s="1">
        <v>0.1</v>
      </c>
    </row>
    <row r="525" spans="1:10" x14ac:dyDescent="0.2">
      <c r="A525" s="1">
        <v>524</v>
      </c>
      <c r="B525" s="2">
        <v>40566</v>
      </c>
      <c r="C525" s="1">
        <v>1</v>
      </c>
      <c r="D525" s="1">
        <f t="shared" si="32"/>
        <v>2011</v>
      </c>
      <c r="E525" s="1" t="str">
        <f t="shared" si="33"/>
        <v>January</v>
      </c>
      <c r="F525" s="1">
        <v>22</v>
      </c>
      <c r="G525" s="1" t="b">
        <f t="shared" si="34"/>
        <v>1</v>
      </c>
      <c r="H525" s="1" t="str">
        <f t="shared" si="35"/>
        <v>Sunday</v>
      </c>
      <c r="I525" s="1">
        <v>1</v>
      </c>
      <c r="J525" s="1">
        <v>0.08</v>
      </c>
    </row>
    <row r="526" spans="1:10" x14ac:dyDescent="0.2">
      <c r="A526" s="1">
        <v>525</v>
      </c>
      <c r="B526" s="2">
        <v>40566</v>
      </c>
      <c r="C526" s="1">
        <v>1</v>
      </c>
      <c r="D526" s="1">
        <f t="shared" si="32"/>
        <v>2011</v>
      </c>
      <c r="E526" s="1" t="str">
        <f t="shared" si="33"/>
        <v>January</v>
      </c>
      <c r="F526" s="1">
        <v>23</v>
      </c>
      <c r="G526" s="1" t="b">
        <f t="shared" si="34"/>
        <v>1</v>
      </c>
      <c r="H526" s="1" t="str">
        <f t="shared" si="35"/>
        <v>Sunday</v>
      </c>
      <c r="I526" s="1">
        <v>1</v>
      </c>
      <c r="J526" s="1">
        <v>0.06</v>
      </c>
    </row>
    <row r="527" spans="1:10" x14ac:dyDescent="0.2">
      <c r="A527" s="1">
        <v>526</v>
      </c>
      <c r="B527" s="2">
        <v>40567</v>
      </c>
      <c r="C527" s="1">
        <v>1</v>
      </c>
      <c r="D527" s="1">
        <f t="shared" si="32"/>
        <v>2011</v>
      </c>
      <c r="E527" s="1" t="str">
        <f t="shared" si="33"/>
        <v>January</v>
      </c>
      <c r="F527" s="1">
        <v>0</v>
      </c>
      <c r="G527" s="1" t="b">
        <f t="shared" si="34"/>
        <v>0</v>
      </c>
      <c r="H527" s="1" t="str">
        <f t="shared" si="35"/>
        <v>Monday</v>
      </c>
      <c r="I527" s="1">
        <v>1</v>
      </c>
      <c r="J527" s="1">
        <v>0.06</v>
      </c>
    </row>
    <row r="528" spans="1:10" x14ac:dyDescent="0.2">
      <c r="A528" s="1">
        <v>527</v>
      </c>
      <c r="B528" s="2">
        <v>40567</v>
      </c>
      <c r="C528" s="1">
        <v>1</v>
      </c>
      <c r="D528" s="1">
        <f t="shared" si="32"/>
        <v>2011</v>
      </c>
      <c r="E528" s="1" t="str">
        <f t="shared" si="33"/>
        <v>January</v>
      </c>
      <c r="F528" s="1">
        <v>1</v>
      </c>
      <c r="G528" s="1" t="b">
        <f t="shared" si="34"/>
        <v>0</v>
      </c>
      <c r="H528" s="1" t="str">
        <f t="shared" si="35"/>
        <v>Monday</v>
      </c>
      <c r="I528" s="1">
        <v>1</v>
      </c>
      <c r="J528" s="1">
        <v>0.04</v>
      </c>
    </row>
    <row r="529" spans="1:10" x14ac:dyDescent="0.2">
      <c r="A529" s="1">
        <v>528</v>
      </c>
      <c r="B529" s="2">
        <v>40567</v>
      </c>
      <c r="C529" s="1">
        <v>1</v>
      </c>
      <c r="D529" s="1">
        <f t="shared" si="32"/>
        <v>2011</v>
      </c>
      <c r="E529" s="1" t="str">
        <f t="shared" si="33"/>
        <v>January</v>
      </c>
      <c r="F529" s="1">
        <v>3</v>
      </c>
      <c r="G529" s="1" t="b">
        <f t="shared" si="34"/>
        <v>0</v>
      </c>
      <c r="H529" s="1" t="str">
        <f t="shared" si="35"/>
        <v>Monday</v>
      </c>
      <c r="I529" s="1">
        <v>1</v>
      </c>
      <c r="J529" s="1">
        <v>0.04</v>
      </c>
    </row>
    <row r="530" spans="1:10" x14ac:dyDescent="0.2">
      <c r="A530" s="1">
        <v>529</v>
      </c>
      <c r="B530" s="2">
        <v>40567</v>
      </c>
      <c r="C530" s="1">
        <v>1</v>
      </c>
      <c r="D530" s="1">
        <f t="shared" si="32"/>
        <v>2011</v>
      </c>
      <c r="E530" s="1" t="str">
        <f t="shared" si="33"/>
        <v>January</v>
      </c>
      <c r="F530" s="1">
        <v>4</v>
      </c>
      <c r="G530" s="1" t="b">
        <f t="shared" si="34"/>
        <v>0</v>
      </c>
      <c r="H530" s="1" t="str">
        <f t="shared" si="35"/>
        <v>Monday</v>
      </c>
      <c r="I530" s="1">
        <v>1</v>
      </c>
      <c r="J530" s="1">
        <v>0.02</v>
      </c>
    </row>
    <row r="531" spans="1:10" x14ac:dyDescent="0.2">
      <c r="A531" s="1">
        <v>530</v>
      </c>
      <c r="B531" s="2">
        <v>40567</v>
      </c>
      <c r="C531" s="1">
        <v>1</v>
      </c>
      <c r="D531" s="1">
        <f t="shared" si="32"/>
        <v>2011</v>
      </c>
      <c r="E531" s="1" t="str">
        <f t="shared" si="33"/>
        <v>January</v>
      </c>
      <c r="F531" s="1">
        <v>5</v>
      </c>
      <c r="G531" s="1" t="b">
        <f t="shared" si="34"/>
        <v>0</v>
      </c>
      <c r="H531" s="1" t="str">
        <f t="shared" si="35"/>
        <v>Monday</v>
      </c>
      <c r="I531" s="1">
        <v>1</v>
      </c>
      <c r="J531" s="1">
        <v>0.02</v>
      </c>
    </row>
    <row r="532" spans="1:10" x14ac:dyDescent="0.2">
      <c r="A532" s="1">
        <v>531</v>
      </c>
      <c r="B532" s="2">
        <v>40567</v>
      </c>
      <c r="C532" s="1">
        <v>1</v>
      </c>
      <c r="D532" s="1">
        <f t="shared" si="32"/>
        <v>2011</v>
      </c>
      <c r="E532" s="1" t="str">
        <f t="shared" si="33"/>
        <v>January</v>
      </c>
      <c r="F532" s="1">
        <v>6</v>
      </c>
      <c r="G532" s="1" t="b">
        <f t="shared" si="34"/>
        <v>0</v>
      </c>
      <c r="H532" s="1" t="str">
        <f t="shared" si="35"/>
        <v>Monday</v>
      </c>
      <c r="I532" s="1">
        <v>1</v>
      </c>
      <c r="J532" s="1">
        <v>0.02</v>
      </c>
    </row>
    <row r="533" spans="1:10" x14ac:dyDescent="0.2">
      <c r="A533" s="1">
        <v>532</v>
      </c>
      <c r="B533" s="2">
        <v>40567</v>
      </c>
      <c r="C533" s="1">
        <v>1</v>
      </c>
      <c r="D533" s="1">
        <f t="shared" si="32"/>
        <v>2011</v>
      </c>
      <c r="E533" s="1" t="str">
        <f t="shared" si="33"/>
        <v>January</v>
      </c>
      <c r="F533" s="1">
        <v>7</v>
      </c>
      <c r="G533" s="1" t="b">
        <f t="shared" si="34"/>
        <v>0</v>
      </c>
      <c r="H533" s="1" t="str">
        <f t="shared" si="35"/>
        <v>Monday</v>
      </c>
      <c r="I533" s="1">
        <v>1</v>
      </c>
      <c r="J533" s="1">
        <v>0.02</v>
      </c>
    </row>
    <row r="534" spans="1:10" x14ac:dyDescent="0.2">
      <c r="A534" s="1">
        <v>533</v>
      </c>
      <c r="B534" s="2">
        <v>40567</v>
      </c>
      <c r="C534" s="1">
        <v>1</v>
      </c>
      <c r="D534" s="1">
        <f t="shared" si="32"/>
        <v>2011</v>
      </c>
      <c r="E534" s="1" t="str">
        <f t="shared" si="33"/>
        <v>January</v>
      </c>
      <c r="F534" s="1">
        <v>8</v>
      </c>
      <c r="G534" s="1" t="b">
        <f t="shared" si="34"/>
        <v>0</v>
      </c>
      <c r="H534" s="1" t="str">
        <f t="shared" si="35"/>
        <v>Monday</v>
      </c>
      <c r="I534" s="1">
        <v>1</v>
      </c>
      <c r="J534" s="1">
        <v>0.04</v>
      </c>
    </row>
    <row r="535" spans="1:10" x14ac:dyDescent="0.2">
      <c r="A535" s="1">
        <v>534</v>
      </c>
      <c r="B535" s="2">
        <v>40567</v>
      </c>
      <c r="C535" s="1">
        <v>1</v>
      </c>
      <c r="D535" s="1">
        <f t="shared" si="32"/>
        <v>2011</v>
      </c>
      <c r="E535" s="1" t="str">
        <f t="shared" si="33"/>
        <v>January</v>
      </c>
      <c r="F535" s="1">
        <v>9</v>
      </c>
      <c r="G535" s="1" t="b">
        <f t="shared" si="34"/>
        <v>0</v>
      </c>
      <c r="H535" s="1" t="str">
        <f t="shared" si="35"/>
        <v>Monday</v>
      </c>
      <c r="I535" s="1">
        <v>1</v>
      </c>
      <c r="J535" s="1">
        <v>0.06</v>
      </c>
    </row>
    <row r="536" spans="1:10" x14ac:dyDescent="0.2">
      <c r="A536" s="1">
        <v>535</v>
      </c>
      <c r="B536" s="2">
        <v>40567</v>
      </c>
      <c r="C536" s="1">
        <v>1</v>
      </c>
      <c r="D536" s="1">
        <f t="shared" si="32"/>
        <v>2011</v>
      </c>
      <c r="E536" s="1" t="str">
        <f t="shared" si="33"/>
        <v>January</v>
      </c>
      <c r="F536" s="1">
        <v>10</v>
      </c>
      <c r="G536" s="1" t="b">
        <f t="shared" si="34"/>
        <v>0</v>
      </c>
      <c r="H536" s="1" t="str">
        <f t="shared" si="35"/>
        <v>Monday</v>
      </c>
      <c r="I536" s="1">
        <v>1</v>
      </c>
      <c r="J536" s="1">
        <v>0.1</v>
      </c>
    </row>
    <row r="537" spans="1:10" x14ac:dyDescent="0.2">
      <c r="A537" s="1">
        <v>536</v>
      </c>
      <c r="B537" s="2">
        <v>40567</v>
      </c>
      <c r="C537" s="1">
        <v>1</v>
      </c>
      <c r="D537" s="1">
        <f t="shared" si="32"/>
        <v>2011</v>
      </c>
      <c r="E537" s="1" t="str">
        <f t="shared" si="33"/>
        <v>January</v>
      </c>
      <c r="F537" s="1">
        <v>11</v>
      </c>
      <c r="G537" s="1" t="b">
        <f t="shared" si="34"/>
        <v>0</v>
      </c>
      <c r="H537" s="1" t="str">
        <f t="shared" si="35"/>
        <v>Monday</v>
      </c>
      <c r="I537" s="1">
        <v>1</v>
      </c>
      <c r="J537" s="1">
        <v>0.1</v>
      </c>
    </row>
    <row r="538" spans="1:10" x14ac:dyDescent="0.2">
      <c r="A538" s="1">
        <v>537</v>
      </c>
      <c r="B538" s="2">
        <v>40567</v>
      </c>
      <c r="C538" s="1">
        <v>1</v>
      </c>
      <c r="D538" s="1">
        <f t="shared" si="32"/>
        <v>2011</v>
      </c>
      <c r="E538" s="1" t="str">
        <f t="shared" si="33"/>
        <v>January</v>
      </c>
      <c r="F538" s="1">
        <v>12</v>
      </c>
      <c r="G538" s="1" t="b">
        <f t="shared" si="34"/>
        <v>0</v>
      </c>
      <c r="H538" s="1" t="str">
        <f t="shared" si="35"/>
        <v>Monday</v>
      </c>
      <c r="I538" s="1">
        <v>2</v>
      </c>
      <c r="J538" s="1">
        <v>0.12</v>
      </c>
    </row>
    <row r="539" spans="1:10" x14ac:dyDescent="0.2">
      <c r="A539" s="1">
        <v>538</v>
      </c>
      <c r="B539" s="2">
        <v>40567</v>
      </c>
      <c r="C539" s="1">
        <v>1</v>
      </c>
      <c r="D539" s="1">
        <f t="shared" si="32"/>
        <v>2011</v>
      </c>
      <c r="E539" s="1" t="str">
        <f t="shared" si="33"/>
        <v>January</v>
      </c>
      <c r="F539" s="1">
        <v>13</v>
      </c>
      <c r="G539" s="1" t="b">
        <f t="shared" si="34"/>
        <v>0</v>
      </c>
      <c r="H539" s="1" t="str">
        <f t="shared" si="35"/>
        <v>Monday</v>
      </c>
      <c r="I539" s="1">
        <v>2</v>
      </c>
      <c r="J539" s="1">
        <v>0.14000000000000001</v>
      </c>
    </row>
    <row r="540" spans="1:10" x14ac:dyDescent="0.2">
      <c r="A540" s="1">
        <v>539</v>
      </c>
      <c r="B540" s="2">
        <v>40567</v>
      </c>
      <c r="C540" s="1">
        <v>1</v>
      </c>
      <c r="D540" s="1">
        <f t="shared" si="32"/>
        <v>2011</v>
      </c>
      <c r="E540" s="1" t="str">
        <f t="shared" si="33"/>
        <v>January</v>
      </c>
      <c r="F540" s="1">
        <v>14</v>
      </c>
      <c r="G540" s="1" t="b">
        <f t="shared" si="34"/>
        <v>0</v>
      </c>
      <c r="H540" s="1" t="str">
        <f t="shared" si="35"/>
        <v>Monday</v>
      </c>
      <c r="I540" s="1">
        <v>2</v>
      </c>
      <c r="J540" s="1">
        <v>0.14000000000000001</v>
      </c>
    </row>
    <row r="541" spans="1:10" x14ac:dyDescent="0.2">
      <c r="A541" s="1">
        <v>540</v>
      </c>
      <c r="B541" s="2">
        <v>40567</v>
      </c>
      <c r="C541" s="1">
        <v>1</v>
      </c>
      <c r="D541" s="1">
        <f t="shared" si="32"/>
        <v>2011</v>
      </c>
      <c r="E541" s="1" t="str">
        <f t="shared" si="33"/>
        <v>January</v>
      </c>
      <c r="F541" s="1">
        <v>15</v>
      </c>
      <c r="G541" s="1" t="b">
        <f t="shared" si="34"/>
        <v>0</v>
      </c>
      <c r="H541" s="1" t="str">
        <f t="shared" si="35"/>
        <v>Monday</v>
      </c>
      <c r="I541" s="1">
        <v>1</v>
      </c>
      <c r="J541" s="1">
        <v>0.16</v>
      </c>
    </row>
    <row r="542" spans="1:10" x14ac:dyDescent="0.2">
      <c r="A542" s="1">
        <v>541</v>
      </c>
      <c r="B542" s="2">
        <v>40567</v>
      </c>
      <c r="C542" s="1">
        <v>1</v>
      </c>
      <c r="D542" s="1">
        <f t="shared" si="32"/>
        <v>2011</v>
      </c>
      <c r="E542" s="1" t="str">
        <f t="shared" si="33"/>
        <v>January</v>
      </c>
      <c r="F542" s="1">
        <v>16</v>
      </c>
      <c r="G542" s="1" t="b">
        <f t="shared" si="34"/>
        <v>0</v>
      </c>
      <c r="H542" s="1" t="str">
        <f t="shared" si="35"/>
        <v>Monday</v>
      </c>
      <c r="I542" s="1">
        <v>1</v>
      </c>
      <c r="J542" s="1">
        <v>0.16</v>
      </c>
    </row>
    <row r="543" spans="1:10" x14ac:dyDescent="0.2">
      <c r="A543" s="1">
        <v>542</v>
      </c>
      <c r="B543" s="2">
        <v>40567</v>
      </c>
      <c r="C543" s="1">
        <v>1</v>
      </c>
      <c r="D543" s="1">
        <f t="shared" si="32"/>
        <v>2011</v>
      </c>
      <c r="E543" s="1" t="str">
        <f t="shared" si="33"/>
        <v>January</v>
      </c>
      <c r="F543" s="1">
        <v>17</v>
      </c>
      <c r="G543" s="1" t="b">
        <f t="shared" si="34"/>
        <v>0</v>
      </c>
      <c r="H543" s="1" t="str">
        <f t="shared" si="35"/>
        <v>Monday</v>
      </c>
      <c r="I543" s="1">
        <v>1</v>
      </c>
      <c r="J543" s="1">
        <v>0.14000000000000001</v>
      </c>
    </row>
    <row r="544" spans="1:10" x14ac:dyDescent="0.2">
      <c r="A544" s="1">
        <v>543</v>
      </c>
      <c r="B544" s="2">
        <v>40567</v>
      </c>
      <c r="C544" s="1">
        <v>1</v>
      </c>
      <c r="D544" s="1">
        <f t="shared" si="32"/>
        <v>2011</v>
      </c>
      <c r="E544" s="1" t="str">
        <f t="shared" si="33"/>
        <v>January</v>
      </c>
      <c r="F544" s="1">
        <v>18</v>
      </c>
      <c r="G544" s="1" t="b">
        <f t="shared" si="34"/>
        <v>0</v>
      </c>
      <c r="H544" s="1" t="str">
        <f t="shared" si="35"/>
        <v>Monday</v>
      </c>
      <c r="I544" s="1">
        <v>1</v>
      </c>
      <c r="J544" s="1">
        <v>0.14000000000000001</v>
      </c>
    </row>
    <row r="545" spans="1:10" x14ac:dyDescent="0.2">
      <c r="A545" s="1">
        <v>544</v>
      </c>
      <c r="B545" s="2">
        <v>40567</v>
      </c>
      <c r="C545" s="1">
        <v>1</v>
      </c>
      <c r="D545" s="1">
        <f t="shared" si="32"/>
        <v>2011</v>
      </c>
      <c r="E545" s="1" t="str">
        <f t="shared" si="33"/>
        <v>January</v>
      </c>
      <c r="F545" s="1">
        <v>19</v>
      </c>
      <c r="G545" s="1" t="b">
        <f t="shared" si="34"/>
        <v>0</v>
      </c>
      <c r="H545" s="1" t="str">
        <f t="shared" si="35"/>
        <v>Monday</v>
      </c>
      <c r="I545" s="1">
        <v>1</v>
      </c>
      <c r="J545" s="1">
        <v>0.14000000000000001</v>
      </c>
    </row>
    <row r="546" spans="1:10" x14ac:dyDescent="0.2">
      <c r="A546" s="1">
        <v>545</v>
      </c>
      <c r="B546" s="2">
        <v>40567</v>
      </c>
      <c r="C546" s="1">
        <v>1</v>
      </c>
      <c r="D546" s="1">
        <f t="shared" si="32"/>
        <v>2011</v>
      </c>
      <c r="E546" s="1" t="str">
        <f t="shared" si="33"/>
        <v>January</v>
      </c>
      <c r="F546" s="1">
        <v>20</v>
      </c>
      <c r="G546" s="1" t="b">
        <f t="shared" si="34"/>
        <v>0</v>
      </c>
      <c r="H546" s="1" t="str">
        <f t="shared" si="35"/>
        <v>Monday</v>
      </c>
      <c r="I546" s="1">
        <v>1</v>
      </c>
      <c r="J546" s="1">
        <v>0.14000000000000001</v>
      </c>
    </row>
    <row r="547" spans="1:10" x14ac:dyDescent="0.2">
      <c r="A547" s="1">
        <v>546</v>
      </c>
      <c r="B547" s="2">
        <v>40567</v>
      </c>
      <c r="C547" s="1">
        <v>1</v>
      </c>
      <c r="D547" s="1">
        <f t="shared" si="32"/>
        <v>2011</v>
      </c>
      <c r="E547" s="1" t="str">
        <f t="shared" si="33"/>
        <v>January</v>
      </c>
      <c r="F547" s="1">
        <v>21</v>
      </c>
      <c r="G547" s="1" t="b">
        <f t="shared" si="34"/>
        <v>0</v>
      </c>
      <c r="H547" s="1" t="str">
        <f t="shared" si="35"/>
        <v>Monday</v>
      </c>
      <c r="I547" s="1">
        <v>1</v>
      </c>
      <c r="J547" s="1">
        <v>0.14000000000000001</v>
      </c>
    </row>
    <row r="548" spans="1:10" x14ac:dyDescent="0.2">
      <c r="A548" s="1">
        <v>547</v>
      </c>
      <c r="B548" s="2">
        <v>40567</v>
      </c>
      <c r="C548" s="1">
        <v>1</v>
      </c>
      <c r="D548" s="1">
        <f t="shared" si="32"/>
        <v>2011</v>
      </c>
      <c r="E548" s="1" t="str">
        <f t="shared" si="33"/>
        <v>January</v>
      </c>
      <c r="F548" s="1">
        <v>22</v>
      </c>
      <c r="G548" s="1" t="b">
        <f t="shared" si="34"/>
        <v>0</v>
      </c>
      <c r="H548" s="1" t="str">
        <f t="shared" si="35"/>
        <v>Monday</v>
      </c>
      <c r="I548" s="1">
        <v>2</v>
      </c>
      <c r="J548" s="1">
        <v>0.14000000000000001</v>
      </c>
    </row>
    <row r="549" spans="1:10" x14ac:dyDescent="0.2">
      <c r="A549" s="1">
        <v>548</v>
      </c>
      <c r="B549" s="2">
        <v>40567</v>
      </c>
      <c r="C549" s="1">
        <v>1</v>
      </c>
      <c r="D549" s="1">
        <f t="shared" si="32"/>
        <v>2011</v>
      </c>
      <c r="E549" s="1" t="str">
        <f t="shared" si="33"/>
        <v>January</v>
      </c>
      <c r="F549" s="1">
        <v>23</v>
      </c>
      <c r="G549" s="1" t="b">
        <f t="shared" si="34"/>
        <v>0</v>
      </c>
      <c r="H549" s="1" t="str">
        <f t="shared" si="35"/>
        <v>Monday</v>
      </c>
      <c r="I549" s="1">
        <v>2</v>
      </c>
      <c r="J549" s="1">
        <v>0.16</v>
      </c>
    </row>
    <row r="550" spans="1:10" x14ac:dyDescent="0.2">
      <c r="A550" s="1">
        <v>549</v>
      </c>
      <c r="B550" s="2">
        <v>40568</v>
      </c>
      <c r="C550" s="1">
        <v>1</v>
      </c>
      <c r="D550" s="1">
        <f t="shared" si="32"/>
        <v>2011</v>
      </c>
      <c r="E550" s="1" t="str">
        <f t="shared" si="33"/>
        <v>January</v>
      </c>
      <c r="F550" s="1">
        <v>0</v>
      </c>
      <c r="G550" s="1" t="b">
        <f t="shared" si="34"/>
        <v>0</v>
      </c>
      <c r="H550" s="1" t="str">
        <f t="shared" si="35"/>
        <v>Tuesday</v>
      </c>
      <c r="I550" s="1">
        <v>2</v>
      </c>
      <c r="J550" s="1">
        <v>0.16</v>
      </c>
    </row>
    <row r="551" spans="1:10" x14ac:dyDescent="0.2">
      <c r="A551" s="1">
        <v>550</v>
      </c>
      <c r="B551" s="2">
        <v>40568</v>
      </c>
      <c r="C551" s="1">
        <v>1</v>
      </c>
      <c r="D551" s="1">
        <f t="shared" si="32"/>
        <v>2011</v>
      </c>
      <c r="E551" s="1" t="str">
        <f t="shared" si="33"/>
        <v>January</v>
      </c>
      <c r="F551" s="1">
        <v>1</v>
      </c>
      <c r="G551" s="1" t="b">
        <f t="shared" si="34"/>
        <v>0</v>
      </c>
      <c r="H551" s="1" t="str">
        <f t="shared" si="35"/>
        <v>Tuesday</v>
      </c>
      <c r="I551" s="1">
        <v>2</v>
      </c>
      <c r="J551" s="1">
        <v>0.16</v>
      </c>
    </row>
    <row r="552" spans="1:10" x14ac:dyDescent="0.2">
      <c r="A552" s="1">
        <v>551</v>
      </c>
      <c r="B552" s="2">
        <v>40568</v>
      </c>
      <c r="C552" s="1">
        <v>1</v>
      </c>
      <c r="D552" s="1">
        <f t="shared" si="32"/>
        <v>2011</v>
      </c>
      <c r="E552" s="1" t="str">
        <f t="shared" si="33"/>
        <v>January</v>
      </c>
      <c r="F552" s="1">
        <v>2</v>
      </c>
      <c r="G552" s="1" t="b">
        <f t="shared" si="34"/>
        <v>0</v>
      </c>
      <c r="H552" s="1" t="str">
        <f t="shared" si="35"/>
        <v>Tuesday</v>
      </c>
      <c r="I552" s="1">
        <v>1</v>
      </c>
      <c r="J552" s="1">
        <v>0.16</v>
      </c>
    </row>
    <row r="553" spans="1:10" x14ac:dyDescent="0.2">
      <c r="A553" s="1">
        <v>552</v>
      </c>
      <c r="B553" s="2">
        <v>40568</v>
      </c>
      <c r="C553" s="1">
        <v>1</v>
      </c>
      <c r="D553" s="1">
        <f t="shared" si="32"/>
        <v>2011</v>
      </c>
      <c r="E553" s="1" t="str">
        <f t="shared" si="33"/>
        <v>January</v>
      </c>
      <c r="F553" s="1">
        <v>4</v>
      </c>
      <c r="G553" s="1" t="b">
        <f t="shared" si="34"/>
        <v>0</v>
      </c>
      <c r="H553" s="1" t="str">
        <f t="shared" si="35"/>
        <v>Tuesday</v>
      </c>
      <c r="I553" s="1">
        <v>1</v>
      </c>
      <c r="J553" s="1">
        <v>0.14000000000000001</v>
      </c>
    </row>
    <row r="554" spans="1:10" x14ac:dyDescent="0.2">
      <c r="A554" s="1">
        <v>553</v>
      </c>
      <c r="B554" s="2">
        <v>40568</v>
      </c>
      <c r="C554" s="1">
        <v>1</v>
      </c>
      <c r="D554" s="1">
        <f t="shared" si="32"/>
        <v>2011</v>
      </c>
      <c r="E554" s="1" t="str">
        <f t="shared" si="33"/>
        <v>January</v>
      </c>
      <c r="F554" s="1">
        <v>5</v>
      </c>
      <c r="G554" s="1" t="b">
        <f t="shared" si="34"/>
        <v>0</v>
      </c>
      <c r="H554" s="1" t="str">
        <f t="shared" si="35"/>
        <v>Tuesday</v>
      </c>
      <c r="I554" s="1">
        <v>1</v>
      </c>
      <c r="J554" s="1">
        <v>0.14000000000000001</v>
      </c>
    </row>
    <row r="555" spans="1:10" x14ac:dyDescent="0.2">
      <c r="A555" s="1">
        <v>554</v>
      </c>
      <c r="B555" s="2">
        <v>40568</v>
      </c>
      <c r="C555" s="1">
        <v>1</v>
      </c>
      <c r="D555" s="1">
        <f t="shared" si="32"/>
        <v>2011</v>
      </c>
      <c r="E555" s="1" t="str">
        <f t="shared" si="33"/>
        <v>January</v>
      </c>
      <c r="F555" s="1">
        <v>6</v>
      </c>
      <c r="G555" s="1" t="b">
        <f t="shared" si="34"/>
        <v>0</v>
      </c>
      <c r="H555" s="1" t="str">
        <f t="shared" si="35"/>
        <v>Tuesday</v>
      </c>
      <c r="I555" s="1">
        <v>1</v>
      </c>
      <c r="J555" s="1">
        <v>0.16</v>
      </c>
    </row>
    <row r="556" spans="1:10" x14ac:dyDescent="0.2">
      <c r="A556" s="1">
        <v>555</v>
      </c>
      <c r="B556" s="2">
        <v>40568</v>
      </c>
      <c r="C556" s="1">
        <v>1</v>
      </c>
      <c r="D556" s="1">
        <f t="shared" si="32"/>
        <v>2011</v>
      </c>
      <c r="E556" s="1" t="str">
        <f t="shared" si="33"/>
        <v>January</v>
      </c>
      <c r="F556" s="1">
        <v>7</v>
      </c>
      <c r="G556" s="1" t="b">
        <f t="shared" si="34"/>
        <v>0</v>
      </c>
      <c r="H556" s="1" t="str">
        <f t="shared" si="35"/>
        <v>Tuesday</v>
      </c>
      <c r="I556" s="1">
        <v>1</v>
      </c>
      <c r="J556" s="1">
        <v>0.16</v>
      </c>
    </row>
    <row r="557" spans="1:10" x14ac:dyDescent="0.2">
      <c r="A557" s="1">
        <v>556</v>
      </c>
      <c r="B557" s="2">
        <v>40568</v>
      </c>
      <c r="C557" s="1">
        <v>1</v>
      </c>
      <c r="D557" s="1">
        <f t="shared" si="32"/>
        <v>2011</v>
      </c>
      <c r="E557" s="1" t="str">
        <f t="shared" si="33"/>
        <v>January</v>
      </c>
      <c r="F557" s="1">
        <v>8</v>
      </c>
      <c r="G557" s="1" t="b">
        <f t="shared" si="34"/>
        <v>0</v>
      </c>
      <c r="H557" s="1" t="str">
        <f t="shared" si="35"/>
        <v>Tuesday</v>
      </c>
      <c r="I557" s="1">
        <v>2</v>
      </c>
      <c r="J557" s="1">
        <v>0.16</v>
      </c>
    </row>
    <row r="558" spans="1:10" x14ac:dyDescent="0.2">
      <c r="A558" s="1">
        <v>557</v>
      </c>
      <c r="B558" s="2">
        <v>40568</v>
      </c>
      <c r="C558" s="1">
        <v>1</v>
      </c>
      <c r="D558" s="1">
        <f t="shared" si="32"/>
        <v>2011</v>
      </c>
      <c r="E558" s="1" t="str">
        <f t="shared" si="33"/>
        <v>January</v>
      </c>
      <c r="F558" s="1">
        <v>9</v>
      </c>
      <c r="G558" s="1" t="b">
        <f t="shared" si="34"/>
        <v>0</v>
      </c>
      <c r="H558" s="1" t="str">
        <f t="shared" si="35"/>
        <v>Tuesday</v>
      </c>
      <c r="I558" s="1">
        <v>2</v>
      </c>
      <c r="J558" s="1">
        <v>0.2</v>
      </c>
    </row>
    <row r="559" spans="1:10" x14ac:dyDescent="0.2">
      <c r="A559" s="1">
        <v>558</v>
      </c>
      <c r="B559" s="2">
        <v>40568</v>
      </c>
      <c r="C559" s="1">
        <v>1</v>
      </c>
      <c r="D559" s="1">
        <f t="shared" si="32"/>
        <v>2011</v>
      </c>
      <c r="E559" s="1" t="str">
        <f t="shared" si="33"/>
        <v>January</v>
      </c>
      <c r="F559" s="1">
        <v>10</v>
      </c>
      <c r="G559" s="1" t="b">
        <f t="shared" si="34"/>
        <v>0</v>
      </c>
      <c r="H559" s="1" t="str">
        <f t="shared" si="35"/>
        <v>Tuesday</v>
      </c>
      <c r="I559" s="1">
        <v>2</v>
      </c>
      <c r="J559" s="1">
        <v>0.22</v>
      </c>
    </row>
    <row r="560" spans="1:10" x14ac:dyDescent="0.2">
      <c r="A560" s="1">
        <v>559</v>
      </c>
      <c r="B560" s="2">
        <v>40568</v>
      </c>
      <c r="C560" s="1">
        <v>1</v>
      </c>
      <c r="D560" s="1">
        <f t="shared" si="32"/>
        <v>2011</v>
      </c>
      <c r="E560" s="1" t="str">
        <f t="shared" si="33"/>
        <v>January</v>
      </c>
      <c r="F560" s="1">
        <v>11</v>
      </c>
      <c r="G560" s="1" t="b">
        <f t="shared" si="34"/>
        <v>0</v>
      </c>
      <c r="H560" s="1" t="str">
        <f t="shared" si="35"/>
        <v>Tuesday</v>
      </c>
      <c r="I560" s="1">
        <v>2</v>
      </c>
      <c r="J560" s="1">
        <v>0.24</v>
      </c>
    </row>
    <row r="561" spans="1:10" x14ac:dyDescent="0.2">
      <c r="A561" s="1">
        <v>560</v>
      </c>
      <c r="B561" s="2">
        <v>40568</v>
      </c>
      <c r="C561" s="1">
        <v>1</v>
      </c>
      <c r="D561" s="1">
        <f t="shared" si="32"/>
        <v>2011</v>
      </c>
      <c r="E561" s="1" t="str">
        <f t="shared" si="33"/>
        <v>January</v>
      </c>
      <c r="F561" s="1">
        <v>12</v>
      </c>
      <c r="G561" s="1" t="b">
        <f t="shared" si="34"/>
        <v>0</v>
      </c>
      <c r="H561" s="1" t="str">
        <f t="shared" si="35"/>
        <v>Tuesday</v>
      </c>
      <c r="I561" s="1">
        <v>2</v>
      </c>
      <c r="J561" s="1">
        <v>0.26</v>
      </c>
    </row>
    <row r="562" spans="1:10" x14ac:dyDescent="0.2">
      <c r="A562" s="1">
        <v>561</v>
      </c>
      <c r="B562" s="2">
        <v>40568</v>
      </c>
      <c r="C562" s="1">
        <v>1</v>
      </c>
      <c r="D562" s="1">
        <f t="shared" si="32"/>
        <v>2011</v>
      </c>
      <c r="E562" s="1" t="str">
        <f t="shared" si="33"/>
        <v>January</v>
      </c>
      <c r="F562" s="1">
        <v>13</v>
      </c>
      <c r="G562" s="1" t="b">
        <f t="shared" si="34"/>
        <v>0</v>
      </c>
      <c r="H562" s="1" t="str">
        <f t="shared" si="35"/>
        <v>Tuesday</v>
      </c>
      <c r="I562" s="1">
        <v>2</v>
      </c>
      <c r="J562" s="1">
        <v>0.26</v>
      </c>
    </row>
    <row r="563" spans="1:10" x14ac:dyDescent="0.2">
      <c r="A563" s="1">
        <v>562</v>
      </c>
      <c r="B563" s="2">
        <v>40568</v>
      </c>
      <c r="C563" s="1">
        <v>1</v>
      </c>
      <c r="D563" s="1">
        <f t="shared" si="32"/>
        <v>2011</v>
      </c>
      <c r="E563" s="1" t="str">
        <f t="shared" si="33"/>
        <v>January</v>
      </c>
      <c r="F563" s="1">
        <v>14</v>
      </c>
      <c r="G563" s="1" t="b">
        <f t="shared" si="34"/>
        <v>0</v>
      </c>
      <c r="H563" s="1" t="str">
        <f t="shared" si="35"/>
        <v>Tuesday</v>
      </c>
      <c r="I563" s="1">
        <v>2</v>
      </c>
      <c r="J563" s="1">
        <v>0.3</v>
      </c>
    </row>
    <row r="564" spans="1:10" x14ac:dyDescent="0.2">
      <c r="A564" s="1">
        <v>563</v>
      </c>
      <c r="B564" s="2">
        <v>40568</v>
      </c>
      <c r="C564" s="1">
        <v>1</v>
      </c>
      <c r="D564" s="1">
        <f t="shared" si="32"/>
        <v>2011</v>
      </c>
      <c r="E564" s="1" t="str">
        <f t="shared" si="33"/>
        <v>January</v>
      </c>
      <c r="F564" s="1">
        <v>15</v>
      </c>
      <c r="G564" s="1" t="b">
        <f t="shared" si="34"/>
        <v>0</v>
      </c>
      <c r="H564" s="1" t="str">
        <f t="shared" si="35"/>
        <v>Tuesday</v>
      </c>
      <c r="I564" s="1">
        <v>2</v>
      </c>
      <c r="J564" s="1">
        <v>0.32</v>
      </c>
    </row>
    <row r="565" spans="1:10" x14ac:dyDescent="0.2">
      <c r="A565" s="1">
        <v>564</v>
      </c>
      <c r="B565" s="2">
        <v>40568</v>
      </c>
      <c r="C565" s="1">
        <v>1</v>
      </c>
      <c r="D565" s="1">
        <f t="shared" si="32"/>
        <v>2011</v>
      </c>
      <c r="E565" s="1" t="str">
        <f t="shared" si="33"/>
        <v>January</v>
      </c>
      <c r="F565" s="1">
        <v>16</v>
      </c>
      <c r="G565" s="1" t="b">
        <f t="shared" si="34"/>
        <v>0</v>
      </c>
      <c r="H565" s="1" t="str">
        <f t="shared" si="35"/>
        <v>Tuesday</v>
      </c>
      <c r="I565" s="1">
        <v>2</v>
      </c>
      <c r="J565" s="1">
        <v>0.32</v>
      </c>
    </row>
    <row r="566" spans="1:10" x14ac:dyDescent="0.2">
      <c r="A566" s="1">
        <v>565</v>
      </c>
      <c r="B566" s="2">
        <v>40568</v>
      </c>
      <c r="C566" s="1">
        <v>1</v>
      </c>
      <c r="D566" s="1">
        <f t="shared" si="32"/>
        <v>2011</v>
      </c>
      <c r="E566" s="1" t="str">
        <f t="shared" si="33"/>
        <v>January</v>
      </c>
      <c r="F566" s="1">
        <v>17</v>
      </c>
      <c r="G566" s="1" t="b">
        <f t="shared" si="34"/>
        <v>0</v>
      </c>
      <c r="H566" s="1" t="str">
        <f t="shared" si="35"/>
        <v>Tuesday</v>
      </c>
      <c r="I566" s="1">
        <v>1</v>
      </c>
      <c r="J566" s="1">
        <v>0.3</v>
      </c>
    </row>
    <row r="567" spans="1:10" x14ac:dyDescent="0.2">
      <c r="A567" s="1">
        <v>566</v>
      </c>
      <c r="B567" s="2">
        <v>40568</v>
      </c>
      <c r="C567" s="1">
        <v>1</v>
      </c>
      <c r="D567" s="1">
        <f t="shared" si="32"/>
        <v>2011</v>
      </c>
      <c r="E567" s="1" t="str">
        <f t="shared" si="33"/>
        <v>January</v>
      </c>
      <c r="F567" s="1">
        <v>18</v>
      </c>
      <c r="G567" s="1" t="b">
        <f t="shared" si="34"/>
        <v>0</v>
      </c>
      <c r="H567" s="1" t="str">
        <f t="shared" si="35"/>
        <v>Tuesday</v>
      </c>
      <c r="I567" s="1">
        <v>2</v>
      </c>
      <c r="J567" s="1">
        <v>0.3</v>
      </c>
    </row>
    <row r="568" spans="1:10" x14ac:dyDescent="0.2">
      <c r="A568" s="1">
        <v>567</v>
      </c>
      <c r="B568" s="2">
        <v>40568</v>
      </c>
      <c r="C568" s="1">
        <v>1</v>
      </c>
      <c r="D568" s="1">
        <f t="shared" si="32"/>
        <v>2011</v>
      </c>
      <c r="E568" s="1" t="str">
        <f t="shared" si="33"/>
        <v>January</v>
      </c>
      <c r="F568" s="1">
        <v>19</v>
      </c>
      <c r="G568" s="1" t="b">
        <f t="shared" si="34"/>
        <v>0</v>
      </c>
      <c r="H568" s="1" t="str">
        <f t="shared" si="35"/>
        <v>Tuesday</v>
      </c>
      <c r="I568" s="1">
        <v>2</v>
      </c>
      <c r="J568" s="1">
        <v>0.26</v>
      </c>
    </row>
    <row r="569" spans="1:10" x14ac:dyDescent="0.2">
      <c r="A569" s="1">
        <v>568</v>
      </c>
      <c r="B569" s="2">
        <v>40568</v>
      </c>
      <c r="C569" s="1">
        <v>1</v>
      </c>
      <c r="D569" s="1">
        <f t="shared" si="32"/>
        <v>2011</v>
      </c>
      <c r="E569" s="1" t="str">
        <f t="shared" si="33"/>
        <v>January</v>
      </c>
      <c r="F569" s="1">
        <v>20</v>
      </c>
      <c r="G569" s="1" t="b">
        <f t="shared" si="34"/>
        <v>0</v>
      </c>
      <c r="H569" s="1" t="str">
        <f t="shared" si="35"/>
        <v>Tuesday</v>
      </c>
      <c r="I569" s="1">
        <v>1</v>
      </c>
      <c r="J569" s="1">
        <v>0.24</v>
      </c>
    </row>
    <row r="570" spans="1:10" x14ac:dyDescent="0.2">
      <c r="A570" s="1">
        <v>569</v>
      </c>
      <c r="B570" s="2">
        <v>40568</v>
      </c>
      <c r="C570" s="1">
        <v>1</v>
      </c>
      <c r="D570" s="1">
        <f t="shared" si="32"/>
        <v>2011</v>
      </c>
      <c r="E570" s="1" t="str">
        <f t="shared" si="33"/>
        <v>January</v>
      </c>
      <c r="F570" s="1">
        <v>21</v>
      </c>
      <c r="G570" s="1" t="b">
        <f t="shared" si="34"/>
        <v>0</v>
      </c>
      <c r="H570" s="1" t="str">
        <f t="shared" si="35"/>
        <v>Tuesday</v>
      </c>
      <c r="I570" s="1">
        <v>1</v>
      </c>
      <c r="J570" s="1">
        <v>0.24</v>
      </c>
    </row>
    <row r="571" spans="1:10" x14ac:dyDescent="0.2">
      <c r="A571" s="1">
        <v>570</v>
      </c>
      <c r="B571" s="2">
        <v>40568</v>
      </c>
      <c r="C571" s="1">
        <v>1</v>
      </c>
      <c r="D571" s="1">
        <f t="shared" si="32"/>
        <v>2011</v>
      </c>
      <c r="E571" s="1" t="str">
        <f t="shared" si="33"/>
        <v>January</v>
      </c>
      <c r="F571" s="1">
        <v>22</v>
      </c>
      <c r="G571" s="1" t="b">
        <f t="shared" si="34"/>
        <v>0</v>
      </c>
      <c r="H571" s="1" t="str">
        <f t="shared" si="35"/>
        <v>Tuesday</v>
      </c>
      <c r="I571" s="1">
        <v>1</v>
      </c>
      <c r="J571" s="1">
        <v>0.22</v>
      </c>
    </row>
    <row r="572" spans="1:10" x14ac:dyDescent="0.2">
      <c r="A572" s="1">
        <v>571</v>
      </c>
      <c r="B572" s="2">
        <v>40568</v>
      </c>
      <c r="C572" s="1">
        <v>1</v>
      </c>
      <c r="D572" s="1">
        <f t="shared" si="32"/>
        <v>2011</v>
      </c>
      <c r="E572" s="1" t="str">
        <f t="shared" si="33"/>
        <v>January</v>
      </c>
      <c r="F572" s="1">
        <v>23</v>
      </c>
      <c r="G572" s="1" t="b">
        <f t="shared" si="34"/>
        <v>0</v>
      </c>
      <c r="H572" s="1" t="str">
        <f t="shared" si="35"/>
        <v>Tuesday</v>
      </c>
      <c r="I572" s="1">
        <v>2</v>
      </c>
      <c r="J572" s="1">
        <v>0.22</v>
      </c>
    </row>
    <row r="573" spans="1:10" x14ac:dyDescent="0.2">
      <c r="A573" s="1">
        <v>572</v>
      </c>
      <c r="B573" s="2">
        <v>40569</v>
      </c>
      <c r="C573" s="1">
        <v>1</v>
      </c>
      <c r="D573" s="1">
        <f t="shared" si="32"/>
        <v>2011</v>
      </c>
      <c r="E573" s="1" t="str">
        <f t="shared" si="33"/>
        <v>January</v>
      </c>
      <c r="F573" s="1">
        <v>0</v>
      </c>
      <c r="G573" s="1" t="b">
        <f t="shared" si="34"/>
        <v>0</v>
      </c>
      <c r="H573" s="1" t="str">
        <f t="shared" si="35"/>
        <v>Wednesday</v>
      </c>
      <c r="I573" s="1">
        <v>2</v>
      </c>
      <c r="J573" s="1">
        <v>0.22</v>
      </c>
    </row>
    <row r="574" spans="1:10" x14ac:dyDescent="0.2">
      <c r="A574" s="1">
        <v>573</v>
      </c>
      <c r="B574" s="2">
        <v>40569</v>
      </c>
      <c r="C574" s="1">
        <v>1</v>
      </c>
      <c r="D574" s="1">
        <f t="shared" si="32"/>
        <v>2011</v>
      </c>
      <c r="E574" s="1" t="str">
        <f t="shared" si="33"/>
        <v>January</v>
      </c>
      <c r="F574" s="1">
        <v>1</v>
      </c>
      <c r="G574" s="1" t="b">
        <f t="shared" si="34"/>
        <v>0</v>
      </c>
      <c r="H574" s="1" t="str">
        <f t="shared" si="35"/>
        <v>Wednesday</v>
      </c>
      <c r="I574" s="1">
        <v>2</v>
      </c>
      <c r="J574" s="1">
        <v>0.24</v>
      </c>
    </row>
    <row r="575" spans="1:10" x14ac:dyDescent="0.2">
      <c r="A575" s="1">
        <v>574</v>
      </c>
      <c r="B575" s="2">
        <v>40569</v>
      </c>
      <c r="C575" s="1">
        <v>1</v>
      </c>
      <c r="D575" s="1">
        <f t="shared" si="32"/>
        <v>2011</v>
      </c>
      <c r="E575" s="1" t="str">
        <f t="shared" si="33"/>
        <v>January</v>
      </c>
      <c r="F575" s="1">
        <v>2</v>
      </c>
      <c r="G575" s="1" t="b">
        <f t="shared" si="34"/>
        <v>0</v>
      </c>
      <c r="H575" s="1" t="str">
        <f t="shared" si="35"/>
        <v>Wednesday</v>
      </c>
      <c r="I575" s="1">
        <v>3</v>
      </c>
      <c r="J575" s="1">
        <v>0.22</v>
      </c>
    </row>
    <row r="576" spans="1:10" x14ac:dyDescent="0.2">
      <c r="A576" s="1">
        <v>575</v>
      </c>
      <c r="B576" s="2">
        <v>40569</v>
      </c>
      <c r="C576" s="1">
        <v>1</v>
      </c>
      <c r="D576" s="1">
        <f t="shared" si="32"/>
        <v>2011</v>
      </c>
      <c r="E576" s="1" t="str">
        <f t="shared" si="33"/>
        <v>January</v>
      </c>
      <c r="F576" s="1">
        <v>5</v>
      </c>
      <c r="G576" s="1" t="b">
        <f t="shared" si="34"/>
        <v>0</v>
      </c>
      <c r="H576" s="1" t="str">
        <f t="shared" si="35"/>
        <v>Wednesday</v>
      </c>
      <c r="I576" s="1">
        <v>3</v>
      </c>
      <c r="J576" s="1">
        <v>0.2</v>
      </c>
    </row>
    <row r="577" spans="1:10" x14ac:dyDescent="0.2">
      <c r="A577" s="1">
        <v>576</v>
      </c>
      <c r="B577" s="2">
        <v>40569</v>
      </c>
      <c r="C577" s="1">
        <v>1</v>
      </c>
      <c r="D577" s="1">
        <f t="shared" si="32"/>
        <v>2011</v>
      </c>
      <c r="E577" s="1" t="str">
        <f t="shared" si="33"/>
        <v>January</v>
      </c>
      <c r="F577" s="1">
        <v>6</v>
      </c>
      <c r="G577" s="1" t="b">
        <f t="shared" si="34"/>
        <v>0</v>
      </c>
      <c r="H577" s="1" t="str">
        <f t="shared" si="35"/>
        <v>Wednesday</v>
      </c>
      <c r="I577" s="1">
        <v>3</v>
      </c>
      <c r="J577" s="1">
        <v>0.2</v>
      </c>
    </row>
    <row r="578" spans="1:10" x14ac:dyDescent="0.2">
      <c r="A578" s="1">
        <v>577</v>
      </c>
      <c r="B578" s="2">
        <v>40569</v>
      </c>
      <c r="C578" s="1">
        <v>1</v>
      </c>
      <c r="D578" s="1">
        <f t="shared" si="32"/>
        <v>2011</v>
      </c>
      <c r="E578" s="1" t="str">
        <f t="shared" si="33"/>
        <v>January</v>
      </c>
      <c r="F578" s="1">
        <v>7</v>
      </c>
      <c r="G578" s="1" t="b">
        <f t="shared" si="34"/>
        <v>0</v>
      </c>
      <c r="H578" s="1" t="str">
        <f t="shared" si="35"/>
        <v>Wednesday</v>
      </c>
      <c r="I578" s="1">
        <v>3</v>
      </c>
      <c r="J578" s="1">
        <v>0.22</v>
      </c>
    </row>
    <row r="579" spans="1:10" x14ac:dyDescent="0.2">
      <c r="A579" s="1">
        <v>578</v>
      </c>
      <c r="B579" s="2">
        <v>40569</v>
      </c>
      <c r="C579" s="1">
        <v>1</v>
      </c>
      <c r="D579" s="1">
        <f t="shared" ref="D579:D611" si="36">YEAR(B579)</f>
        <v>2011</v>
      </c>
      <c r="E579" s="1" t="str">
        <f t="shared" ref="E579:E611" si="37">TEXT(B579,"MMMM")</f>
        <v>January</v>
      </c>
      <c r="F579" s="1">
        <v>8</v>
      </c>
      <c r="G579" s="1" t="b">
        <f t="shared" ref="G579:G611" si="38">IF(H579="Sunday",TRUE,FALSE)</f>
        <v>0</v>
      </c>
      <c r="H579" s="1" t="str">
        <f t="shared" ref="H579:H611" si="39">TEXT(B579,"DDDD")</f>
        <v>Wednesday</v>
      </c>
      <c r="I579" s="1">
        <v>3</v>
      </c>
      <c r="J579" s="1">
        <v>0.22</v>
      </c>
    </row>
    <row r="580" spans="1:10" x14ac:dyDescent="0.2">
      <c r="A580" s="1">
        <v>579</v>
      </c>
      <c r="B580" s="2">
        <v>40569</v>
      </c>
      <c r="C580" s="1">
        <v>1</v>
      </c>
      <c r="D580" s="1">
        <f t="shared" si="36"/>
        <v>2011</v>
      </c>
      <c r="E580" s="1" t="str">
        <f t="shared" si="37"/>
        <v>January</v>
      </c>
      <c r="F580" s="1">
        <v>9</v>
      </c>
      <c r="G580" s="1" t="b">
        <f t="shared" si="38"/>
        <v>0</v>
      </c>
      <c r="H580" s="1" t="str">
        <f t="shared" si="39"/>
        <v>Wednesday</v>
      </c>
      <c r="I580" s="1">
        <v>3</v>
      </c>
      <c r="J580" s="1">
        <v>0.22</v>
      </c>
    </row>
    <row r="581" spans="1:10" x14ac:dyDescent="0.2">
      <c r="A581" s="1">
        <v>580</v>
      </c>
      <c r="B581" s="2">
        <v>40569</v>
      </c>
      <c r="C581" s="1">
        <v>1</v>
      </c>
      <c r="D581" s="1">
        <f t="shared" si="36"/>
        <v>2011</v>
      </c>
      <c r="E581" s="1" t="str">
        <f t="shared" si="37"/>
        <v>January</v>
      </c>
      <c r="F581" s="1">
        <v>10</v>
      </c>
      <c r="G581" s="1" t="b">
        <f t="shared" si="38"/>
        <v>0</v>
      </c>
      <c r="H581" s="1" t="str">
        <f t="shared" si="39"/>
        <v>Wednesday</v>
      </c>
      <c r="I581" s="1">
        <v>3</v>
      </c>
      <c r="J581" s="1">
        <v>0.22</v>
      </c>
    </row>
    <row r="582" spans="1:10" x14ac:dyDescent="0.2">
      <c r="A582" s="1">
        <v>581</v>
      </c>
      <c r="B582" s="2">
        <v>40569</v>
      </c>
      <c r="C582" s="1">
        <v>1</v>
      </c>
      <c r="D582" s="1">
        <f t="shared" si="36"/>
        <v>2011</v>
      </c>
      <c r="E582" s="1" t="str">
        <f t="shared" si="37"/>
        <v>January</v>
      </c>
      <c r="F582" s="1">
        <v>11</v>
      </c>
      <c r="G582" s="1" t="b">
        <f t="shared" si="38"/>
        <v>0</v>
      </c>
      <c r="H582" s="1" t="str">
        <f t="shared" si="39"/>
        <v>Wednesday</v>
      </c>
      <c r="I582" s="1">
        <v>3</v>
      </c>
      <c r="J582" s="1">
        <v>0.22</v>
      </c>
    </row>
    <row r="583" spans="1:10" x14ac:dyDescent="0.2">
      <c r="A583" s="1">
        <v>582</v>
      </c>
      <c r="B583" s="2">
        <v>40569</v>
      </c>
      <c r="C583" s="1">
        <v>1</v>
      </c>
      <c r="D583" s="1">
        <f t="shared" si="36"/>
        <v>2011</v>
      </c>
      <c r="E583" s="1" t="str">
        <f t="shared" si="37"/>
        <v>January</v>
      </c>
      <c r="F583" s="1">
        <v>12</v>
      </c>
      <c r="G583" s="1" t="b">
        <f t="shared" si="38"/>
        <v>0</v>
      </c>
      <c r="H583" s="1" t="str">
        <f t="shared" si="39"/>
        <v>Wednesday</v>
      </c>
      <c r="I583" s="1">
        <v>3</v>
      </c>
      <c r="J583" s="1">
        <v>0.22</v>
      </c>
    </row>
    <row r="584" spans="1:10" x14ac:dyDescent="0.2">
      <c r="A584" s="1">
        <v>583</v>
      </c>
      <c r="B584" s="2">
        <v>40569</v>
      </c>
      <c r="C584" s="1">
        <v>1</v>
      </c>
      <c r="D584" s="1">
        <f t="shared" si="36"/>
        <v>2011</v>
      </c>
      <c r="E584" s="1" t="str">
        <f t="shared" si="37"/>
        <v>January</v>
      </c>
      <c r="F584" s="1">
        <v>13</v>
      </c>
      <c r="G584" s="1" t="b">
        <f t="shared" si="38"/>
        <v>0</v>
      </c>
      <c r="H584" s="1" t="str">
        <f t="shared" si="39"/>
        <v>Wednesday</v>
      </c>
      <c r="I584" s="1">
        <v>3</v>
      </c>
      <c r="J584" s="1">
        <v>0.22</v>
      </c>
    </row>
    <row r="585" spans="1:10" x14ac:dyDescent="0.2">
      <c r="A585" s="1">
        <v>584</v>
      </c>
      <c r="B585" s="2">
        <v>40569</v>
      </c>
      <c r="C585" s="1">
        <v>1</v>
      </c>
      <c r="D585" s="1">
        <f t="shared" si="36"/>
        <v>2011</v>
      </c>
      <c r="E585" s="1" t="str">
        <f t="shared" si="37"/>
        <v>January</v>
      </c>
      <c r="F585" s="1">
        <v>14</v>
      </c>
      <c r="G585" s="1" t="b">
        <f t="shared" si="38"/>
        <v>0</v>
      </c>
      <c r="H585" s="1" t="str">
        <f t="shared" si="39"/>
        <v>Wednesday</v>
      </c>
      <c r="I585" s="1">
        <v>3</v>
      </c>
      <c r="J585" s="1">
        <v>0.22</v>
      </c>
    </row>
    <row r="586" spans="1:10" x14ac:dyDescent="0.2">
      <c r="A586" s="1">
        <v>585</v>
      </c>
      <c r="B586" s="2">
        <v>40569</v>
      </c>
      <c r="C586" s="1">
        <v>1</v>
      </c>
      <c r="D586" s="1">
        <f t="shared" si="36"/>
        <v>2011</v>
      </c>
      <c r="E586" s="1" t="str">
        <f t="shared" si="37"/>
        <v>January</v>
      </c>
      <c r="F586" s="1">
        <v>15</v>
      </c>
      <c r="G586" s="1" t="b">
        <f t="shared" si="38"/>
        <v>0</v>
      </c>
      <c r="H586" s="1" t="str">
        <f t="shared" si="39"/>
        <v>Wednesday</v>
      </c>
      <c r="I586" s="1">
        <v>3</v>
      </c>
      <c r="J586" s="1">
        <v>0.22</v>
      </c>
    </row>
    <row r="587" spans="1:10" x14ac:dyDescent="0.2">
      <c r="A587" s="1">
        <v>586</v>
      </c>
      <c r="B587" s="2">
        <v>40569</v>
      </c>
      <c r="C587" s="1">
        <v>1</v>
      </c>
      <c r="D587" s="1">
        <f t="shared" si="36"/>
        <v>2011</v>
      </c>
      <c r="E587" s="1" t="str">
        <f t="shared" si="37"/>
        <v>January</v>
      </c>
      <c r="F587" s="1">
        <v>16</v>
      </c>
      <c r="G587" s="1" t="b">
        <f t="shared" si="38"/>
        <v>0</v>
      </c>
      <c r="H587" s="1" t="str">
        <f t="shared" si="39"/>
        <v>Wednesday</v>
      </c>
      <c r="I587" s="1">
        <v>4</v>
      </c>
      <c r="J587" s="1">
        <v>0.22</v>
      </c>
    </row>
    <row r="588" spans="1:10" x14ac:dyDescent="0.2">
      <c r="A588" s="1">
        <v>587</v>
      </c>
      <c r="B588" s="2">
        <v>40569</v>
      </c>
      <c r="C588" s="1">
        <v>1</v>
      </c>
      <c r="D588" s="1">
        <f t="shared" si="36"/>
        <v>2011</v>
      </c>
      <c r="E588" s="1" t="str">
        <f t="shared" si="37"/>
        <v>January</v>
      </c>
      <c r="F588" s="1">
        <v>17</v>
      </c>
      <c r="G588" s="1" t="b">
        <f t="shared" si="38"/>
        <v>0</v>
      </c>
      <c r="H588" s="1" t="str">
        <f t="shared" si="39"/>
        <v>Wednesday</v>
      </c>
      <c r="I588" s="1">
        <v>3</v>
      </c>
      <c r="J588" s="1">
        <v>0.2</v>
      </c>
    </row>
    <row r="589" spans="1:10" x14ac:dyDescent="0.2">
      <c r="A589" s="1">
        <v>588</v>
      </c>
      <c r="B589" s="2">
        <v>40570</v>
      </c>
      <c r="C589" s="1">
        <v>1</v>
      </c>
      <c r="D589" s="1">
        <f t="shared" si="36"/>
        <v>2011</v>
      </c>
      <c r="E589" s="1" t="str">
        <f t="shared" si="37"/>
        <v>January</v>
      </c>
      <c r="F589" s="1">
        <v>16</v>
      </c>
      <c r="G589" s="1" t="b">
        <f t="shared" si="38"/>
        <v>0</v>
      </c>
      <c r="H589" s="1" t="str">
        <f t="shared" si="39"/>
        <v>Thursday</v>
      </c>
      <c r="I589" s="1">
        <v>1</v>
      </c>
      <c r="J589" s="1">
        <v>0.22</v>
      </c>
    </row>
    <row r="590" spans="1:10" x14ac:dyDescent="0.2">
      <c r="A590" s="1">
        <v>589</v>
      </c>
      <c r="B590" s="2">
        <v>40570</v>
      </c>
      <c r="C590" s="1">
        <v>1</v>
      </c>
      <c r="D590" s="1">
        <f t="shared" si="36"/>
        <v>2011</v>
      </c>
      <c r="E590" s="1" t="str">
        <f t="shared" si="37"/>
        <v>January</v>
      </c>
      <c r="F590" s="1">
        <v>17</v>
      </c>
      <c r="G590" s="1" t="b">
        <f t="shared" si="38"/>
        <v>0</v>
      </c>
      <c r="H590" s="1" t="str">
        <f t="shared" si="39"/>
        <v>Thursday</v>
      </c>
      <c r="I590" s="1">
        <v>1</v>
      </c>
      <c r="J590" s="1">
        <v>0.22</v>
      </c>
    </row>
    <row r="591" spans="1:10" x14ac:dyDescent="0.2">
      <c r="A591" s="1">
        <v>590</v>
      </c>
      <c r="B591" s="2">
        <v>40570</v>
      </c>
      <c r="C591" s="1">
        <v>1</v>
      </c>
      <c r="D591" s="1">
        <f t="shared" si="36"/>
        <v>2011</v>
      </c>
      <c r="E591" s="1" t="str">
        <f t="shared" si="37"/>
        <v>January</v>
      </c>
      <c r="F591" s="1">
        <v>18</v>
      </c>
      <c r="G591" s="1" t="b">
        <f t="shared" si="38"/>
        <v>0</v>
      </c>
      <c r="H591" s="1" t="str">
        <f t="shared" si="39"/>
        <v>Thursday</v>
      </c>
      <c r="I591" s="1">
        <v>1</v>
      </c>
      <c r="J591" s="1">
        <v>0.2</v>
      </c>
    </row>
    <row r="592" spans="1:10" x14ac:dyDescent="0.2">
      <c r="A592" s="1">
        <v>591</v>
      </c>
      <c r="B592" s="2">
        <v>40570</v>
      </c>
      <c r="C592" s="1">
        <v>1</v>
      </c>
      <c r="D592" s="1">
        <f t="shared" si="36"/>
        <v>2011</v>
      </c>
      <c r="E592" s="1" t="str">
        <f t="shared" si="37"/>
        <v>January</v>
      </c>
      <c r="F592" s="1">
        <v>19</v>
      </c>
      <c r="G592" s="1" t="b">
        <f t="shared" si="38"/>
        <v>0</v>
      </c>
      <c r="H592" s="1" t="str">
        <f t="shared" si="39"/>
        <v>Thursday</v>
      </c>
      <c r="I592" s="1">
        <v>1</v>
      </c>
      <c r="J592" s="1">
        <v>0.2</v>
      </c>
    </row>
    <row r="593" spans="1:10" x14ac:dyDescent="0.2">
      <c r="A593" s="1">
        <v>592</v>
      </c>
      <c r="B593" s="2">
        <v>40570</v>
      </c>
      <c r="C593" s="1">
        <v>1</v>
      </c>
      <c r="D593" s="1">
        <f t="shared" si="36"/>
        <v>2011</v>
      </c>
      <c r="E593" s="1" t="str">
        <f t="shared" si="37"/>
        <v>January</v>
      </c>
      <c r="F593" s="1">
        <v>20</v>
      </c>
      <c r="G593" s="1" t="b">
        <f t="shared" si="38"/>
        <v>0</v>
      </c>
      <c r="H593" s="1" t="str">
        <f t="shared" si="39"/>
        <v>Thursday</v>
      </c>
      <c r="I593" s="1">
        <v>1</v>
      </c>
      <c r="J593" s="1">
        <v>0.18</v>
      </c>
    </row>
    <row r="594" spans="1:10" x14ac:dyDescent="0.2">
      <c r="A594" s="1">
        <v>593</v>
      </c>
      <c r="B594" s="2">
        <v>40570</v>
      </c>
      <c r="C594" s="1">
        <v>1</v>
      </c>
      <c r="D594" s="1">
        <f t="shared" si="36"/>
        <v>2011</v>
      </c>
      <c r="E594" s="1" t="str">
        <f t="shared" si="37"/>
        <v>January</v>
      </c>
      <c r="F594" s="1">
        <v>21</v>
      </c>
      <c r="G594" s="1" t="b">
        <f t="shared" si="38"/>
        <v>0</v>
      </c>
      <c r="H594" s="1" t="str">
        <f t="shared" si="39"/>
        <v>Thursday</v>
      </c>
      <c r="I594" s="1">
        <v>1</v>
      </c>
      <c r="J594" s="1">
        <v>0.18</v>
      </c>
    </row>
    <row r="595" spans="1:10" x14ac:dyDescent="0.2">
      <c r="A595" s="1">
        <v>594</v>
      </c>
      <c r="B595" s="2">
        <v>40570</v>
      </c>
      <c r="C595" s="1">
        <v>1</v>
      </c>
      <c r="D595" s="1">
        <f t="shared" si="36"/>
        <v>2011</v>
      </c>
      <c r="E595" s="1" t="str">
        <f t="shared" si="37"/>
        <v>January</v>
      </c>
      <c r="F595" s="1">
        <v>22</v>
      </c>
      <c r="G595" s="1" t="b">
        <f t="shared" si="38"/>
        <v>0</v>
      </c>
      <c r="H595" s="1" t="str">
        <f t="shared" si="39"/>
        <v>Thursday</v>
      </c>
      <c r="I595" s="1">
        <v>1</v>
      </c>
      <c r="J595" s="1">
        <v>0.18</v>
      </c>
    </row>
    <row r="596" spans="1:10" x14ac:dyDescent="0.2">
      <c r="A596" s="1">
        <v>595</v>
      </c>
      <c r="B596" s="2">
        <v>40570</v>
      </c>
      <c r="C596" s="1">
        <v>1</v>
      </c>
      <c r="D596" s="1">
        <f t="shared" si="36"/>
        <v>2011</v>
      </c>
      <c r="E596" s="1" t="str">
        <f t="shared" si="37"/>
        <v>January</v>
      </c>
      <c r="F596" s="1">
        <v>23</v>
      </c>
      <c r="G596" s="1" t="b">
        <f t="shared" si="38"/>
        <v>0</v>
      </c>
      <c r="H596" s="1" t="str">
        <f t="shared" si="39"/>
        <v>Thursday</v>
      </c>
      <c r="I596" s="1">
        <v>1</v>
      </c>
      <c r="J596" s="1">
        <v>0.18</v>
      </c>
    </row>
    <row r="597" spans="1:10" x14ac:dyDescent="0.2">
      <c r="A597" s="1">
        <v>596</v>
      </c>
      <c r="B597" s="2">
        <v>40571</v>
      </c>
      <c r="C597" s="1">
        <v>1</v>
      </c>
      <c r="D597" s="1">
        <f t="shared" si="36"/>
        <v>2011</v>
      </c>
      <c r="E597" s="1" t="str">
        <f t="shared" si="37"/>
        <v>January</v>
      </c>
      <c r="F597" s="1">
        <v>0</v>
      </c>
      <c r="G597" s="1" t="b">
        <f t="shared" si="38"/>
        <v>0</v>
      </c>
      <c r="H597" s="1" t="str">
        <f t="shared" si="39"/>
        <v>Friday</v>
      </c>
      <c r="I597" s="1">
        <v>2</v>
      </c>
      <c r="J597" s="1">
        <v>0.2</v>
      </c>
    </row>
    <row r="598" spans="1:10" x14ac:dyDescent="0.2">
      <c r="A598" s="1">
        <v>597</v>
      </c>
      <c r="B598" s="2">
        <v>40571</v>
      </c>
      <c r="C598" s="1">
        <v>1</v>
      </c>
      <c r="D598" s="1">
        <f t="shared" si="36"/>
        <v>2011</v>
      </c>
      <c r="E598" s="1" t="str">
        <f t="shared" si="37"/>
        <v>January</v>
      </c>
      <c r="F598" s="1">
        <v>1</v>
      </c>
      <c r="G598" s="1" t="b">
        <f t="shared" si="38"/>
        <v>0</v>
      </c>
      <c r="H598" s="1" t="str">
        <f t="shared" si="39"/>
        <v>Friday</v>
      </c>
      <c r="I598" s="1">
        <v>2</v>
      </c>
      <c r="J598" s="1">
        <v>0.2</v>
      </c>
    </row>
    <row r="599" spans="1:10" x14ac:dyDescent="0.2">
      <c r="A599" s="1">
        <v>598</v>
      </c>
      <c r="B599" s="2">
        <v>40571</v>
      </c>
      <c r="C599" s="1">
        <v>1</v>
      </c>
      <c r="D599" s="1">
        <f t="shared" si="36"/>
        <v>2011</v>
      </c>
      <c r="E599" s="1" t="str">
        <f t="shared" si="37"/>
        <v>January</v>
      </c>
      <c r="F599" s="1">
        <v>2</v>
      </c>
      <c r="G599" s="1" t="b">
        <f t="shared" si="38"/>
        <v>0</v>
      </c>
      <c r="H599" s="1" t="str">
        <f t="shared" si="39"/>
        <v>Friday</v>
      </c>
      <c r="I599" s="1">
        <v>2</v>
      </c>
      <c r="J599" s="1">
        <v>0.2</v>
      </c>
    </row>
    <row r="600" spans="1:10" x14ac:dyDescent="0.2">
      <c r="A600" s="1">
        <v>599</v>
      </c>
      <c r="B600" s="2">
        <v>40571</v>
      </c>
      <c r="C600" s="1">
        <v>1</v>
      </c>
      <c r="D600" s="1">
        <f t="shared" si="36"/>
        <v>2011</v>
      </c>
      <c r="E600" s="1" t="str">
        <f t="shared" si="37"/>
        <v>January</v>
      </c>
      <c r="F600" s="1">
        <v>3</v>
      </c>
      <c r="G600" s="1" t="b">
        <f t="shared" si="38"/>
        <v>0</v>
      </c>
      <c r="H600" s="1" t="str">
        <f t="shared" si="39"/>
        <v>Friday</v>
      </c>
      <c r="I600" s="1">
        <v>2</v>
      </c>
      <c r="J600" s="1">
        <v>0.2</v>
      </c>
    </row>
    <row r="601" spans="1:10" x14ac:dyDescent="0.2">
      <c r="A601" s="1">
        <v>600</v>
      </c>
      <c r="B601" s="2">
        <v>40571</v>
      </c>
      <c r="C601" s="1">
        <v>1</v>
      </c>
      <c r="D601" s="1">
        <f t="shared" si="36"/>
        <v>2011</v>
      </c>
      <c r="E601" s="1" t="str">
        <f t="shared" si="37"/>
        <v>January</v>
      </c>
      <c r="F601" s="1">
        <v>5</v>
      </c>
      <c r="G601" s="1" t="b">
        <f t="shared" si="38"/>
        <v>0</v>
      </c>
      <c r="H601" s="1" t="str">
        <f t="shared" si="39"/>
        <v>Friday</v>
      </c>
      <c r="I601" s="1">
        <v>2</v>
      </c>
      <c r="J601" s="1">
        <v>0.18</v>
      </c>
    </row>
    <row r="602" spans="1:10" x14ac:dyDescent="0.2">
      <c r="A602" s="1">
        <v>601</v>
      </c>
      <c r="B602" s="2">
        <v>40571</v>
      </c>
      <c r="C602" s="1">
        <v>1</v>
      </c>
      <c r="D602" s="1">
        <f t="shared" si="36"/>
        <v>2011</v>
      </c>
      <c r="E602" s="1" t="str">
        <f t="shared" si="37"/>
        <v>January</v>
      </c>
      <c r="F602" s="1">
        <v>6</v>
      </c>
      <c r="G602" s="1" t="b">
        <f t="shared" si="38"/>
        <v>0</v>
      </c>
      <c r="H602" s="1" t="str">
        <f t="shared" si="39"/>
        <v>Friday</v>
      </c>
      <c r="I602" s="1">
        <v>2</v>
      </c>
      <c r="J602" s="1">
        <v>0.18</v>
      </c>
    </row>
    <row r="603" spans="1:10" x14ac:dyDescent="0.2">
      <c r="A603" s="1">
        <v>602</v>
      </c>
      <c r="B603" s="2">
        <v>40571</v>
      </c>
      <c r="C603" s="1">
        <v>1</v>
      </c>
      <c r="D603" s="1">
        <f t="shared" si="36"/>
        <v>2011</v>
      </c>
      <c r="E603" s="1" t="str">
        <f t="shared" si="37"/>
        <v>January</v>
      </c>
      <c r="F603" s="1">
        <v>7</v>
      </c>
      <c r="G603" s="1" t="b">
        <f t="shared" si="38"/>
        <v>0</v>
      </c>
      <c r="H603" s="1" t="str">
        <f t="shared" si="39"/>
        <v>Friday</v>
      </c>
      <c r="I603" s="1">
        <v>2</v>
      </c>
      <c r="J603" s="1">
        <v>0.16</v>
      </c>
    </row>
    <row r="604" spans="1:10" x14ac:dyDescent="0.2">
      <c r="A604" s="1">
        <v>603</v>
      </c>
      <c r="B604" s="2">
        <v>40571</v>
      </c>
      <c r="C604" s="1">
        <v>1</v>
      </c>
      <c r="D604" s="1">
        <f t="shared" si="36"/>
        <v>2011</v>
      </c>
      <c r="E604" s="1" t="str">
        <f t="shared" si="37"/>
        <v>January</v>
      </c>
      <c r="F604" s="1">
        <v>8</v>
      </c>
      <c r="G604" s="1" t="b">
        <f t="shared" si="38"/>
        <v>0</v>
      </c>
      <c r="H604" s="1" t="str">
        <f t="shared" si="39"/>
        <v>Friday</v>
      </c>
      <c r="I604" s="1">
        <v>2</v>
      </c>
      <c r="J604" s="1">
        <v>0.16</v>
      </c>
    </row>
    <row r="605" spans="1:10" x14ac:dyDescent="0.2">
      <c r="A605" s="1">
        <v>604</v>
      </c>
      <c r="B605" s="2">
        <v>40571</v>
      </c>
      <c r="C605" s="1">
        <v>1</v>
      </c>
      <c r="D605" s="1">
        <f t="shared" si="36"/>
        <v>2011</v>
      </c>
      <c r="E605" s="1" t="str">
        <f t="shared" si="37"/>
        <v>January</v>
      </c>
      <c r="F605" s="1">
        <v>9</v>
      </c>
      <c r="G605" s="1" t="b">
        <f t="shared" si="38"/>
        <v>0</v>
      </c>
      <c r="H605" s="1" t="str">
        <f t="shared" si="39"/>
        <v>Friday</v>
      </c>
      <c r="I605" s="1">
        <v>3</v>
      </c>
      <c r="J605" s="1">
        <v>0.18</v>
      </c>
    </row>
    <row r="606" spans="1:10" x14ac:dyDescent="0.2">
      <c r="A606" s="1">
        <v>605</v>
      </c>
      <c r="B606" s="2">
        <v>40571</v>
      </c>
      <c r="C606" s="1">
        <v>1</v>
      </c>
      <c r="D606" s="1">
        <f t="shared" si="36"/>
        <v>2011</v>
      </c>
      <c r="E606" s="1" t="str">
        <f t="shared" si="37"/>
        <v>January</v>
      </c>
      <c r="F606" s="1">
        <v>10</v>
      </c>
      <c r="G606" s="1" t="b">
        <f t="shared" si="38"/>
        <v>0</v>
      </c>
      <c r="H606" s="1" t="str">
        <f t="shared" si="39"/>
        <v>Friday</v>
      </c>
      <c r="I606" s="1">
        <v>3</v>
      </c>
      <c r="J606" s="1">
        <v>0.18</v>
      </c>
    </row>
    <row r="607" spans="1:10" x14ac:dyDescent="0.2">
      <c r="A607" s="1">
        <v>606</v>
      </c>
      <c r="B607" s="2">
        <v>40571</v>
      </c>
      <c r="C607" s="1">
        <v>1</v>
      </c>
      <c r="D607" s="1">
        <f t="shared" si="36"/>
        <v>2011</v>
      </c>
      <c r="E607" s="1" t="str">
        <f t="shared" si="37"/>
        <v>January</v>
      </c>
      <c r="F607" s="1">
        <v>11</v>
      </c>
      <c r="G607" s="1" t="b">
        <f t="shared" si="38"/>
        <v>0</v>
      </c>
      <c r="H607" s="1" t="str">
        <f t="shared" si="39"/>
        <v>Friday</v>
      </c>
      <c r="I607" s="1">
        <v>3</v>
      </c>
      <c r="J607" s="1">
        <v>0.18</v>
      </c>
    </row>
    <row r="608" spans="1:10" x14ac:dyDescent="0.2">
      <c r="A608" s="1">
        <v>607</v>
      </c>
      <c r="B608" s="2">
        <v>40571</v>
      </c>
      <c r="C608" s="1">
        <v>1</v>
      </c>
      <c r="D608" s="1">
        <f t="shared" si="36"/>
        <v>2011</v>
      </c>
      <c r="E608" s="1" t="str">
        <f t="shared" si="37"/>
        <v>January</v>
      </c>
      <c r="F608" s="1">
        <v>12</v>
      </c>
      <c r="G608" s="1" t="b">
        <f t="shared" si="38"/>
        <v>0</v>
      </c>
      <c r="H608" s="1" t="str">
        <f t="shared" si="39"/>
        <v>Friday</v>
      </c>
      <c r="I608" s="1">
        <v>3</v>
      </c>
      <c r="J608" s="1">
        <v>0.18</v>
      </c>
    </row>
    <row r="609" spans="1:10" x14ac:dyDescent="0.2">
      <c r="A609" s="1">
        <v>608</v>
      </c>
      <c r="B609" s="2">
        <v>40571</v>
      </c>
      <c r="C609" s="1">
        <v>1</v>
      </c>
      <c r="D609" s="1">
        <f t="shared" si="36"/>
        <v>2011</v>
      </c>
      <c r="E609" s="1" t="str">
        <f t="shared" si="37"/>
        <v>January</v>
      </c>
      <c r="F609" s="1">
        <v>13</v>
      </c>
      <c r="G609" s="1" t="b">
        <f t="shared" si="38"/>
        <v>0</v>
      </c>
      <c r="H609" s="1" t="str">
        <f t="shared" si="39"/>
        <v>Friday</v>
      </c>
      <c r="I609" s="1">
        <v>3</v>
      </c>
      <c r="J609" s="1">
        <v>0.18</v>
      </c>
    </row>
    <row r="610" spans="1:10" x14ac:dyDescent="0.2">
      <c r="A610" s="1">
        <v>609</v>
      </c>
      <c r="B610" s="2">
        <v>40571</v>
      </c>
      <c r="C610" s="1">
        <v>1</v>
      </c>
      <c r="D610" s="1">
        <f t="shared" si="36"/>
        <v>2011</v>
      </c>
      <c r="E610" s="1" t="str">
        <f t="shared" si="37"/>
        <v>January</v>
      </c>
      <c r="F610" s="1">
        <v>14</v>
      </c>
      <c r="G610" s="1" t="b">
        <f t="shared" si="38"/>
        <v>0</v>
      </c>
      <c r="H610" s="1" t="str">
        <f t="shared" si="39"/>
        <v>Friday</v>
      </c>
      <c r="I610" s="1">
        <v>3</v>
      </c>
      <c r="J610" s="1">
        <v>0.22</v>
      </c>
    </row>
    <row r="611" spans="1:10" x14ac:dyDescent="0.2">
      <c r="A611" s="1">
        <v>610</v>
      </c>
      <c r="B611" s="2">
        <v>40571</v>
      </c>
      <c r="C611" s="1">
        <v>1</v>
      </c>
      <c r="D611" s="1">
        <f t="shared" si="36"/>
        <v>2011</v>
      </c>
      <c r="E611" s="1" t="str">
        <f t="shared" si="37"/>
        <v>January</v>
      </c>
      <c r="F611" s="1">
        <v>15</v>
      </c>
      <c r="G611" s="1" t="b">
        <f t="shared" si="38"/>
        <v>0</v>
      </c>
      <c r="H611" s="1" t="str">
        <f t="shared" si="39"/>
        <v>Friday</v>
      </c>
      <c r="I611" s="1">
        <v>2</v>
      </c>
      <c r="J611" s="1">
        <v>0.2</v>
      </c>
    </row>
  </sheetData>
  <autoFilter ref="A1:J1" xr:uid="{00000000-0001-0000-00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E686-F304-4485-BEAB-9859F76F40C9}">
  <dimension ref="A1:Q1000"/>
  <sheetViews>
    <sheetView workbookViewId="0">
      <selection activeCell="M18" sqref="M18"/>
    </sheetView>
  </sheetViews>
  <sheetFormatPr defaultColWidth="14.42578125" defaultRowHeight="15" customHeight="1" x14ac:dyDescent="0.2"/>
  <cols>
    <col min="1" max="1" width="9.42578125" style="26" bestFit="1" customWidth="1"/>
    <col min="2" max="2" width="11.140625" style="26" bestFit="1" customWidth="1"/>
    <col min="3" max="3" width="11.28515625" style="26" bestFit="1" customWidth="1"/>
    <col min="4" max="4" width="15" style="26" bestFit="1" customWidth="1"/>
    <col min="5" max="5" width="8.7109375" style="26" customWidth="1"/>
    <col min="6" max="6" width="13.42578125" style="26" customWidth="1"/>
    <col min="7" max="7" width="10.42578125" style="26" bestFit="1" customWidth="1"/>
    <col min="8" max="25" width="8.7109375" style="26" customWidth="1"/>
    <col min="26" max="16384" width="14.42578125" style="26"/>
  </cols>
  <sheetData>
    <row r="1" spans="1:10" ht="14.25" x14ac:dyDescent="0.2">
      <c r="A1" s="25" t="s">
        <v>8</v>
      </c>
      <c r="B1" s="25" t="s">
        <v>18</v>
      </c>
      <c r="C1" s="25" t="s">
        <v>19</v>
      </c>
      <c r="D1" s="25" t="s">
        <v>20</v>
      </c>
      <c r="E1" s="25" t="s">
        <v>21</v>
      </c>
      <c r="F1" s="25" t="s">
        <v>22</v>
      </c>
      <c r="G1" s="25" t="s">
        <v>23</v>
      </c>
      <c r="J1" s="25"/>
    </row>
    <row r="2" spans="1:10" ht="14.25" x14ac:dyDescent="0.2">
      <c r="A2" s="25">
        <v>1</v>
      </c>
      <c r="B2" s="25">
        <v>0.28789999999999999</v>
      </c>
      <c r="C2" s="25">
        <v>0.81</v>
      </c>
      <c r="D2" s="25">
        <v>0</v>
      </c>
      <c r="E2" s="25">
        <v>3</v>
      </c>
      <c r="F2" s="25">
        <v>13</v>
      </c>
      <c r="G2" s="25">
        <v>16</v>
      </c>
      <c r="J2" s="25"/>
    </row>
    <row r="3" spans="1:10" ht="14.25" x14ac:dyDescent="0.2">
      <c r="A3" s="25">
        <v>2</v>
      </c>
      <c r="B3" s="25">
        <v>0.2727</v>
      </c>
      <c r="C3" s="25">
        <v>0.8</v>
      </c>
      <c r="D3" s="25">
        <v>0</v>
      </c>
      <c r="E3" s="25">
        <v>8</v>
      </c>
      <c r="F3" s="25">
        <v>32</v>
      </c>
      <c r="G3" s="25">
        <v>40</v>
      </c>
      <c r="J3" s="25"/>
    </row>
    <row r="4" spans="1:10" ht="14.25" x14ac:dyDescent="0.2">
      <c r="A4" s="25">
        <v>3</v>
      </c>
      <c r="B4" s="25">
        <v>0.2727</v>
      </c>
      <c r="C4" s="25">
        <v>0.8</v>
      </c>
      <c r="D4" s="25">
        <v>0</v>
      </c>
      <c r="E4" s="25">
        <v>5</v>
      </c>
      <c r="F4" s="25">
        <v>27</v>
      </c>
      <c r="G4" s="25">
        <v>32</v>
      </c>
      <c r="J4" s="25"/>
    </row>
    <row r="5" spans="1:10" ht="14.25" x14ac:dyDescent="0.2">
      <c r="A5" s="25">
        <v>4</v>
      </c>
      <c r="B5" s="25">
        <v>0.28789999999999999</v>
      </c>
      <c r="C5" s="25">
        <v>0.75</v>
      </c>
      <c r="D5" s="25">
        <v>0</v>
      </c>
      <c r="E5" s="25">
        <v>3</v>
      </c>
      <c r="F5" s="25">
        <v>10</v>
      </c>
      <c r="G5" s="25">
        <v>13</v>
      </c>
      <c r="J5" s="25"/>
    </row>
    <row r="6" spans="1:10" ht="14.25" x14ac:dyDescent="0.2">
      <c r="A6" s="25">
        <v>5</v>
      </c>
      <c r="B6" s="25">
        <v>0.28789999999999999</v>
      </c>
      <c r="C6" s="25">
        <v>0.75</v>
      </c>
      <c r="D6" s="25">
        <v>0</v>
      </c>
      <c r="E6" s="25">
        <v>0</v>
      </c>
      <c r="F6" s="25">
        <v>1</v>
      </c>
      <c r="G6" s="25">
        <v>1</v>
      </c>
      <c r="J6" s="25"/>
    </row>
    <row r="7" spans="1:10" ht="14.25" x14ac:dyDescent="0.2">
      <c r="A7" s="25">
        <v>6</v>
      </c>
      <c r="B7" s="25">
        <v>0.2576</v>
      </c>
      <c r="C7" s="25">
        <v>0.75</v>
      </c>
      <c r="D7" s="25">
        <v>8.9599999999999999E-2</v>
      </c>
      <c r="E7" s="25">
        <v>0</v>
      </c>
      <c r="F7" s="25">
        <v>1</v>
      </c>
      <c r="G7" s="25">
        <v>1</v>
      </c>
      <c r="J7" s="25"/>
    </row>
    <row r="8" spans="1:10" ht="14.25" x14ac:dyDescent="0.2">
      <c r="A8" s="25">
        <v>7</v>
      </c>
      <c r="B8" s="25">
        <v>0.2727</v>
      </c>
      <c r="C8" s="25">
        <v>0.8</v>
      </c>
      <c r="D8" s="25">
        <v>0</v>
      </c>
      <c r="E8" s="25">
        <v>2</v>
      </c>
      <c r="F8" s="25">
        <v>0</v>
      </c>
      <c r="G8" s="25">
        <v>2</v>
      </c>
      <c r="J8" s="25"/>
    </row>
    <row r="9" spans="1:10" ht="14.25" x14ac:dyDescent="0.2">
      <c r="A9" s="25">
        <v>8</v>
      </c>
      <c r="B9" s="25">
        <v>0.2576</v>
      </c>
      <c r="C9" s="25">
        <v>0.86</v>
      </c>
      <c r="D9" s="25">
        <v>0</v>
      </c>
      <c r="E9" s="25">
        <v>1</v>
      </c>
      <c r="F9" s="25">
        <v>2</v>
      </c>
      <c r="G9" s="25">
        <v>3</v>
      </c>
      <c r="J9" s="25"/>
    </row>
    <row r="10" spans="1:10" ht="14.25" x14ac:dyDescent="0.2">
      <c r="A10" s="25">
        <v>9</v>
      </c>
      <c r="B10" s="26">
        <v>0</v>
      </c>
      <c r="C10" s="25">
        <v>0.75</v>
      </c>
      <c r="D10" s="25">
        <v>0</v>
      </c>
      <c r="E10" s="25">
        <v>1</v>
      </c>
      <c r="F10" s="25">
        <v>7</v>
      </c>
      <c r="G10" s="25">
        <v>8</v>
      </c>
      <c r="J10" s="27"/>
    </row>
    <row r="11" spans="1:10" ht="14.25" x14ac:dyDescent="0.2">
      <c r="A11" s="25">
        <v>10</v>
      </c>
      <c r="B11" s="25">
        <v>0.34849999999999998</v>
      </c>
      <c r="C11" s="25">
        <v>0.76</v>
      </c>
      <c r="D11" s="25">
        <v>0</v>
      </c>
      <c r="E11" s="25">
        <v>8</v>
      </c>
      <c r="F11" s="25">
        <v>6</v>
      </c>
      <c r="G11" s="25">
        <v>14</v>
      </c>
      <c r="J11" s="25"/>
    </row>
    <row r="12" spans="1:10" ht="14.25" x14ac:dyDescent="0.2">
      <c r="A12" s="25">
        <v>11</v>
      </c>
      <c r="B12" s="25">
        <v>0.39389999999999997</v>
      </c>
      <c r="C12" s="25">
        <v>0.76</v>
      </c>
      <c r="D12" s="25">
        <v>0.25369999999999998</v>
      </c>
      <c r="E12" s="25">
        <v>12</v>
      </c>
      <c r="F12" s="25">
        <v>24</v>
      </c>
      <c r="G12" s="25">
        <v>36</v>
      </c>
      <c r="J12" s="25"/>
    </row>
    <row r="13" spans="1:10" ht="14.25" x14ac:dyDescent="0.2">
      <c r="A13" s="25">
        <v>12</v>
      </c>
      <c r="B13" s="25">
        <v>0.33329999999999999</v>
      </c>
      <c r="C13" s="25">
        <v>0.81</v>
      </c>
      <c r="D13" s="25">
        <v>0.28360000000000002</v>
      </c>
      <c r="E13" s="25">
        <v>26</v>
      </c>
      <c r="F13" s="25">
        <v>30</v>
      </c>
      <c r="G13" s="25">
        <v>56</v>
      </c>
      <c r="J13" s="25"/>
    </row>
    <row r="14" spans="1:10" ht="14.25" x14ac:dyDescent="0.2">
      <c r="A14" s="25">
        <v>13</v>
      </c>
      <c r="B14" s="25">
        <v>0.42420000000000002</v>
      </c>
      <c r="C14" s="25">
        <v>0.77</v>
      </c>
      <c r="D14" s="25">
        <v>0.28360000000000002</v>
      </c>
      <c r="E14" s="25">
        <v>29</v>
      </c>
      <c r="F14" s="25">
        <v>55</v>
      </c>
      <c r="G14" s="25">
        <v>84</v>
      </c>
      <c r="J14" s="25"/>
    </row>
    <row r="15" spans="1:10" ht="14.25" x14ac:dyDescent="0.2">
      <c r="A15" s="25">
        <v>14</v>
      </c>
      <c r="B15" s="25">
        <v>0.45450000000000002</v>
      </c>
      <c r="C15" s="25">
        <v>0.72</v>
      </c>
      <c r="D15" s="25">
        <v>0.29849999999999999</v>
      </c>
      <c r="E15" s="25">
        <v>47</v>
      </c>
      <c r="F15" s="25">
        <v>47</v>
      </c>
      <c r="G15" s="25">
        <v>94</v>
      </c>
      <c r="J15" s="25"/>
    </row>
    <row r="16" spans="1:10" ht="14.25" x14ac:dyDescent="0.2">
      <c r="A16" s="25">
        <v>15</v>
      </c>
      <c r="B16" s="25">
        <v>0.45450000000000002</v>
      </c>
      <c r="C16" s="25">
        <v>0.72</v>
      </c>
      <c r="D16" s="25">
        <v>0.28360000000000002</v>
      </c>
      <c r="E16" s="25">
        <v>35</v>
      </c>
      <c r="F16" s="25">
        <v>71</v>
      </c>
      <c r="G16" s="25">
        <v>106</v>
      </c>
      <c r="J16" s="25"/>
    </row>
    <row r="17" spans="1:12" ht="14.25" x14ac:dyDescent="0.2">
      <c r="A17" s="25">
        <v>16</v>
      </c>
      <c r="B17" s="25">
        <v>0.43940000000000001</v>
      </c>
      <c r="C17" s="25">
        <v>0.77</v>
      </c>
      <c r="D17" s="25">
        <v>0.29849999999999999</v>
      </c>
      <c r="E17" s="25">
        <v>40</v>
      </c>
      <c r="F17" s="25">
        <v>70</v>
      </c>
      <c r="G17" s="25">
        <v>110</v>
      </c>
      <c r="J17" s="25"/>
    </row>
    <row r="18" spans="1:12" ht="14.25" x14ac:dyDescent="0.2">
      <c r="A18" s="25">
        <v>17</v>
      </c>
      <c r="B18" s="25">
        <v>0.42420000000000002</v>
      </c>
      <c r="C18" s="25">
        <v>0.82</v>
      </c>
      <c r="D18" s="25">
        <v>0.29849999999999999</v>
      </c>
      <c r="E18" s="25">
        <v>41</v>
      </c>
      <c r="F18" s="25">
        <v>52</v>
      </c>
      <c r="G18" s="25">
        <v>93</v>
      </c>
      <c r="J18" s="25"/>
      <c r="L18" s="25" t="s">
        <v>24</v>
      </c>
    </row>
    <row r="19" spans="1:12" ht="14.25" x14ac:dyDescent="0.2">
      <c r="A19" s="25">
        <v>18</v>
      </c>
      <c r="B19" s="26">
        <v>0</v>
      </c>
      <c r="C19" s="25">
        <v>0.82</v>
      </c>
      <c r="D19" s="25">
        <v>0.28360000000000002</v>
      </c>
      <c r="E19" s="25">
        <v>15</v>
      </c>
      <c r="F19" s="25">
        <v>52</v>
      </c>
      <c r="G19" s="25">
        <v>67</v>
      </c>
      <c r="J19" s="27"/>
    </row>
    <row r="20" spans="1:12" ht="14.25" x14ac:dyDescent="0.2">
      <c r="A20" s="25">
        <v>19</v>
      </c>
      <c r="B20" s="25">
        <v>0.42420000000000002</v>
      </c>
      <c r="C20" s="25">
        <v>0.88</v>
      </c>
      <c r="D20" s="25">
        <v>0.25369999999999998</v>
      </c>
      <c r="E20" s="25">
        <v>9</v>
      </c>
      <c r="F20" s="25">
        <v>26</v>
      </c>
      <c r="G20" s="25">
        <v>35</v>
      </c>
      <c r="J20" s="25"/>
    </row>
    <row r="21" spans="1:12" ht="15.75" customHeight="1" x14ac:dyDescent="0.2">
      <c r="A21" s="25">
        <v>20</v>
      </c>
      <c r="B21" s="25">
        <v>0.42420000000000002</v>
      </c>
      <c r="C21" s="25">
        <v>0.88</v>
      </c>
      <c r="D21" s="25">
        <v>0.25369999999999998</v>
      </c>
      <c r="E21" s="25">
        <v>6</v>
      </c>
      <c r="F21" s="25">
        <v>31</v>
      </c>
      <c r="G21" s="25">
        <v>37</v>
      </c>
      <c r="J21" s="25"/>
    </row>
    <row r="22" spans="1:12" ht="15.75" customHeight="1" x14ac:dyDescent="0.2">
      <c r="A22" s="25">
        <v>21</v>
      </c>
      <c r="B22" s="25">
        <v>0.40910000000000002</v>
      </c>
      <c r="C22" s="25">
        <v>0.87</v>
      </c>
      <c r="D22" s="25">
        <v>0.25369999999999998</v>
      </c>
      <c r="E22" s="25">
        <v>11</v>
      </c>
      <c r="F22" s="25">
        <v>25</v>
      </c>
      <c r="G22" s="25">
        <v>36</v>
      </c>
      <c r="J22" s="25"/>
    </row>
    <row r="23" spans="1:12" ht="15.75" customHeight="1" x14ac:dyDescent="0.2">
      <c r="A23" s="25">
        <v>22</v>
      </c>
      <c r="B23" s="25">
        <v>0.40910000000000002</v>
      </c>
      <c r="C23" s="25">
        <v>0.87</v>
      </c>
      <c r="D23" s="25">
        <v>0.19400000000000001</v>
      </c>
      <c r="E23" s="25">
        <v>3</v>
      </c>
      <c r="F23" s="25">
        <v>31</v>
      </c>
      <c r="G23" s="25">
        <v>34</v>
      </c>
      <c r="J23" s="25"/>
    </row>
    <row r="24" spans="1:12" ht="15.75" customHeight="1" x14ac:dyDescent="0.2">
      <c r="A24" s="25">
        <v>23</v>
      </c>
      <c r="B24" s="25">
        <v>0.40910000000000002</v>
      </c>
      <c r="C24" s="25">
        <v>0.94</v>
      </c>
      <c r="D24" s="25">
        <v>0.22389999999999999</v>
      </c>
      <c r="E24" s="25">
        <v>11</v>
      </c>
      <c r="F24" s="25">
        <v>17</v>
      </c>
      <c r="G24" s="25">
        <v>28</v>
      </c>
      <c r="J24" s="25"/>
    </row>
    <row r="25" spans="1:12" ht="15.75" customHeight="1" x14ac:dyDescent="0.2">
      <c r="A25" s="25">
        <v>24</v>
      </c>
      <c r="B25" s="26">
        <v>0</v>
      </c>
      <c r="C25" s="25">
        <v>0.88</v>
      </c>
      <c r="D25" s="25">
        <v>0.29849999999999999</v>
      </c>
      <c r="E25" s="25">
        <v>15</v>
      </c>
      <c r="F25" s="25">
        <v>24</v>
      </c>
      <c r="G25" s="25">
        <v>39</v>
      </c>
      <c r="J25" s="27"/>
    </row>
    <row r="26" spans="1:12" ht="15.75" customHeight="1" x14ac:dyDescent="0.2">
      <c r="A26" s="25">
        <v>25</v>
      </c>
      <c r="B26" s="25">
        <v>0.45450000000000002</v>
      </c>
      <c r="C26" s="25">
        <v>0.88</v>
      </c>
      <c r="D26" s="25">
        <v>0.29849999999999999</v>
      </c>
      <c r="E26" s="25">
        <v>4</v>
      </c>
      <c r="F26" s="25">
        <v>13</v>
      </c>
      <c r="G26" s="25">
        <v>17</v>
      </c>
      <c r="J26" s="25"/>
    </row>
    <row r="27" spans="1:12" ht="15.75" customHeight="1" x14ac:dyDescent="0.2">
      <c r="A27" s="25">
        <v>26</v>
      </c>
      <c r="B27" s="25">
        <v>0.43940000000000001</v>
      </c>
      <c r="C27" s="25">
        <v>0.94</v>
      </c>
      <c r="D27" s="25">
        <v>0.25369999999999998</v>
      </c>
      <c r="E27" s="25">
        <v>1</v>
      </c>
      <c r="F27" s="25">
        <v>16</v>
      </c>
      <c r="G27" s="25">
        <v>17</v>
      </c>
      <c r="J27" s="25"/>
    </row>
    <row r="28" spans="1:12" ht="15.75" customHeight="1" x14ac:dyDescent="0.2">
      <c r="A28" s="25">
        <v>27</v>
      </c>
      <c r="B28" s="25">
        <v>0.42420000000000002</v>
      </c>
      <c r="C28" s="25">
        <v>1</v>
      </c>
      <c r="D28" s="25">
        <v>0.28360000000000002</v>
      </c>
      <c r="E28" s="25">
        <v>1</v>
      </c>
      <c r="F28" s="25">
        <v>8</v>
      </c>
      <c r="G28" s="25">
        <v>9</v>
      </c>
      <c r="J28" s="25"/>
    </row>
    <row r="29" spans="1:12" ht="15.75" customHeight="1" x14ac:dyDescent="0.2">
      <c r="A29" s="25">
        <v>28</v>
      </c>
      <c r="B29" s="25">
        <v>0.45450000000000002</v>
      </c>
      <c r="C29" s="25">
        <v>0.94</v>
      </c>
      <c r="D29" s="25">
        <v>0.19400000000000001</v>
      </c>
      <c r="E29" s="25">
        <v>2</v>
      </c>
      <c r="F29" s="25">
        <v>4</v>
      </c>
      <c r="G29" s="25">
        <v>6</v>
      </c>
      <c r="J29" s="25"/>
    </row>
    <row r="30" spans="1:12" ht="15.75" customHeight="1" x14ac:dyDescent="0.2">
      <c r="A30" s="25">
        <v>29</v>
      </c>
      <c r="B30" s="26">
        <v>0</v>
      </c>
      <c r="C30" s="25">
        <v>0.94</v>
      </c>
      <c r="D30" s="25">
        <v>0.19400000000000001</v>
      </c>
      <c r="E30" s="25">
        <v>2</v>
      </c>
      <c r="F30" s="25">
        <v>1</v>
      </c>
      <c r="G30" s="25">
        <v>3</v>
      </c>
      <c r="J30" s="27"/>
    </row>
    <row r="31" spans="1:12" ht="15.75" customHeight="1" x14ac:dyDescent="0.2">
      <c r="A31" s="25">
        <v>30</v>
      </c>
      <c r="B31" s="25">
        <v>0.42420000000000002</v>
      </c>
      <c r="C31" s="25">
        <v>0.77</v>
      </c>
      <c r="D31" s="25">
        <v>0.29849999999999999</v>
      </c>
      <c r="E31" s="25">
        <v>0</v>
      </c>
      <c r="F31" s="25">
        <v>2</v>
      </c>
      <c r="G31" s="25">
        <v>2</v>
      </c>
      <c r="J31" s="25"/>
    </row>
    <row r="32" spans="1:12" ht="15.75" customHeight="1" x14ac:dyDescent="0.2">
      <c r="A32" s="25">
        <v>31</v>
      </c>
      <c r="B32" s="25">
        <v>0.40910000000000002</v>
      </c>
      <c r="C32" s="25">
        <v>0.76</v>
      </c>
      <c r="D32" s="25">
        <v>0.19400000000000001</v>
      </c>
      <c r="E32" s="25">
        <v>0</v>
      </c>
      <c r="F32" s="25">
        <v>1</v>
      </c>
      <c r="G32" s="25">
        <v>1</v>
      </c>
      <c r="J32" s="25"/>
    </row>
    <row r="33" spans="1:10" ht="15.75" customHeight="1" x14ac:dyDescent="0.2">
      <c r="A33" s="25">
        <v>32</v>
      </c>
      <c r="B33" s="25">
        <v>0.40910000000000002</v>
      </c>
      <c r="C33" s="25">
        <v>0.71</v>
      </c>
      <c r="D33" s="25">
        <v>0.22389999999999999</v>
      </c>
      <c r="E33" s="25">
        <v>0</v>
      </c>
      <c r="F33" s="25">
        <v>8</v>
      </c>
      <c r="G33" s="25">
        <v>8</v>
      </c>
      <c r="J33" s="25"/>
    </row>
    <row r="34" spans="1:10" ht="15.75" customHeight="1" x14ac:dyDescent="0.2">
      <c r="A34" s="25">
        <v>33</v>
      </c>
      <c r="B34" s="26">
        <v>0</v>
      </c>
      <c r="C34" s="25">
        <v>0.76</v>
      </c>
      <c r="D34" s="25">
        <v>0.22389999999999999</v>
      </c>
      <c r="E34" s="25">
        <v>1</v>
      </c>
      <c r="F34" s="25">
        <v>19</v>
      </c>
      <c r="G34" s="25">
        <v>20</v>
      </c>
      <c r="J34" s="27"/>
    </row>
    <row r="35" spans="1:10" ht="15.75" customHeight="1" x14ac:dyDescent="0.2">
      <c r="A35" s="25">
        <v>34</v>
      </c>
      <c r="B35" s="25">
        <v>0.34849999999999998</v>
      </c>
      <c r="C35" s="25">
        <v>0.81</v>
      </c>
      <c r="D35" s="25">
        <v>0.22389999999999999</v>
      </c>
      <c r="E35" s="25">
        <v>7</v>
      </c>
      <c r="F35" s="25">
        <v>46</v>
      </c>
      <c r="G35" s="25">
        <v>53</v>
      </c>
      <c r="J35" s="25"/>
    </row>
    <row r="36" spans="1:10" ht="15.75" customHeight="1" x14ac:dyDescent="0.2">
      <c r="A36" s="25">
        <v>35</v>
      </c>
      <c r="B36" s="25">
        <v>0.33329999999999999</v>
      </c>
      <c r="C36" s="25">
        <v>0.71</v>
      </c>
      <c r="D36" s="25">
        <v>0.25369999999999998</v>
      </c>
      <c r="E36" s="25">
        <v>16</v>
      </c>
      <c r="F36" s="25">
        <v>54</v>
      </c>
      <c r="G36" s="25">
        <v>70</v>
      </c>
      <c r="J36" s="25"/>
    </row>
    <row r="37" spans="1:10" ht="15.75" customHeight="1" x14ac:dyDescent="0.2">
      <c r="A37" s="25">
        <v>36</v>
      </c>
      <c r="B37" s="25">
        <v>0.33329999999999999</v>
      </c>
      <c r="C37" s="25">
        <v>0.66</v>
      </c>
      <c r="D37" s="25">
        <v>0.29849999999999999</v>
      </c>
      <c r="E37" s="25">
        <v>20</v>
      </c>
      <c r="F37" s="25">
        <v>73</v>
      </c>
      <c r="G37" s="25">
        <v>93</v>
      </c>
      <c r="J37" s="25"/>
    </row>
    <row r="38" spans="1:10" ht="15.75" customHeight="1" x14ac:dyDescent="0.2">
      <c r="A38" s="25">
        <v>37</v>
      </c>
      <c r="B38" s="25">
        <v>0.34849999999999998</v>
      </c>
      <c r="C38" s="25">
        <v>0.66</v>
      </c>
      <c r="D38" s="25">
        <v>0.1343</v>
      </c>
      <c r="E38" s="25">
        <v>11</v>
      </c>
      <c r="F38" s="25">
        <v>64</v>
      </c>
      <c r="G38" s="25">
        <v>75</v>
      </c>
      <c r="J38" s="25"/>
    </row>
    <row r="39" spans="1:10" ht="15.75" customHeight="1" x14ac:dyDescent="0.2">
      <c r="A39" s="25">
        <v>38</v>
      </c>
      <c r="B39" s="26">
        <v>0</v>
      </c>
      <c r="C39" s="25">
        <v>0.76</v>
      </c>
      <c r="D39" s="25">
        <v>0.19400000000000001</v>
      </c>
      <c r="E39" s="25">
        <v>4</v>
      </c>
      <c r="F39" s="25">
        <v>55</v>
      </c>
      <c r="G39" s="25">
        <v>59</v>
      </c>
      <c r="J39" s="27"/>
    </row>
    <row r="40" spans="1:10" ht="15.75" customHeight="1" x14ac:dyDescent="0.2">
      <c r="A40" s="25">
        <v>39</v>
      </c>
      <c r="B40" s="25">
        <v>0.33329999999999999</v>
      </c>
      <c r="C40" s="25">
        <v>0.81</v>
      </c>
      <c r="D40" s="25">
        <v>0.16420000000000001</v>
      </c>
      <c r="E40" s="25">
        <v>19</v>
      </c>
      <c r="F40" s="25">
        <v>55</v>
      </c>
      <c r="G40" s="25">
        <v>74</v>
      </c>
      <c r="J40" s="25"/>
    </row>
    <row r="41" spans="1:10" ht="15.75" customHeight="1" x14ac:dyDescent="0.2">
      <c r="A41" s="25">
        <v>40</v>
      </c>
      <c r="B41" s="25">
        <v>0.33329999999999999</v>
      </c>
      <c r="C41" s="25">
        <v>0.71</v>
      </c>
      <c r="D41" s="25">
        <v>0.16420000000000001</v>
      </c>
      <c r="E41" s="25">
        <v>9</v>
      </c>
      <c r="F41" s="25">
        <v>67</v>
      </c>
      <c r="G41" s="25">
        <v>76</v>
      </c>
      <c r="J41" s="25"/>
    </row>
    <row r="42" spans="1:10" ht="15.75" customHeight="1" x14ac:dyDescent="0.2">
      <c r="A42" s="25">
        <v>41</v>
      </c>
      <c r="B42" s="25">
        <v>0.33329999999999999</v>
      </c>
      <c r="C42" s="25">
        <v>0.56999999999999995</v>
      </c>
      <c r="D42" s="25">
        <v>0.19400000000000001</v>
      </c>
      <c r="E42" s="25">
        <v>7</v>
      </c>
      <c r="F42" s="25">
        <v>58</v>
      </c>
      <c r="G42" s="25">
        <v>65</v>
      </c>
      <c r="J42" s="25"/>
    </row>
    <row r="43" spans="1:10" ht="15.75" customHeight="1" x14ac:dyDescent="0.2">
      <c r="A43" s="25">
        <v>42</v>
      </c>
      <c r="B43" s="25">
        <v>0.33329999999999999</v>
      </c>
      <c r="C43" s="25">
        <v>0.46</v>
      </c>
      <c r="D43" s="25">
        <v>0.32840000000000003</v>
      </c>
      <c r="E43" s="25">
        <v>10</v>
      </c>
      <c r="F43" s="25">
        <v>43</v>
      </c>
      <c r="G43" s="25">
        <v>53</v>
      </c>
      <c r="J43" s="25"/>
    </row>
    <row r="44" spans="1:10" ht="15.75" customHeight="1" x14ac:dyDescent="0.2">
      <c r="A44" s="25">
        <v>43</v>
      </c>
      <c r="B44" s="25">
        <v>0.28789999999999999</v>
      </c>
      <c r="C44" s="25">
        <v>0.42</v>
      </c>
      <c r="D44" s="25">
        <v>0.44779999999999998</v>
      </c>
      <c r="E44" s="25">
        <v>1</v>
      </c>
      <c r="F44" s="25">
        <v>29</v>
      </c>
      <c r="G44" s="25">
        <v>30</v>
      </c>
      <c r="J44" s="25"/>
    </row>
    <row r="45" spans="1:10" ht="15.75" customHeight="1" x14ac:dyDescent="0.2">
      <c r="A45" s="25">
        <v>44</v>
      </c>
      <c r="B45" s="26">
        <v>0</v>
      </c>
      <c r="C45" s="25">
        <v>0.39</v>
      </c>
      <c r="D45" s="25">
        <v>0.35820000000000002</v>
      </c>
      <c r="E45" s="25">
        <v>5</v>
      </c>
      <c r="F45" s="25">
        <v>17</v>
      </c>
      <c r="G45" s="25">
        <v>22</v>
      </c>
      <c r="J45" s="27"/>
    </row>
    <row r="46" spans="1:10" ht="15.75" customHeight="1" x14ac:dyDescent="0.2">
      <c r="A46" s="25">
        <v>45</v>
      </c>
      <c r="B46" s="25">
        <v>0.2273</v>
      </c>
      <c r="C46" s="25">
        <v>0.44</v>
      </c>
      <c r="D46" s="25">
        <v>0.32840000000000003</v>
      </c>
      <c r="E46" s="25">
        <v>11</v>
      </c>
      <c r="F46" s="25">
        <v>20</v>
      </c>
      <c r="G46" s="25">
        <v>31</v>
      </c>
      <c r="J46" s="25"/>
    </row>
    <row r="47" spans="1:10" ht="15.75" customHeight="1" x14ac:dyDescent="0.2">
      <c r="A47" s="25">
        <v>46</v>
      </c>
      <c r="B47" s="25">
        <v>0.21210000000000001</v>
      </c>
      <c r="C47" s="25">
        <v>0.44</v>
      </c>
      <c r="D47" s="25">
        <v>0.29849999999999999</v>
      </c>
      <c r="E47" s="25">
        <v>0</v>
      </c>
      <c r="F47" s="25">
        <v>9</v>
      </c>
      <c r="G47" s="25">
        <v>9</v>
      </c>
      <c r="J47" s="25"/>
    </row>
    <row r="48" spans="1:10" ht="15.75" customHeight="1" x14ac:dyDescent="0.2">
      <c r="A48" s="25">
        <v>47</v>
      </c>
      <c r="B48" s="25">
        <v>0.2273</v>
      </c>
      <c r="C48" s="25">
        <v>0.47</v>
      </c>
      <c r="D48" s="25">
        <v>0.16420000000000001</v>
      </c>
      <c r="E48" s="25">
        <v>0</v>
      </c>
      <c r="F48" s="25">
        <v>8</v>
      </c>
      <c r="G48" s="25">
        <v>8</v>
      </c>
      <c r="J48" s="25"/>
    </row>
    <row r="49" spans="1:10" ht="15.75" customHeight="1" x14ac:dyDescent="0.2">
      <c r="A49" s="25">
        <v>48</v>
      </c>
      <c r="B49" s="25">
        <v>0.19700000000000001</v>
      </c>
      <c r="C49" s="25">
        <v>0.44</v>
      </c>
      <c r="D49" s="25">
        <v>0.35820000000000002</v>
      </c>
      <c r="E49" s="25">
        <v>0</v>
      </c>
      <c r="F49" s="25">
        <v>5</v>
      </c>
      <c r="G49" s="25">
        <v>5</v>
      </c>
      <c r="J49" s="25"/>
    </row>
    <row r="50" spans="1:10" ht="15.75" customHeight="1" x14ac:dyDescent="0.2">
      <c r="A50" s="25">
        <v>49</v>
      </c>
      <c r="B50" s="26">
        <v>0</v>
      </c>
      <c r="C50" s="25">
        <v>0.44</v>
      </c>
      <c r="D50" s="25">
        <v>0.41789999999999999</v>
      </c>
      <c r="E50" s="25">
        <v>0</v>
      </c>
      <c r="F50" s="25">
        <v>2</v>
      </c>
      <c r="G50" s="25">
        <v>2</v>
      </c>
      <c r="J50" s="27"/>
    </row>
    <row r="51" spans="1:10" ht="15.75" customHeight="1" x14ac:dyDescent="0.2">
      <c r="A51" s="25">
        <v>50</v>
      </c>
      <c r="B51" s="25">
        <v>0.13639999999999999</v>
      </c>
      <c r="C51" s="25">
        <v>0.47</v>
      </c>
      <c r="D51" s="25">
        <v>0.3881</v>
      </c>
      <c r="E51" s="25">
        <v>0</v>
      </c>
      <c r="F51" s="25">
        <v>1</v>
      </c>
      <c r="G51" s="25">
        <v>1</v>
      </c>
      <c r="J51" s="25"/>
    </row>
    <row r="52" spans="1:10" ht="15.75" customHeight="1" x14ac:dyDescent="0.2">
      <c r="A52" s="25">
        <v>51</v>
      </c>
      <c r="B52" s="25">
        <v>0.13639999999999999</v>
      </c>
      <c r="C52" s="25">
        <v>0.47</v>
      </c>
      <c r="D52" s="25">
        <v>0.28360000000000002</v>
      </c>
      <c r="E52" s="25">
        <v>0</v>
      </c>
      <c r="F52" s="25">
        <v>3</v>
      </c>
      <c r="G52" s="25">
        <v>3</v>
      </c>
      <c r="J52" s="25"/>
    </row>
    <row r="53" spans="1:10" ht="15.75" customHeight="1" x14ac:dyDescent="0.2">
      <c r="A53" s="25">
        <v>52</v>
      </c>
      <c r="B53" s="25">
        <v>0.1061</v>
      </c>
      <c r="C53" s="25">
        <v>0.5</v>
      </c>
      <c r="D53" s="25">
        <v>0.3881</v>
      </c>
      <c r="E53" s="25">
        <v>0</v>
      </c>
      <c r="F53" s="25">
        <v>30</v>
      </c>
      <c r="G53" s="25">
        <v>30</v>
      </c>
      <c r="J53" s="25"/>
    </row>
    <row r="54" spans="1:10" ht="15.75" customHeight="1" x14ac:dyDescent="0.2">
      <c r="A54" s="25">
        <v>53</v>
      </c>
      <c r="B54" s="25">
        <v>0.13639999999999999</v>
      </c>
      <c r="C54" s="25">
        <v>0.5</v>
      </c>
      <c r="D54" s="25">
        <v>0.19400000000000001</v>
      </c>
      <c r="E54" s="25">
        <v>1</v>
      </c>
      <c r="F54" s="25">
        <v>63</v>
      </c>
      <c r="G54" s="25">
        <v>64</v>
      </c>
      <c r="J54" s="25"/>
    </row>
    <row r="55" spans="1:10" ht="15.75" customHeight="1" x14ac:dyDescent="0.2">
      <c r="A55" s="25">
        <v>54</v>
      </c>
      <c r="B55" s="25">
        <v>0.1212</v>
      </c>
      <c r="C55" s="25">
        <v>0.5</v>
      </c>
      <c r="D55" s="25">
        <v>0.28360000000000002</v>
      </c>
      <c r="E55" s="25">
        <v>1</v>
      </c>
      <c r="F55" s="25">
        <v>153</v>
      </c>
      <c r="G55" s="25">
        <v>154</v>
      </c>
      <c r="J55" s="25"/>
    </row>
    <row r="56" spans="1:10" ht="15.75" customHeight="1" x14ac:dyDescent="0.2">
      <c r="A56" s="25">
        <v>55</v>
      </c>
      <c r="B56" s="25">
        <v>0.13639999999999999</v>
      </c>
      <c r="C56" s="25">
        <v>0.43</v>
      </c>
      <c r="D56" s="25">
        <v>0.3881</v>
      </c>
      <c r="E56" s="25">
        <v>7</v>
      </c>
      <c r="F56" s="25">
        <v>81</v>
      </c>
      <c r="G56" s="25">
        <v>88</v>
      </c>
      <c r="J56" s="25"/>
    </row>
    <row r="57" spans="1:10" ht="15.75" customHeight="1" x14ac:dyDescent="0.2">
      <c r="A57" s="25">
        <v>56</v>
      </c>
      <c r="B57" s="25">
        <v>0.16669999999999999</v>
      </c>
      <c r="C57" s="25">
        <v>0.43</v>
      </c>
      <c r="D57" s="25">
        <v>0.25369999999999998</v>
      </c>
      <c r="E57" s="25">
        <v>11</v>
      </c>
      <c r="F57" s="25">
        <v>33</v>
      </c>
      <c r="G57" s="25">
        <v>44</v>
      </c>
      <c r="J57" s="25"/>
    </row>
    <row r="58" spans="1:10" ht="15.75" customHeight="1" x14ac:dyDescent="0.2">
      <c r="A58" s="25">
        <v>57</v>
      </c>
      <c r="B58" s="25">
        <v>0.18179999999999999</v>
      </c>
      <c r="C58" s="25">
        <v>0.4</v>
      </c>
      <c r="D58" s="25">
        <v>0.32840000000000003</v>
      </c>
      <c r="E58" s="25">
        <v>10</v>
      </c>
      <c r="F58" s="25">
        <v>41</v>
      </c>
      <c r="G58" s="25">
        <v>51</v>
      </c>
      <c r="J58" s="25"/>
    </row>
    <row r="59" spans="1:10" ht="15.75" customHeight="1" x14ac:dyDescent="0.2">
      <c r="A59" s="25">
        <v>58</v>
      </c>
      <c r="B59" s="25">
        <v>0.21210000000000001</v>
      </c>
      <c r="C59" s="25">
        <v>0.35</v>
      </c>
      <c r="D59" s="25">
        <v>0.29849999999999999</v>
      </c>
      <c r="E59" s="25">
        <v>13</v>
      </c>
      <c r="F59" s="25">
        <v>48</v>
      </c>
      <c r="G59" s="25">
        <v>61</v>
      </c>
      <c r="J59" s="25"/>
    </row>
    <row r="60" spans="1:10" ht="15.75" customHeight="1" x14ac:dyDescent="0.2">
      <c r="A60" s="25">
        <v>59</v>
      </c>
      <c r="B60" s="26">
        <v>0</v>
      </c>
      <c r="C60" s="25">
        <v>0.35</v>
      </c>
      <c r="D60" s="25">
        <v>0.28360000000000002</v>
      </c>
      <c r="E60" s="25">
        <v>8</v>
      </c>
      <c r="F60" s="25">
        <v>53</v>
      </c>
      <c r="G60" s="25">
        <v>61</v>
      </c>
      <c r="J60" s="27"/>
    </row>
    <row r="61" spans="1:10" ht="15.75" customHeight="1" x14ac:dyDescent="0.2">
      <c r="A61" s="25">
        <v>60</v>
      </c>
      <c r="B61" s="25">
        <v>0.2424</v>
      </c>
      <c r="C61" s="25">
        <v>0.3</v>
      </c>
      <c r="D61" s="25">
        <v>0.28360000000000002</v>
      </c>
      <c r="E61" s="25">
        <v>11</v>
      </c>
      <c r="F61" s="25">
        <v>66</v>
      </c>
      <c r="G61" s="25">
        <v>77</v>
      </c>
      <c r="J61" s="25"/>
    </row>
    <row r="62" spans="1:10" ht="15.75" customHeight="1" x14ac:dyDescent="0.2">
      <c r="A62" s="25">
        <v>61</v>
      </c>
      <c r="B62" s="25">
        <v>0.2424</v>
      </c>
      <c r="C62" s="25">
        <v>0.3</v>
      </c>
      <c r="D62" s="25">
        <v>0.25369999999999998</v>
      </c>
      <c r="E62" s="25">
        <v>14</v>
      </c>
      <c r="F62" s="25">
        <v>58</v>
      </c>
      <c r="G62" s="25">
        <v>72</v>
      </c>
      <c r="J62" s="25"/>
    </row>
    <row r="63" spans="1:10" ht="15.75" customHeight="1" x14ac:dyDescent="0.2">
      <c r="A63" s="25">
        <v>62</v>
      </c>
      <c r="B63" s="25">
        <v>0.2424</v>
      </c>
      <c r="C63" s="25">
        <v>0.3</v>
      </c>
      <c r="D63" s="25">
        <v>0.25369999999999998</v>
      </c>
      <c r="E63" s="25">
        <v>9</v>
      </c>
      <c r="F63" s="25">
        <v>67</v>
      </c>
      <c r="G63" s="25">
        <v>76</v>
      </c>
      <c r="J63" s="25"/>
    </row>
    <row r="64" spans="1:10" ht="15.75" customHeight="1" x14ac:dyDescent="0.2">
      <c r="A64" s="25">
        <v>63</v>
      </c>
      <c r="B64" s="25">
        <v>0.2273</v>
      </c>
      <c r="C64" s="25">
        <v>0.3</v>
      </c>
      <c r="D64" s="25">
        <v>0.22389999999999999</v>
      </c>
      <c r="E64" s="25">
        <v>11</v>
      </c>
      <c r="F64" s="25">
        <v>146</v>
      </c>
      <c r="G64" s="25">
        <v>157</v>
      </c>
      <c r="J64" s="25"/>
    </row>
    <row r="65" spans="1:10" ht="15.75" customHeight="1" x14ac:dyDescent="0.2">
      <c r="A65" s="25">
        <v>64</v>
      </c>
      <c r="B65" s="25">
        <v>0.2576</v>
      </c>
      <c r="C65" s="25">
        <v>0.32</v>
      </c>
      <c r="D65" s="25">
        <v>0.1045</v>
      </c>
      <c r="E65" s="25">
        <v>9</v>
      </c>
      <c r="F65" s="25">
        <v>148</v>
      </c>
      <c r="G65" s="25">
        <v>157</v>
      </c>
      <c r="J65" s="25"/>
    </row>
    <row r="66" spans="1:10" ht="15.75" customHeight="1" x14ac:dyDescent="0.2">
      <c r="A66" s="25">
        <v>65</v>
      </c>
      <c r="B66" s="25">
        <v>0.2576</v>
      </c>
      <c r="C66" s="25">
        <v>0.47</v>
      </c>
      <c r="D66" s="25">
        <v>0</v>
      </c>
      <c r="E66" s="25">
        <v>8</v>
      </c>
      <c r="F66" s="25">
        <v>102</v>
      </c>
      <c r="G66" s="25">
        <v>110</v>
      </c>
      <c r="J66" s="25"/>
    </row>
    <row r="67" spans="1:10" ht="15.75" customHeight="1" x14ac:dyDescent="0.2">
      <c r="A67" s="25">
        <v>66</v>
      </c>
      <c r="B67" s="26">
        <v>0</v>
      </c>
      <c r="C67" s="25">
        <v>0.47</v>
      </c>
      <c r="D67" s="25">
        <v>0.1045</v>
      </c>
      <c r="E67" s="25">
        <v>3</v>
      </c>
      <c r="F67" s="25">
        <v>49</v>
      </c>
      <c r="G67" s="25">
        <v>52</v>
      </c>
      <c r="J67" s="27"/>
    </row>
    <row r="68" spans="1:10" ht="15.75" customHeight="1" x14ac:dyDescent="0.2">
      <c r="A68" s="25">
        <v>67</v>
      </c>
      <c r="B68" s="25">
        <v>0.19700000000000001</v>
      </c>
      <c r="C68" s="25">
        <v>0.64</v>
      </c>
      <c r="D68" s="25">
        <v>0.1343</v>
      </c>
      <c r="E68" s="25">
        <v>3</v>
      </c>
      <c r="F68" s="25">
        <v>49</v>
      </c>
      <c r="G68" s="25">
        <v>52</v>
      </c>
      <c r="J68" s="25"/>
    </row>
    <row r="69" spans="1:10" ht="15.75" customHeight="1" x14ac:dyDescent="0.2">
      <c r="A69" s="25">
        <v>68</v>
      </c>
      <c r="B69" s="25">
        <v>0.1515</v>
      </c>
      <c r="C69" s="25">
        <v>0.69</v>
      </c>
      <c r="D69" s="25">
        <v>0.1343</v>
      </c>
      <c r="E69" s="25">
        <v>0</v>
      </c>
      <c r="F69" s="25">
        <v>20</v>
      </c>
      <c r="G69" s="25">
        <v>20</v>
      </c>
      <c r="J69" s="25"/>
    </row>
    <row r="70" spans="1:10" ht="15.75" customHeight="1" x14ac:dyDescent="0.2">
      <c r="A70" s="25">
        <v>69</v>
      </c>
      <c r="B70" s="25">
        <v>0.21210000000000001</v>
      </c>
      <c r="C70" s="25">
        <v>0.55000000000000004</v>
      </c>
      <c r="D70" s="25">
        <v>0.1045</v>
      </c>
      <c r="E70" s="25">
        <v>1</v>
      </c>
      <c r="F70" s="25">
        <v>11</v>
      </c>
      <c r="G70" s="25">
        <v>12</v>
      </c>
      <c r="J70" s="25"/>
    </row>
    <row r="71" spans="1:10" ht="15.75" customHeight="1" x14ac:dyDescent="0.2">
      <c r="A71" s="25">
        <v>70</v>
      </c>
      <c r="B71" s="26">
        <v>0</v>
      </c>
      <c r="C71" s="25">
        <v>0.55000000000000004</v>
      </c>
      <c r="D71" s="25">
        <v>0.1045</v>
      </c>
      <c r="E71" s="25">
        <v>0</v>
      </c>
      <c r="F71" s="25">
        <v>5</v>
      </c>
      <c r="G71" s="25">
        <v>5</v>
      </c>
      <c r="J71" s="27"/>
    </row>
    <row r="72" spans="1:10" ht="15.75" customHeight="1" x14ac:dyDescent="0.2">
      <c r="A72" s="25">
        <v>71</v>
      </c>
      <c r="B72" s="25">
        <v>0.18179999999999999</v>
      </c>
      <c r="C72" s="25">
        <v>0.59</v>
      </c>
      <c r="D72" s="25">
        <v>0.1045</v>
      </c>
      <c r="E72" s="25">
        <v>0</v>
      </c>
      <c r="F72" s="25">
        <v>2</v>
      </c>
      <c r="G72" s="25">
        <v>2</v>
      </c>
      <c r="J72" s="25"/>
    </row>
    <row r="73" spans="1:10" ht="15.75" customHeight="1" x14ac:dyDescent="0.2">
      <c r="A73" s="25">
        <v>72</v>
      </c>
      <c r="B73" s="25">
        <v>0.1515</v>
      </c>
      <c r="C73" s="25">
        <v>0.63</v>
      </c>
      <c r="D73" s="25">
        <v>0.1343</v>
      </c>
      <c r="E73" s="25">
        <v>0</v>
      </c>
      <c r="F73" s="25">
        <v>1</v>
      </c>
      <c r="G73" s="25">
        <v>1</v>
      </c>
      <c r="J73" s="25"/>
    </row>
    <row r="74" spans="1:10" ht="15.75" customHeight="1" x14ac:dyDescent="0.2">
      <c r="A74" s="25">
        <v>73</v>
      </c>
      <c r="B74" s="25">
        <v>0.18179999999999999</v>
      </c>
      <c r="C74" s="25">
        <v>0.63</v>
      </c>
      <c r="D74" s="25">
        <v>8.9599999999999999E-2</v>
      </c>
      <c r="E74" s="25">
        <v>0</v>
      </c>
      <c r="F74" s="25">
        <v>2</v>
      </c>
      <c r="G74" s="25">
        <v>2</v>
      </c>
      <c r="J74" s="25"/>
    </row>
    <row r="75" spans="1:10" ht="15.75" customHeight="1" x14ac:dyDescent="0.2">
      <c r="A75" s="25">
        <v>74</v>
      </c>
      <c r="B75" s="25">
        <v>0.1515</v>
      </c>
      <c r="C75" s="25">
        <v>0.68</v>
      </c>
      <c r="D75" s="25">
        <v>0.1045</v>
      </c>
      <c r="E75" s="25">
        <v>0</v>
      </c>
      <c r="F75" s="25">
        <v>4</v>
      </c>
      <c r="G75" s="25">
        <v>4</v>
      </c>
      <c r="J75" s="25"/>
    </row>
    <row r="76" spans="1:10" ht="15.75" customHeight="1" x14ac:dyDescent="0.2">
      <c r="A76" s="25">
        <v>75</v>
      </c>
      <c r="B76" s="25">
        <v>0.1515</v>
      </c>
      <c r="C76" s="25">
        <v>0.74</v>
      </c>
      <c r="D76" s="25">
        <v>0.1045</v>
      </c>
      <c r="E76" s="25">
        <v>0</v>
      </c>
      <c r="F76" s="25">
        <v>36</v>
      </c>
      <c r="G76" s="25">
        <v>36</v>
      </c>
      <c r="J76" s="25"/>
    </row>
    <row r="77" spans="1:10" ht="15.75" customHeight="1" x14ac:dyDescent="0.2">
      <c r="A77" s="25">
        <v>76</v>
      </c>
      <c r="B77" s="25">
        <v>0.1515</v>
      </c>
      <c r="C77" s="25">
        <v>0.74</v>
      </c>
      <c r="D77" s="25">
        <v>0.1343</v>
      </c>
      <c r="E77" s="25">
        <v>2</v>
      </c>
      <c r="F77" s="25">
        <v>92</v>
      </c>
      <c r="G77" s="25">
        <v>94</v>
      </c>
      <c r="J77" s="25"/>
    </row>
    <row r="78" spans="1:10" ht="15.75" customHeight="1" x14ac:dyDescent="0.2">
      <c r="A78" s="25">
        <v>77</v>
      </c>
      <c r="B78" s="25">
        <v>0.1515</v>
      </c>
      <c r="C78" s="25">
        <v>0.69</v>
      </c>
      <c r="D78" s="25">
        <v>0.16420000000000001</v>
      </c>
      <c r="E78" s="25">
        <v>2</v>
      </c>
      <c r="F78" s="25">
        <v>177</v>
      </c>
      <c r="G78" s="25">
        <v>179</v>
      </c>
      <c r="J78" s="25"/>
    </row>
    <row r="79" spans="1:10" ht="15.75" customHeight="1" x14ac:dyDescent="0.2">
      <c r="A79" s="25">
        <v>78</v>
      </c>
      <c r="B79" s="25">
        <v>0.1515</v>
      </c>
      <c r="C79" s="25">
        <v>0.64</v>
      </c>
      <c r="D79" s="25">
        <v>0.22389999999999999</v>
      </c>
      <c r="E79" s="25">
        <v>2</v>
      </c>
      <c r="F79" s="25">
        <v>98</v>
      </c>
      <c r="G79" s="25">
        <v>100</v>
      </c>
      <c r="J79" s="25"/>
    </row>
    <row r="80" spans="1:10" ht="15.75" customHeight="1" x14ac:dyDescent="0.2">
      <c r="A80" s="25">
        <v>79</v>
      </c>
      <c r="B80" s="25">
        <v>0.13639999999999999</v>
      </c>
      <c r="C80" s="25">
        <v>0.69</v>
      </c>
      <c r="D80" s="25">
        <v>0.32840000000000003</v>
      </c>
      <c r="E80" s="25">
        <v>5</v>
      </c>
      <c r="F80" s="25">
        <v>37</v>
      </c>
      <c r="G80" s="25">
        <v>42</v>
      </c>
      <c r="J80" s="25"/>
    </row>
    <row r="81" spans="1:10" ht="15.75" customHeight="1" x14ac:dyDescent="0.2">
      <c r="A81" s="25">
        <v>80</v>
      </c>
      <c r="B81" s="25">
        <v>0.21210000000000001</v>
      </c>
      <c r="C81" s="25">
        <v>0.51</v>
      </c>
      <c r="D81" s="25">
        <v>0.29849999999999999</v>
      </c>
      <c r="E81" s="25">
        <v>7</v>
      </c>
      <c r="F81" s="25">
        <v>50</v>
      </c>
      <c r="G81" s="25">
        <v>57</v>
      </c>
      <c r="J81" s="25"/>
    </row>
    <row r="82" spans="1:10" ht="15.75" customHeight="1" x14ac:dyDescent="0.2">
      <c r="A82" s="25">
        <v>81</v>
      </c>
      <c r="B82" s="25">
        <v>0.2273</v>
      </c>
      <c r="C82" s="25">
        <v>0.51</v>
      </c>
      <c r="D82" s="25">
        <v>0.16420000000000001</v>
      </c>
      <c r="E82" s="25">
        <v>12</v>
      </c>
      <c r="F82" s="25">
        <v>66</v>
      </c>
      <c r="G82" s="25">
        <v>78</v>
      </c>
      <c r="J82" s="25"/>
    </row>
    <row r="83" spans="1:10" ht="15.75" customHeight="1" x14ac:dyDescent="0.2">
      <c r="A83" s="25">
        <v>82</v>
      </c>
      <c r="B83" s="25">
        <v>0.2273</v>
      </c>
      <c r="C83" s="25">
        <v>0.56000000000000005</v>
      </c>
      <c r="D83" s="25">
        <v>0.19400000000000001</v>
      </c>
      <c r="E83" s="25">
        <v>18</v>
      </c>
      <c r="F83" s="25">
        <v>79</v>
      </c>
      <c r="G83" s="25">
        <v>97</v>
      </c>
      <c r="J83" s="25"/>
    </row>
    <row r="84" spans="1:10" ht="15.75" customHeight="1" x14ac:dyDescent="0.2">
      <c r="A84" s="25">
        <v>83</v>
      </c>
      <c r="B84" s="25">
        <v>0.2576</v>
      </c>
      <c r="C84" s="25">
        <v>0.52</v>
      </c>
      <c r="D84" s="25">
        <v>0.22389999999999999</v>
      </c>
      <c r="E84" s="25">
        <v>9</v>
      </c>
      <c r="F84" s="25">
        <v>54</v>
      </c>
      <c r="G84" s="25">
        <v>63</v>
      </c>
      <c r="J84" s="25"/>
    </row>
    <row r="85" spans="1:10" ht="15.75" customHeight="1" x14ac:dyDescent="0.2">
      <c r="A85" s="25">
        <v>84</v>
      </c>
      <c r="B85" s="25">
        <v>0.2727</v>
      </c>
      <c r="C85" s="25">
        <v>0.52</v>
      </c>
      <c r="D85" s="25">
        <v>0.25369999999999998</v>
      </c>
      <c r="E85" s="25">
        <v>17</v>
      </c>
      <c r="F85" s="25">
        <v>48</v>
      </c>
      <c r="G85" s="25">
        <v>65</v>
      </c>
      <c r="J85" s="25"/>
    </row>
    <row r="86" spans="1:10" ht="15.75" customHeight="1" x14ac:dyDescent="0.2">
      <c r="A86" s="25">
        <v>85</v>
      </c>
      <c r="B86" s="25">
        <v>0.28789999999999999</v>
      </c>
      <c r="C86" s="25">
        <v>0.49</v>
      </c>
      <c r="D86" s="25">
        <v>0.25369999999999998</v>
      </c>
      <c r="E86" s="25">
        <v>15</v>
      </c>
      <c r="F86" s="25">
        <v>68</v>
      </c>
      <c r="G86" s="25">
        <v>83</v>
      </c>
      <c r="J86" s="25"/>
    </row>
    <row r="87" spans="1:10" ht="15.75" customHeight="1" x14ac:dyDescent="0.2">
      <c r="A87" s="25">
        <v>86</v>
      </c>
      <c r="B87" s="25">
        <v>0.2727</v>
      </c>
      <c r="C87" s="25">
        <v>0.48</v>
      </c>
      <c r="D87" s="25">
        <v>0.22389999999999999</v>
      </c>
      <c r="E87" s="25">
        <v>10</v>
      </c>
      <c r="F87" s="25">
        <v>202</v>
      </c>
      <c r="G87" s="25">
        <v>212</v>
      </c>
      <c r="J87" s="25"/>
    </row>
    <row r="88" spans="1:10" ht="15.75" customHeight="1" x14ac:dyDescent="0.2">
      <c r="A88" s="25">
        <v>87</v>
      </c>
      <c r="B88" s="25">
        <v>0.2576</v>
      </c>
      <c r="C88" s="25">
        <v>0.48</v>
      </c>
      <c r="D88" s="25">
        <v>0.19400000000000001</v>
      </c>
      <c r="E88" s="25">
        <v>3</v>
      </c>
      <c r="F88" s="25">
        <v>179</v>
      </c>
      <c r="G88" s="25">
        <v>182</v>
      </c>
      <c r="J88" s="25"/>
    </row>
    <row r="89" spans="1:10" ht="15.75" customHeight="1" x14ac:dyDescent="0.2">
      <c r="A89" s="25">
        <v>88</v>
      </c>
      <c r="B89" s="25">
        <v>0.2576</v>
      </c>
      <c r="C89" s="25">
        <v>0.48</v>
      </c>
      <c r="D89" s="25">
        <v>0.1045</v>
      </c>
      <c r="E89" s="25">
        <v>2</v>
      </c>
      <c r="F89" s="25">
        <v>110</v>
      </c>
      <c r="G89" s="25">
        <v>112</v>
      </c>
      <c r="J89" s="25"/>
    </row>
    <row r="90" spans="1:10" ht="15.75" customHeight="1" x14ac:dyDescent="0.2">
      <c r="A90" s="25">
        <v>89</v>
      </c>
      <c r="B90" s="25">
        <v>0.2576</v>
      </c>
      <c r="C90" s="25">
        <v>0.48</v>
      </c>
      <c r="D90" s="25">
        <v>0.1045</v>
      </c>
      <c r="E90" s="25">
        <v>1</v>
      </c>
      <c r="F90" s="25">
        <v>53</v>
      </c>
      <c r="G90" s="25">
        <v>54</v>
      </c>
      <c r="J90" s="25"/>
    </row>
    <row r="91" spans="1:10" ht="15.75" customHeight="1" x14ac:dyDescent="0.2">
      <c r="A91" s="25">
        <v>90</v>
      </c>
      <c r="B91" s="25">
        <v>0.2727</v>
      </c>
      <c r="C91" s="25">
        <v>0.64</v>
      </c>
      <c r="D91" s="25">
        <v>0</v>
      </c>
      <c r="E91" s="25">
        <v>0</v>
      </c>
      <c r="F91" s="25">
        <v>48</v>
      </c>
      <c r="G91" s="25">
        <v>48</v>
      </c>
      <c r="J91" s="25"/>
    </row>
    <row r="92" spans="1:10" ht="15.75" customHeight="1" x14ac:dyDescent="0.2">
      <c r="A92" s="25">
        <v>91</v>
      </c>
      <c r="B92" s="25">
        <v>0.2576</v>
      </c>
      <c r="C92" s="25">
        <v>0.64</v>
      </c>
      <c r="D92" s="25">
        <v>8.9599999999999999E-2</v>
      </c>
      <c r="E92" s="25">
        <v>1</v>
      </c>
      <c r="F92" s="25">
        <v>34</v>
      </c>
      <c r="G92" s="25">
        <v>35</v>
      </c>
      <c r="J92" s="25"/>
    </row>
    <row r="93" spans="1:10" ht="15.75" customHeight="1" x14ac:dyDescent="0.2">
      <c r="A93" s="25">
        <v>92</v>
      </c>
      <c r="B93" s="25">
        <v>0.2273</v>
      </c>
      <c r="C93" s="25">
        <v>0.69</v>
      </c>
      <c r="D93" s="25">
        <v>8.9599999999999999E-2</v>
      </c>
      <c r="E93" s="25">
        <v>2</v>
      </c>
      <c r="F93" s="25">
        <v>9</v>
      </c>
      <c r="G93" s="25">
        <v>11</v>
      </c>
      <c r="J93" s="25"/>
    </row>
    <row r="94" spans="1:10" ht="15.75" customHeight="1" x14ac:dyDescent="0.2">
      <c r="A94" s="25">
        <v>93</v>
      </c>
      <c r="B94" s="25">
        <v>0.2576</v>
      </c>
      <c r="C94" s="25">
        <v>0.64</v>
      </c>
      <c r="D94" s="25">
        <v>0</v>
      </c>
      <c r="E94" s="25">
        <v>0</v>
      </c>
      <c r="F94" s="25">
        <v>6</v>
      </c>
      <c r="G94" s="25">
        <v>6</v>
      </c>
      <c r="J94" s="25"/>
    </row>
    <row r="95" spans="1:10" ht="15.75" customHeight="1" x14ac:dyDescent="0.2">
      <c r="A95" s="25">
        <v>94</v>
      </c>
      <c r="B95" s="25">
        <v>0.19700000000000001</v>
      </c>
      <c r="C95" s="25">
        <v>0.74</v>
      </c>
      <c r="D95" s="25">
        <v>8.9599999999999999E-2</v>
      </c>
      <c r="E95" s="25">
        <v>0</v>
      </c>
      <c r="F95" s="25">
        <v>6</v>
      </c>
      <c r="G95" s="25">
        <v>6</v>
      </c>
      <c r="J95" s="25"/>
    </row>
    <row r="96" spans="1:10" ht="15.75" customHeight="1" x14ac:dyDescent="0.2">
      <c r="A96" s="25">
        <v>95</v>
      </c>
      <c r="B96" s="25">
        <v>0.19700000000000001</v>
      </c>
      <c r="C96" s="25">
        <v>0.74</v>
      </c>
      <c r="D96" s="25">
        <v>8.9599999999999999E-2</v>
      </c>
      <c r="E96" s="25">
        <v>0</v>
      </c>
      <c r="F96" s="25">
        <v>2</v>
      </c>
      <c r="G96" s="25">
        <v>2</v>
      </c>
      <c r="J96" s="25"/>
    </row>
    <row r="97" spans="1:10" ht="15.75" customHeight="1" x14ac:dyDescent="0.2">
      <c r="A97" s="25">
        <v>96</v>
      </c>
      <c r="B97" s="25">
        <v>0.2273</v>
      </c>
      <c r="C97" s="25">
        <v>0.48</v>
      </c>
      <c r="D97" s="25">
        <v>0.22389999999999999</v>
      </c>
      <c r="E97" s="25">
        <v>0</v>
      </c>
      <c r="F97" s="25">
        <v>2</v>
      </c>
      <c r="G97" s="25">
        <v>2</v>
      </c>
      <c r="J97" s="25"/>
    </row>
    <row r="98" spans="1:10" ht="15.75" customHeight="1" x14ac:dyDescent="0.2">
      <c r="A98" s="25">
        <v>97</v>
      </c>
      <c r="B98" s="25">
        <v>0.2273</v>
      </c>
      <c r="C98" s="25">
        <v>0.47</v>
      </c>
      <c r="D98" s="25">
        <v>0.16420000000000001</v>
      </c>
      <c r="E98" s="25">
        <v>0</v>
      </c>
      <c r="F98" s="25">
        <v>3</v>
      </c>
      <c r="G98" s="25">
        <v>3</v>
      </c>
      <c r="J98" s="25"/>
    </row>
    <row r="99" spans="1:10" ht="15.75" customHeight="1" x14ac:dyDescent="0.2">
      <c r="A99" s="25">
        <v>98</v>
      </c>
      <c r="B99" s="25">
        <v>0.19700000000000001</v>
      </c>
      <c r="C99" s="25">
        <v>0.47</v>
      </c>
      <c r="D99" s="25">
        <v>0.22389999999999999</v>
      </c>
      <c r="E99" s="25">
        <v>0</v>
      </c>
      <c r="F99" s="25">
        <v>33</v>
      </c>
      <c r="G99" s="25">
        <v>33</v>
      </c>
      <c r="J99" s="25"/>
    </row>
    <row r="100" spans="1:10" ht="15.75" customHeight="1" x14ac:dyDescent="0.2">
      <c r="A100" s="25">
        <v>99</v>
      </c>
      <c r="B100" s="25">
        <v>0.18179999999999999</v>
      </c>
      <c r="C100" s="25">
        <v>0.43</v>
      </c>
      <c r="D100" s="25">
        <v>0.19400000000000001</v>
      </c>
      <c r="E100" s="25">
        <v>1</v>
      </c>
      <c r="F100" s="25">
        <v>87</v>
      </c>
      <c r="G100" s="25">
        <v>88</v>
      </c>
      <c r="J100" s="25"/>
    </row>
    <row r="101" spans="1:10" ht="15.75" customHeight="1" x14ac:dyDescent="0.2">
      <c r="A101" s="25">
        <v>100</v>
      </c>
      <c r="B101" s="25">
        <v>0.18179999999999999</v>
      </c>
      <c r="C101" s="25">
        <v>0.4</v>
      </c>
      <c r="D101" s="25">
        <v>0.29849999999999999</v>
      </c>
      <c r="E101" s="25">
        <v>3</v>
      </c>
      <c r="F101" s="25">
        <v>192</v>
      </c>
      <c r="G101" s="25">
        <v>195</v>
      </c>
      <c r="J101" s="25"/>
    </row>
    <row r="102" spans="1:10" ht="15.75" customHeight="1" x14ac:dyDescent="0.2">
      <c r="A102" s="25">
        <v>101</v>
      </c>
      <c r="B102" s="25">
        <v>0.19700000000000001</v>
      </c>
      <c r="C102" s="25">
        <v>0.37</v>
      </c>
      <c r="D102" s="25">
        <v>0.32840000000000003</v>
      </c>
      <c r="E102" s="25">
        <v>6</v>
      </c>
      <c r="F102" s="25">
        <v>109</v>
      </c>
      <c r="G102" s="25">
        <v>115</v>
      </c>
      <c r="J102" s="25"/>
    </row>
    <row r="103" spans="1:10" ht="15.75" customHeight="1" x14ac:dyDescent="0.2">
      <c r="A103" s="25">
        <v>102</v>
      </c>
      <c r="B103" s="25">
        <v>0.19700000000000001</v>
      </c>
      <c r="C103" s="25">
        <v>0.37</v>
      </c>
      <c r="D103" s="25">
        <v>0.32840000000000003</v>
      </c>
      <c r="E103" s="25">
        <v>4</v>
      </c>
      <c r="F103" s="25">
        <v>53</v>
      </c>
      <c r="G103" s="25">
        <v>57</v>
      </c>
      <c r="J103" s="25"/>
    </row>
    <row r="104" spans="1:10" ht="15.75" customHeight="1" x14ac:dyDescent="0.2">
      <c r="A104" s="25">
        <v>103</v>
      </c>
      <c r="B104" s="25">
        <v>0.2273</v>
      </c>
      <c r="C104" s="25">
        <v>0.33</v>
      </c>
      <c r="D104" s="25">
        <v>0.32840000000000003</v>
      </c>
      <c r="E104" s="25">
        <v>12</v>
      </c>
      <c r="F104" s="25">
        <v>34</v>
      </c>
      <c r="G104" s="25">
        <v>46</v>
      </c>
      <c r="J104" s="25"/>
    </row>
    <row r="105" spans="1:10" ht="15.75" customHeight="1" x14ac:dyDescent="0.2">
      <c r="A105" s="25">
        <v>104</v>
      </c>
      <c r="B105" s="25">
        <v>0.2273</v>
      </c>
      <c r="C105" s="25">
        <v>0.33</v>
      </c>
      <c r="D105" s="25">
        <v>0.32840000000000003</v>
      </c>
      <c r="E105" s="25">
        <v>5</v>
      </c>
      <c r="F105" s="25">
        <v>74</v>
      </c>
      <c r="G105" s="25">
        <v>79</v>
      </c>
      <c r="J105" s="25"/>
    </row>
    <row r="106" spans="1:10" ht="15.75" customHeight="1" x14ac:dyDescent="0.2">
      <c r="A106" s="25">
        <v>105</v>
      </c>
      <c r="B106" s="25">
        <v>0.2576</v>
      </c>
      <c r="C106" s="25">
        <v>0.3</v>
      </c>
      <c r="D106" s="25">
        <v>0.29849999999999999</v>
      </c>
      <c r="E106" s="25">
        <v>6</v>
      </c>
      <c r="F106" s="25">
        <v>65</v>
      </c>
      <c r="G106" s="25">
        <v>71</v>
      </c>
      <c r="J106" s="25"/>
    </row>
    <row r="107" spans="1:10" ht="15.75" customHeight="1" x14ac:dyDescent="0.2">
      <c r="A107" s="25">
        <v>106</v>
      </c>
      <c r="B107" s="25">
        <v>0.28789999999999999</v>
      </c>
      <c r="C107" s="25">
        <v>0.28000000000000003</v>
      </c>
      <c r="D107" s="25">
        <v>0.19400000000000001</v>
      </c>
      <c r="E107" s="25">
        <v>10</v>
      </c>
      <c r="F107" s="25">
        <v>52</v>
      </c>
      <c r="G107" s="25">
        <v>62</v>
      </c>
      <c r="J107" s="25"/>
    </row>
    <row r="108" spans="1:10" ht="15.75" customHeight="1" x14ac:dyDescent="0.2">
      <c r="A108" s="25">
        <v>107</v>
      </c>
      <c r="B108" s="25">
        <v>0.28789999999999999</v>
      </c>
      <c r="C108" s="25">
        <v>0.28000000000000003</v>
      </c>
      <c r="D108" s="25">
        <v>0.19400000000000001</v>
      </c>
      <c r="E108" s="25">
        <v>7</v>
      </c>
      <c r="F108" s="25">
        <v>55</v>
      </c>
      <c r="G108" s="25">
        <v>62</v>
      </c>
      <c r="J108" s="25"/>
    </row>
    <row r="109" spans="1:10" ht="15.75" customHeight="1" x14ac:dyDescent="0.2">
      <c r="A109" s="25">
        <v>108</v>
      </c>
      <c r="B109" s="25">
        <v>0.31819999999999998</v>
      </c>
      <c r="C109" s="25">
        <v>0.28000000000000003</v>
      </c>
      <c r="D109" s="25">
        <v>8.9599999999999999E-2</v>
      </c>
      <c r="E109" s="25">
        <v>4</v>
      </c>
      <c r="F109" s="25">
        <v>85</v>
      </c>
      <c r="G109" s="25">
        <v>89</v>
      </c>
      <c r="J109" s="25"/>
    </row>
    <row r="110" spans="1:10" ht="15.75" customHeight="1" x14ac:dyDescent="0.2">
      <c r="A110" s="25">
        <v>109</v>
      </c>
      <c r="B110" s="25">
        <v>0.2273</v>
      </c>
      <c r="C110" s="25">
        <v>0.38</v>
      </c>
      <c r="D110" s="25">
        <v>0.19400000000000001</v>
      </c>
      <c r="E110" s="25">
        <v>4</v>
      </c>
      <c r="F110" s="25">
        <v>186</v>
      </c>
      <c r="G110" s="25">
        <v>190</v>
      </c>
      <c r="J110" s="25"/>
    </row>
    <row r="111" spans="1:10" ht="15.75" customHeight="1" x14ac:dyDescent="0.2">
      <c r="A111" s="25">
        <v>110</v>
      </c>
      <c r="B111" s="25">
        <v>0.2424</v>
      </c>
      <c r="C111" s="25">
        <v>0.38</v>
      </c>
      <c r="D111" s="25">
        <v>0.1343</v>
      </c>
      <c r="E111" s="25">
        <v>3</v>
      </c>
      <c r="F111" s="25">
        <v>166</v>
      </c>
      <c r="G111" s="25">
        <v>169</v>
      </c>
      <c r="J111" s="25"/>
    </row>
    <row r="112" spans="1:10" ht="15.75" customHeight="1" x14ac:dyDescent="0.2">
      <c r="A112" s="25">
        <v>111</v>
      </c>
      <c r="B112" s="25">
        <v>0.2576</v>
      </c>
      <c r="C112" s="25">
        <v>0.38</v>
      </c>
      <c r="D112" s="25">
        <v>0.1045</v>
      </c>
      <c r="E112" s="25">
        <v>5</v>
      </c>
      <c r="F112" s="25">
        <v>127</v>
      </c>
      <c r="G112" s="25">
        <v>132</v>
      </c>
      <c r="J112" s="25"/>
    </row>
    <row r="113" spans="1:10" ht="15.75" customHeight="1" x14ac:dyDescent="0.2">
      <c r="A113" s="25">
        <v>112</v>
      </c>
      <c r="B113" s="25">
        <v>0.2273</v>
      </c>
      <c r="C113" s="25">
        <v>0.47</v>
      </c>
      <c r="D113" s="25">
        <v>0.16420000000000001</v>
      </c>
      <c r="E113" s="25">
        <v>7</v>
      </c>
      <c r="F113" s="25">
        <v>82</v>
      </c>
      <c r="G113" s="25">
        <v>89</v>
      </c>
      <c r="J113" s="25"/>
    </row>
    <row r="114" spans="1:10" ht="15.75" customHeight="1" x14ac:dyDescent="0.2">
      <c r="A114" s="25">
        <v>113</v>
      </c>
      <c r="B114" s="25">
        <v>0.19700000000000001</v>
      </c>
      <c r="C114" s="25">
        <v>0.51</v>
      </c>
      <c r="D114" s="25">
        <v>0.19400000000000001</v>
      </c>
      <c r="E114" s="25">
        <v>3</v>
      </c>
      <c r="F114" s="25">
        <v>40</v>
      </c>
      <c r="G114" s="25">
        <v>43</v>
      </c>
      <c r="J114" s="25"/>
    </row>
    <row r="115" spans="1:10" ht="15.75" customHeight="1" x14ac:dyDescent="0.2">
      <c r="A115" s="25">
        <v>114</v>
      </c>
      <c r="B115" s="25">
        <v>0.19700000000000001</v>
      </c>
      <c r="C115" s="25">
        <v>0.55000000000000004</v>
      </c>
      <c r="D115" s="25">
        <v>0.1343</v>
      </c>
      <c r="E115" s="25">
        <v>1</v>
      </c>
      <c r="F115" s="25">
        <v>41</v>
      </c>
      <c r="G115" s="25">
        <v>42</v>
      </c>
      <c r="J115" s="25"/>
    </row>
    <row r="116" spans="1:10" ht="15.75" customHeight="1" x14ac:dyDescent="0.2">
      <c r="A116" s="25">
        <v>115</v>
      </c>
      <c r="B116" s="25">
        <v>0.2576</v>
      </c>
      <c r="C116" s="25">
        <v>0.47</v>
      </c>
      <c r="D116" s="25">
        <v>0</v>
      </c>
      <c r="E116" s="25">
        <v>1</v>
      </c>
      <c r="F116" s="25">
        <v>18</v>
      </c>
      <c r="G116" s="25">
        <v>19</v>
      </c>
      <c r="J116" s="25"/>
    </row>
    <row r="117" spans="1:10" ht="15.75" customHeight="1" x14ac:dyDescent="0.2">
      <c r="A117" s="25">
        <v>116</v>
      </c>
      <c r="B117" s="25">
        <v>0.2424</v>
      </c>
      <c r="C117" s="25">
        <v>0.55000000000000004</v>
      </c>
      <c r="D117" s="25">
        <v>0</v>
      </c>
      <c r="E117" s="25">
        <v>0</v>
      </c>
      <c r="F117" s="25">
        <v>11</v>
      </c>
      <c r="G117" s="25">
        <v>11</v>
      </c>
      <c r="J117" s="25"/>
    </row>
    <row r="118" spans="1:10" ht="15.75" customHeight="1" x14ac:dyDescent="0.2">
      <c r="A118" s="25">
        <v>117</v>
      </c>
      <c r="B118" s="25">
        <v>0.2273</v>
      </c>
      <c r="C118" s="25">
        <v>0.64</v>
      </c>
      <c r="D118" s="25">
        <v>0</v>
      </c>
      <c r="E118" s="25">
        <v>0</v>
      </c>
      <c r="F118" s="25">
        <v>4</v>
      </c>
      <c r="G118" s="25">
        <v>4</v>
      </c>
      <c r="J118" s="25"/>
    </row>
    <row r="119" spans="1:10" ht="15.75" customHeight="1" x14ac:dyDescent="0.2">
      <c r="A119" s="25">
        <v>118</v>
      </c>
      <c r="B119" s="25">
        <v>0.2273</v>
      </c>
      <c r="C119" s="25">
        <v>0.64</v>
      </c>
      <c r="D119" s="25">
        <v>0</v>
      </c>
      <c r="E119" s="25">
        <v>0</v>
      </c>
      <c r="F119" s="25">
        <v>2</v>
      </c>
      <c r="G119" s="25">
        <v>2</v>
      </c>
      <c r="J119" s="25"/>
    </row>
    <row r="120" spans="1:10" ht="15.75" customHeight="1" x14ac:dyDescent="0.2">
      <c r="A120" s="25">
        <v>119</v>
      </c>
      <c r="B120" s="25">
        <v>0.19700000000000001</v>
      </c>
      <c r="C120" s="25">
        <v>0.64</v>
      </c>
      <c r="D120" s="25">
        <v>8.9599999999999999E-2</v>
      </c>
      <c r="E120" s="25">
        <v>0</v>
      </c>
      <c r="F120" s="25">
        <v>1</v>
      </c>
      <c r="G120" s="25">
        <v>1</v>
      </c>
      <c r="J120" s="25"/>
    </row>
    <row r="121" spans="1:10" ht="15.75" customHeight="1" x14ac:dyDescent="0.2">
      <c r="A121" s="25">
        <v>120</v>
      </c>
      <c r="B121" s="25">
        <v>0.18179999999999999</v>
      </c>
      <c r="C121" s="25">
        <v>0.69</v>
      </c>
      <c r="D121" s="25">
        <v>8.9599999999999999E-2</v>
      </c>
      <c r="E121" s="25">
        <v>0</v>
      </c>
      <c r="F121" s="25">
        <v>4</v>
      </c>
      <c r="G121" s="25">
        <v>4</v>
      </c>
      <c r="J121" s="25"/>
    </row>
    <row r="122" spans="1:10" ht="15.75" customHeight="1" x14ac:dyDescent="0.2">
      <c r="A122" s="25">
        <v>121</v>
      </c>
      <c r="B122" s="25">
        <v>0.16669999999999999</v>
      </c>
      <c r="C122" s="25">
        <v>0.63</v>
      </c>
      <c r="D122" s="25">
        <v>0.1045</v>
      </c>
      <c r="E122" s="25">
        <v>0</v>
      </c>
      <c r="F122" s="25">
        <v>36</v>
      </c>
      <c r="G122" s="25">
        <v>36</v>
      </c>
      <c r="J122" s="25"/>
    </row>
    <row r="123" spans="1:10" ht="15.75" customHeight="1" x14ac:dyDescent="0.2">
      <c r="A123" s="25">
        <v>122</v>
      </c>
      <c r="B123" s="25">
        <v>0.2273</v>
      </c>
      <c r="C123" s="25">
        <v>0.59</v>
      </c>
      <c r="D123" s="25">
        <v>0</v>
      </c>
      <c r="E123" s="25">
        <v>0</v>
      </c>
      <c r="F123" s="25">
        <v>95</v>
      </c>
      <c r="G123" s="25">
        <v>95</v>
      </c>
      <c r="J123" s="25"/>
    </row>
    <row r="124" spans="1:10" ht="15.75" customHeight="1" x14ac:dyDescent="0.2">
      <c r="A124" s="25">
        <v>123</v>
      </c>
      <c r="B124" s="25">
        <v>0.2273</v>
      </c>
      <c r="C124" s="25">
        <v>0.59</v>
      </c>
      <c r="D124" s="25">
        <v>0</v>
      </c>
      <c r="E124" s="25">
        <v>3</v>
      </c>
      <c r="F124" s="25">
        <v>216</v>
      </c>
      <c r="G124" s="25">
        <v>219</v>
      </c>
      <c r="J124" s="25"/>
    </row>
    <row r="125" spans="1:10" ht="15.75" customHeight="1" x14ac:dyDescent="0.2">
      <c r="A125" s="25">
        <v>124</v>
      </c>
      <c r="B125" s="25">
        <v>0.2424</v>
      </c>
      <c r="C125" s="25">
        <v>0.51</v>
      </c>
      <c r="D125" s="25">
        <v>0</v>
      </c>
      <c r="E125" s="25">
        <v>6</v>
      </c>
      <c r="F125" s="25">
        <v>116</v>
      </c>
      <c r="G125" s="25">
        <v>122</v>
      </c>
      <c r="J125" s="25"/>
    </row>
    <row r="126" spans="1:10" ht="15.75" customHeight="1" x14ac:dyDescent="0.2">
      <c r="A126" s="25">
        <v>125</v>
      </c>
      <c r="B126" s="25">
        <v>0.2576</v>
      </c>
      <c r="C126" s="25">
        <v>0.47</v>
      </c>
      <c r="D126" s="25">
        <v>0</v>
      </c>
      <c r="E126" s="25">
        <v>3</v>
      </c>
      <c r="F126" s="25">
        <v>42</v>
      </c>
      <c r="G126" s="25">
        <v>45</v>
      </c>
      <c r="J126" s="25"/>
    </row>
    <row r="127" spans="1:10" ht="15.75" customHeight="1" x14ac:dyDescent="0.2">
      <c r="A127" s="25">
        <v>126</v>
      </c>
      <c r="B127" s="25">
        <v>0.2576</v>
      </c>
      <c r="C127" s="25">
        <v>0.44</v>
      </c>
      <c r="D127" s="25">
        <v>8.9599999999999999E-2</v>
      </c>
      <c r="E127" s="25">
        <v>2</v>
      </c>
      <c r="F127" s="25">
        <v>57</v>
      </c>
      <c r="G127" s="25">
        <v>59</v>
      </c>
      <c r="J127" s="25"/>
    </row>
    <row r="128" spans="1:10" ht="15.75" customHeight="1" x14ac:dyDescent="0.2">
      <c r="A128" s="25">
        <v>127</v>
      </c>
      <c r="B128" s="25">
        <v>0.28789999999999999</v>
      </c>
      <c r="C128" s="25">
        <v>0.35</v>
      </c>
      <c r="D128" s="25">
        <v>0</v>
      </c>
      <c r="E128" s="25">
        <v>6</v>
      </c>
      <c r="F128" s="25">
        <v>78</v>
      </c>
      <c r="G128" s="25">
        <v>84</v>
      </c>
      <c r="J128" s="25"/>
    </row>
    <row r="129" spans="1:10" ht="15.75" customHeight="1" x14ac:dyDescent="0.2">
      <c r="A129" s="25">
        <v>128</v>
      </c>
      <c r="B129" s="25">
        <v>0.2727</v>
      </c>
      <c r="C129" s="25">
        <v>0.35</v>
      </c>
      <c r="D129" s="25">
        <v>0.1045</v>
      </c>
      <c r="E129" s="25">
        <v>12</v>
      </c>
      <c r="F129" s="25">
        <v>55</v>
      </c>
      <c r="G129" s="25">
        <v>67</v>
      </c>
      <c r="J129" s="25"/>
    </row>
    <row r="130" spans="1:10" ht="15.75" customHeight="1" x14ac:dyDescent="0.2">
      <c r="A130" s="25">
        <v>129</v>
      </c>
      <c r="B130" s="25">
        <v>0.2727</v>
      </c>
      <c r="C130" s="25">
        <v>0.36</v>
      </c>
      <c r="D130" s="25">
        <v>0.16420000000000001</v>
      </c>
      <c r="E130" s="25">
        <v>11</v>
      </c>
      <c r="F130" s="25">
        <v>59</v>
      </c>
      <c r="G130" s="25">
        <v>70</v>
      </c>
      <c r="J130" s="25"/>
    </row>
    <row r="131" spans="1:10" ht="15.75" customHeight="1" x14ac:dyDescent="0.2">
      <c r="A131" s="25">
        <v>130</v>
      </c>
      <c r="B131" s="25">
        <v>0.2727</v>
      </c>
      <c r="C131" s="25">
        <v>0.36</v>
      </c>
      <c r="D131" s="25">
        <v>0</v>
      </c>
      <c r="E131" s="25">
        <v>8</v>
      </c>
      <c r="F131" s="25">
        <v>54</v>
      </c>
      <c r="G131" s="25">
        <v>62</v>
      </c>
      <c r="J131" s="25"/>
    </row>
    <row r="132" spans="1:10" ht="15.75" customHeight="1" x14ac:dyDescent="0.2">
      <c r="A132" s="25">
        <v>131</v>
      </c>
      <c r="B132" s="25">
        <v>0.2576</v>
      </c>
      <c r="C132" s="25">
        <v>0.38</v>
      </c>
      <c r="D132" s="25">
        <v>0.16420000000000001</v>
      </c>
      <c r="E132" s="25">
        <v>12</v>
      </c>
      <c r="F132" s="25">
        <v>74</v>
      </c>
      <c r="G132" s="25">
        <v>86</v>
      </c>
      <c r="J132" s="25"/>
    </row>
    <row r="133" spans="1:10" ht="15.75" customHeight="1" x14ac:dyDescent="0.2">
      <c r="A133" s="25">
        <v>132</v>
      </c>
      <c r="B133" s="25">
        <v>0.2273</v>
      </c>
      <c r="C133" s="25">
        <v>0.51</v>
      </c>
      <c r="D133" s="25">
        <v>0.16420000000000001</v>
      </c>
      <c r="E133" s="25">
        <v>9</v>
      </c>
      <c r="F133" s="25">
        <v>163</v>
      </c>
      <c r="G133" s="25">
        <v>172</v>
      </c>
      <c r="J133" s="25"/>
    </row>
    <row r="134" spans="1:10" ht="15.75" customHeight="1" x14ac:dyDescent="0.2">
      <c r="A134" s="25">
        <v>133</v>
      </c>
      <c r="B134" s="25">
        <v>0.2273</v>
      </c>
      <c r="C134" s="25">
        <v>0.51</v>
      </c>
      <c r="D134" s="25">
        <v>0.1343</v>
      </c>
      <c r="E134" s="25">
        <v>5</v>
      </c>
      <c r="F134" s="25">
        <v>158</v>
      </c>
      <c r="G134" s="25">
        <v>163</v>
      </c>
      <c r="J134" s="25"/>
    </row>
    <row r="135" spans="1:10" ht="15.75" customHeight="1" x14ac:dyDescent="0.2">
      <c r="A135" s="25">
        <v>134</v>
      </c>
      <c r="B135" s="25">
        <v>0.2576</v>
      </c>
      <c r="C135" s="25">
        <v>0.55000000000000004</v>
      </c>
      <c r="D135" s="25">
        <v>8.9599999999999999E-2</v>
      </c>
      <c r="E135" s="25">
        <v>3</v>
      </c>
      <c r="F135" s="25">
        <v>109</v>
      </c>
      <c r="G135" s="25">
        <v>112</v>
      </c>
      <c r="J135" s="25"/>
    </row>
    <row r="136" spans="1:10" ht="15.75" customHeight="1" x14ac:dyDescent="0.2">
      <c r="A136" s="25">
        <v>135</v>
      </c>
      <c r="B136" s="25">
        <v>0.21210000000000001</v>
      </c>
      <c r="C136" s="25">
        <v>0.51</v>
      </c>
      <c r="D136" s="25">
        <v>0.16420000000000001</v>
      </c>
      <c r="E136" s="25">
        <v>3</v>
      </c>
      <c r="F136" s="25">
        <v>66</v>
      </c>
      <c r="G136" s="25">
        <v>69</v>
      </c>
      <c r="J136" s="25"/>
    </row>
    <row r="137" spans="1:10" ht="15.75" customHeight="1" x14ac:dyDescent="0.2">
      <c r="A137" s="25">
        <v>136</v>
      </c>
      <c r="B137" s="25">
        <v>0.21210000000000001</v>
      </c>
      <c r="C137" s="25">
        <v>0.55000000000000004</v>
      </c>
      <c r="D137" s="25">
        <v>0.22389999999999999</v>
      </c>
      <c r="E137" s="25">
        <v>0</v>
      </c>
      <c r="F137" s="25">
        <v>48</v>
      </c>
      <c r="G137" s="25">
        <v>48</v>
      </c>
      <c r="J137" s="25"/>
    </row>
    <row r="138" spans="1:10" ht="15.75" customHeight="1" x14ac:dyDescent="0.2">
      <c r="A138" s="25">
        <v>137</v>
      </c>
      <c r="B138" s="25">
        <v>0.21210000000000001</v>
      </c>
      <c r="C138" s="25">
        <v>0.51</v>
      </c>
      <c r="D138" s="25">
        <v>0.28360000000000002</v>
      </c>
      <c r="E138" s="25">
        <v>1</v>
      </c>
      <c r="F138" s="25">
        <v>51</v>
      </c>
      <c r="G138" s="25">
        <v>52</v>
      </c>
      <c r="J138" s="25"/>
    </row>
    <row r="139" spans="1:10" ht="15.75" customHeight="1" x14ac:dyDescent="0.2">
      <c r="A139" s="25">
        <v>138</v>
      </c>
      <c r="B139" s="25">
        <v>0.19700000000000001</v>
      </c>
      <c r="C139" s="25">
        <v>0.59</v>
      </c>
      <c r="D139" s="25">
        <v>0.19400000000000001</v>
      </c>
      <c r="E139" s="25">
        <v>4</v>
      </c>
      <c r="F139" s="25">
        <v>19</v>
      </c>
      <c r="G139" s="25">
        <v>23</v>
      </c>
      <c r="J139" s="25"/>
    </row>
    <row r="140" spans="1:10" ht="15.75" customHeight="1" x14ac:dyDescent="0.2">
      <c r="A140" s="25">
        <v>139</v>
      </c>
      <c r="B140" s="25">
        <v>0.19700000000000001</v>
      </c>
      <c r="C140" s="25">
        <v>0.64</v>
      </c>
      <c r="D140" s="25">
        <v>0.19400000000000001</v>
      </c>
      <c r="E140" s="25">
        <v>4</v>
      </c>
      <c r="F140" s="25">
        <v>13</v>
      </c>
      <c r="G140" s="25">
        <v>17</v>
      </c>
      <c r="J140" s="25"/>
    </row>
    <row r="141" spans="1:10" ht="15.75" customHeight="1" x14ac:dyDescent="0.2">
      <c r="A141" s="25">
        <v>140</v>
      </c>
      <c r="B141" s="25">
        <v>0.19700000000000001</v>
      </c>
      <c r="C141" s="25">
        <v>0.69</v>
      </c>
      <c r="D141" s="25">
        <v>0.22389999999999999</v>
      </c>
      <c r="E141" s="25">
        <v>2</v>
      </c>
      <c r="F141" s="25">
        <v>5</v>
      </c>
      <c r="G141" s="25">
        <v>7</v>
      </c>
      <c r="J141" s="25"/>
    </row>
    <row r="142" spans="1:10" ht="15.75" customHeight="1" x14ac:dyDescent="0.2">
      <c r="A142" s="25">
        <v>141</v>
      </c>
      <c r="B142" s="25">
        <v>0.19700000000000001</v>
      </c>
      <c r="C142" s="25">
        <v>0.69</v>
      </c>
      <c r="D142" s="25">
        <v>0.22389999999999999</v>
      </c>
      <c r="E142" s="25">
        <v>0</v>
      </c>
      <c r="F142" s="25">
        <v>1</v>
      </c>
      <c r="G142" s="25">
        <v>1</v>
      </c>
      <c r="J142" s="25"/>
    </row>
    <row r="143" spans="1:10" ht="15.75" customHeight="1" x14ac:dyDescent="0.2">
      <c r="A143" s="25">
        <v>142</v>
      </c>
      <c r="B143" s="25">
        <v>0.21210000000000001</v>
      </c>
      <c r="C143" s="25">
        <v>0.69</v>
      </c>
      <c r="D143" s="25">
        <v>0.1343</v>
      </c>
      <c r="E143" s="25">
        <v>0</v>
      </c>
      <c r="F143" s="25">
        <v>1</v>
      </c>
      <c r="G143" s="25">
        <v>1</v>
      </c>
      <c r="J143" s="25"/>
    </row>
    <row r="144" spans="1:10" ht="15.75" customHeight="1" x14ac:dyDescent="0.2">
      <c r="A144" s="25">
        <v>143</v>
      </c>
      <c r="B144" s="25">
        <v>0.2727</v>
      </c>
      <c r="C144" s="25">
        <v>0.55000000000000004</v>
      </c>
      <c r="D144" s="25">
        <v>0</v>
      </c>
      <c r="E144" s="25">
        <v>0</v>
      </c>
      <c r="F144" s="25">
        <v>5</v>
      </c>
      <c r="G144" s="25">
        <v>5</v>
      </c>
      <c r="J144" s="25"/>
    </row>
    <row r="145" spans="1:10" ht="15.75" customHeight="1" x14ac:dyDescent="0.2">
      <c r="A145" s="25">
        <v>144</v>
      </c>
      <c r="B145" s="25">
        <v>0.2576</v>
      </c>
      <c r="C145" s="25">
        <v>0.69</v>
      </c>
      <c r="D145" s="25">
        <v>0</v>
      </c>
      <c r="E145" s="25">
        <v>8</v>
      </c>
      <c r="F145" s="25">
        <v>26</v>
      </c>
      <c r="G145" s="25">
        <v>34</v>
      </c>
      <c r="J145" s="25"/>
    </row>
    <row r="146" spans="1:10" ht="15.75" customHeight="1" x14ac:dyDescent="0.2">
      <c r="A146" s="25">
        <v>145</v>
      </c>
      <c r="B146" s="25">
        <v>0.21210000000000001</v>
      </c>
      <c r="C146" s="25">
        <v>0.69</v>
      </c>
      <c r="D146" s="25">
        <v>0.1343</v>
      </c>
      <c r="E146" s="25">
        <v>8</v>
      </c>
      <c r="F146" s="25">
        <v>76</v>
      </c>
      <c r="G146" s="25">
        <v>84</v>
      </c>
      <c r="J146" s="25"/>
    </row>
    <row r="147" spans="1:10" ht="15.75" customHeight="1" x14ac:dyDescent="0.2">
      <c r="A147" s="25">
        <v>146</v>
      </c>
      <c r="B147" s="25">
        <v>0.19700000000000001</v>
      </c>
      <c r="C147" s="25">
        <v>0.51</v>
      </c>
      <c r="D147" s="25">
        <v>0.25369999999999998</v>
      </c>
      <c r="E147" s="25">
        <v>20</v>
      </c>
      <c r="F147" s="25">
        <v>190</v>
      </c>
      <c r="G147" s="25">
        <v>210</v>
      </c>
      <c r="J147" s="25"/>
    </row>
    <row r="148" spans="1:10" ht="15.75" customHeight="1" x14ac:dyDescent="0.2">
      <c r="A148" s="25">
        <v>147</v>
      </c>
      <c r="B148" s="25">
        <v>0.18179999999999999</v>
      </c>
      <c r="C148" s="25">
        <v>0.47</v>
      </c>
      <c r="D148" s="25">
        <v>0.29849999999999999</v>
      </c>
      <c r="E148" s="25">
        <v>9</v>
      </c>
      <c r="F148" s="25">
        <v>125</v>
      </c>
      <c r="G148" s="25">
        <v>134</v>
      </c>
      <c r="J148" s="25"/>
    </row>
    <row r="149" spans="1:10" ht="15.75" customHeight="1" x14ac:dyDescent="0.2">
      <c r="A149" s="25">
        <v>148</v>
      </c>
      <c r="B149" s="25">
        <v>0.19700000000000001</v>
      </c>
      <c r="C149" s="25">
        <v>0.37</v>
      </c>
      <c r="D149" s="25">
        <v>0.32840000000000003</v>
      </c>
      <c r="E149" s="25">
        <v>16</v>
      </c>
      <c r="F149" s="25">
        <v>47</v>
      </c>
      <c r="G149" s="25">
        <v>63</v>
      </c>
      <c r="J149" s="25"/>
    </row>
    <row r="150" spans="1:10" ht="15.75" customHeight="1" x14ac:dyDescent="0.2">
      <c r="A150" s="25">
        <v>149</v>
      </c>
      <c r="B150" s="25">
        <v>0.19700000000000001</v>
      </c>
      <c r="C150" s="25">
        <v>0.4</v>
      </c>
      <c r="D150" s="25">
        <v>0.22389999999999999</v>
      </c>
      <c r="E150" s="25">
        <v>19</v>
      </c>
      <c r="F150" s="25">
        <v>48</v>
      </c>
      <c r="G150" s="25">
        <v>67</v>
      </c>
      <c r="J150" s="25"/>
    </row>
    <row r="151" spans="1:10" ht="15.75" customHeight="1" x14ac:dyDescent="0.2">
      <c r="A151" s="25">
        <v>150</v>
      </c>
      <c r="B151" s="25">
        <v>0.19700000000000001</v>
      </c>
      <c r="C151" s="25">
        <v>0.37</v>
      </c>
      <c r="D151" s="25">
        <v>0.25369999999999998</v>
      </c>
      <c r="E151" s="25">
        <v>9</v>
      </c>
      <c r="F151" s="25">
        <v>50</v>
      </c>
      <c r="G151" s="25">
        <v>59</v>
      </c>
      <c r="J151" s="25"/>
    </row>
    <row r="152" spans="1:10" ht="15.75" customHeight="1" x14ac:dyDescent="0.2">
      <c r="A152" s="25">
        <v>151</v>
      </c>
      <c r="B152" s="25">
        <v>0.18179999999999999</v>
      </c>
      <c r="C152" s="25">
        <v>0.37</v>
      </c>
      <c r="D152" s="25">
        <v>0.28360000000000002</v>
      </c>
      <c r="E152" s="25">
        <v>9</v>
      </c>
      <c r="F152" s="25">
        <v>64</v>
      </c>
      <c r="G152" s="25">
        <v>73</v>
      </c>
      <c r="J152" s="25"/>
    </row>
    <row r="153" spans="1:10" ht="15.75" customHeight="1" x14ac:dyDescent="0.2">
      <c r="A153" s="25">
        <v>152</v>
      </c>
      <c r="B153" s="25">
        <v>0.19700000000000001</v>
      </c>
      <c r="C153" s="25">
        <v>0.4</v>
      </c>
      <c r="D153" s="25">
        <v>0.25369999999999998</v>
      </c>
      <c r="E153" s="25">
        <v>7</v>
      </c>
      <c r="F153" s="25">
        <v>43</v>
      </c>
      <c r="G153" s="25">
        <v>50</v>
      </c>
      <c r="J153" s="25"/>
    </row>
    <row r="154" spans="1:10" ht="15.75" customHeight="1" x14ac:dyDescent="0.2">
      <c r="A154" s="25">
        <v>153</v>
      </c>
      <c r="B154" s="25">
        <v>0.21210000000000001</v>
      </c>
      <c r="C154" s="25">
        <v>0.37</v>
      </c>
      <c r="D154" s="25">
        <v>0.16420000000000001</v>
      </c>
      <c r="E154" s="25">
        <v>9</v>
      </c>
      <c r="F154" s="25">
        <v>63</v>
      </c>
      <c r="G154" s="25">
        <v>72</v>
      </c>
      <c r="J154" s="25"/>
    </row>
    <row r="155" spans="1:10" ht="15.75" customHeight="1" x14ac:dyDescent="0.2">
      <c r="A155" s="25">
        <v>154</v>
      </c>
      <c r="B155" s="25">
        <v>0.21210000000000001</v>
      </c>
      <c r="C155" s="25">
        <v>0.37</v>
      </c>
      <c r="D155" s="25">
        <v>0.16420000000000001</v>
      </c>
      <c r="E155" s="25">
        <v>5</v>
      </c>
      <c r="F155" s="25">
        <v>82</v>
      </c>
      <c r="G155" s="25">
        <v>87</v>
      </c>
      <c r="J155" s="25"/>
    </row>
    <row r="156" spans="1:10" ht="15.75" customHeight="1" x14ac:dyDescent="0.2">
      <c r="A156" s="25">
        <v>155</v>
      </c>
      <c r="B156" s="25">
        <v>0.2576</v>
      </c>
      <c r="C156" s="25">
        <v>0.37</v>
      </c>
      <c r="D156" s="25">
        <v>0</v>
      </c>
      <c r="E156" s="25">
        <v>9</v>
      </c>
      <c r="F156" s="25">
        <v>178</v>
      </c>
      <c r="G156" s="25">
        <v>187</v>
      </c>
      <c r="J156" s="25"/>
    </row>
    <row r="157" spans="1:10" ht="15.75" customHeight="1" x14ac:dyDescent="0.2">
      <c r="A157" s="25">
        <v>156</v>
      </c>
      <c r="B157" s="25">
        <v>0.2273</v>
      </c>
      <c r="C157" s="25">
        <v>0.4</v>
      </c>
      <c r="D157" s="25">
        <v>8.9599999999999999E-2</v>
      </c>
      <c r="E157" s="25">
        <v>7</v>
      </c>
      <c r="F157" s="25">
        <v>116</v>
      </c>
      <c r="G157" s="25">
        <v>123</v>
      </c>
      <c r="J157" s="25"/>
    </row>
    <row r="158" spans="1:10" ht="15.75" customHeight="1" x14ac:dyDescent="0.2">
      <c r="A158" s="25">
        <v>157</v>
      </c>
      <c r="B158" s="25">
        <v>0.19700000000000001</v>
      </c>
      <c r="C158" s="25">
        <v>0.55000000000000004</v>
      </c>
      <c r="D158" s="25">
        <v>8.9599999999999999E-2</v>
      </c>
      <c r="E158" s="25">
        <v>3</v>
      </c>
      <c r="F158" s="25">
        <v>92</v>
      </c>
      <c r="G158" s="25">
        <v>95</v>
      </c>
      <c r="J158" s="25"/>
    </row>
    <row r="159" spans="1:10" ht="15.75" customHeight="1" x14ac:dyDescent="0.2">
      <c r="A159" s="25">
        <v>158</v>
      </c>
      <c r="B159" s="25">
        <v>0.21210000000000001</v>
      </c>
      <c r="C159" s="25">
        <v>0.47</v>
      </c>
      <c r="D159" s="25">
        <v>0.1045</v>
      </c>
      <c r="E159" s="25">
        <v>1</v>
      </c>
      <c r="F159" s="25">
        <v>50</v>
      </c>
      <c r="G159" s="25">
        <v>51</v>
      </c>
      <c r="J159" s="25"/>
    </row>
    <row r="160" spans="1:10" ht="15.75" customHeight="1" x14ac:dyDescent="0.2">
      <c r="A160" s="25">
        <v>159</v>
      </c>
      <c r="B160" s="25">
        <v>0.19700000000000001</v>
      </c>
      <c r="C160" s="25">
        <v>0.47</v>
      </c>
      <c r="D160" s="25">
        <v>0.1343</v>
      </c>
      <c r="E160" s="25">
        <v>0</v>
      </c>
      <c r="F160" s="25">
        <v>39</v>
      </c>
      <c r="G160" s="25">
        <v>39</v>
      </c>
      <c r="J160" s="25"/>
    </row>
    <row r="161" spans="1:10" ht="15.75" customHeight="1" x14ac:dyDescent="0.2">
      <c r="A161" s="25">
        <v>160</v>
      </c>
      <c r="B161" s="25">
        <v>0.19700000000000001</v>
      </c>
      <c r="C161" s="25">
        <v>0.43</v>
      </c>
      <c r="D161" s="25">
        <v>0.16420000000000001</v>
      </c>
      <c r="E161" s="25">
        <v>2</v>
      </c>
      <c r="F161" s="25">
        <v>34</v>
      </c>
      <c r="G161" s="25">
        <v>36</v>
      </c>
      <c r="J161" s="25"/>
    </row>
    <row r="162" spans="1:10" ht="15.75" customHeight="1" x14ac:dyDescent="0.2">
      <c r="A162" s="25">
        <v>161</v>
      </c>
      <c r="B162" s="25">
        <v>0.19700000000000001</v>
      </c>
      <c r="C162" s="25">
        <v>0.51</v>
      </c>
      <c r="D162" s="25">
        <v>0.16420000000000001</v>
      </c>
      <c r="E162" s="25">
        <v>1</v>
      </c>
      <c r="F162" s="25">
        <v>14</v>
      </c>
      <c r="G162" s="25">
        <v>15</v>
      </c>
      <c r="J162" s="25"/>
    </row>
    <row r="163" spans="1:10" ht="15.75" customHeight="1" x14ac:dyDescent="0.2">
      <c r="A163" s="25">
        <v>162</v>
      </c>
      <c r="B163" s="25">
        <v>0.19700000000000001</v>
      </c>
      <c r="C163" s="25">
        <v>0.51</v>
      </c>
      <c r="D163" s="25">
        <v>0.16420000000000001</v>
      </c>
      <c r="E163" s="25">
        <v>1</v>
      </c>
      <c r="F163" s="25">
        <v>24</v>
      </c>
      <c r="G163" s="25">
        <v>25</v>
      </c>
      <c r="J163" s="25"/>
    </row>
    <row r="164" spans="1:10" ht="15.75" customHeight="1" x14ac:dyDescent="0.2">
      <c r="A164" s="25">
        <v>163</v>
      </c>
      <c r="B164" s="25">
        <v>0.21210000000000001</v>
      </c>
      <c r="C164" s="25">
        <v>0.55000000000000004</v>
      </c>
      <c r="D164" s="25">
        <v>8.9599999999999999E-2</v>
      </c>
      <c r="E164" s="25">
        <v>1</v>
      </c>
      <c r="F164" s="25">
        <v>15</v>
      </c>
      <c r="G164" s="25">
        <v>16</v>
      </c>
      <c r="J164" s="25"/>
    </row>
    <row r="165" spans="1:10" ht="15.75" customHeight="1" x14ac:dyDescent="0.2">
      <c r="A165" s="25">
        <v>164</v>
      </c>
      <c r="B165" s="25">
        <v>0.2424</v>
      </c>
      <c r="C165" s="25">
        <v>0.55000000000000004</v>
      </c>
      <c r="D165" s="25">
        <v>0</v>
      </c>
      <c r="E165" s="25">
        <v>3</v>
      </c>
      <c r="F165" s="25">
        <v>13</v>
      </c>
      <c r="G165" s="25">
        <v>16</v>
      </c>
      <c r="J165" s="25"/>
    </row>
    <row r="166" spans="1:10" ht="15.75" customHeight="1" x14ac:dyDescent="0.2">
      <c r="A166" s="25">
        <v>165</v>
      </c>
      <c r="B166" s="25">
        <v>0.19700000000000001</v>
      </c>
      <c r="C166" s="25">
        <v>0.55000000000000004</v>
      </c>
      <c r="D166" s="25">
        <v>0.16420000000000001</v>
      </c>
      <c r="E166" s="25">
        <v>0</v>
      </c>
      <c r="F166" s="25">
        <v>7</v>
      </c>
      <c r="G166" s="25">
        <v>7</v>
      </c>
      <c r="J166" s="25"/>
    </row>
    <row r="167" spans="1:10" ht="15.75" customHeight="1" x14ac:dyDescent="0.2">
      <c r="A167" s="25">
        <v>166</v>
      </c>
      <c r="B167" s="25">
        <v>0.19700000000000001</v>
      </c>
      <c r="C167" s="25">
        <v>0.55000000000000004</v>
      </c>
      <c r="D167" s="25">
        <v>0.16420000000000001</v>
      </c>
      <c r="E167" s="25">
        <v>0</v>
      </c>
      <c r="F167" s="25">
        <v>1</v>
      </c>
      <c r="G167" s="25">
        <v>1</v>
      </c>
      <c r="J167" s="25"/>
    </row>
    <row r="168" spans="1:10" ht="15.75" customHeight="1" x14ac:dyDescent="0.2">
      <c r="A168" s="25">
        <v>167</v>
      </c>
      <c r="B168" s="25">
        <v>0.16669999999999999</v>
      </c>
      <c r="C168" s="25">
        <v>0.74</v>
      </c>
      <c r="D168" s="25">
        <v>0.16420000000000001</v>
      </c>
      <c r="E168" s="25">
        <v>0</v>
      </c>
      <c r="F168" s="25">
        <v>5</v>
      </c>
      <c r="G168" s="25">
        <v>5</v>
      </c>
      <c r="J168" s="25"/>
    </row>
    <row r="169" spans="1:10" ht="15.75" customHeight="1" x14ac:dyDescent="0.2">
      <c r="A169" s="25">
        <v>168</v>
      </c>
      <c r="B169" s="25">
        <v>0.16669999999999999</v>
      </c>
      <c r="C169" s="25">
        <v>0.74</v>
      </c>
      <c r="D169" s="25">
        <v>0.16420000000000001</v>
      </c>
      <c r="E169" s="25">
        <v>0</v>
      </c>
      <c r="F169" s="25">
        <v>2</v>
      </c>
      <c r="G169" s="25">
        <v>2</v>
      </c>
      <c r="J169" s="25"/>
    </row>
    <row r="170" spans="1:10" ht="15.75" customHeight="1" x14ac:dyDescent="0.2">
      <c r="A170" s="25">
        <v>169</v>
      </c>
      <c r="B170" s="25">
        <v>0.18179999999999999</v>
      </c>
      <c r="C170" s="25">
        <v>0.74</v>
      </c>
      <c r="D170" s="25">
        <v>0.1045</v>
      </c>
      <c r="E170" s="25">
        <v>1</v>
      </c>
      <c r="F170" s="25">
        <v>8</v>
      </c>
      <c r="G170" s="25">
        <v>9</v>
      </c>
      <c r="J170" s="25"/>
    </row>
    <row r="171" spans="1:10" ht="15.75" customHeight="1" x14ac:dyDescent="0.2">
      <c r="A171" s="25">
        <v>170</v>
      </c>
      <c r="B171" s="25">
        <v>0.18179999999999999</v>
      </c>
      <c r="C171" s="25">
        <v>0.93</v>
      </c>
      <c r="D171" s="25">
        <v>0.1045</v>
      </c>
      <c r="E171" s="25">
        <v>0</v>
      </c>
      <c r="F171" s="25">
        <v>15</v>
      </c>
      <c r="G171" s="25">
        <v>15</v>
      </c>
      <c r="J171" s="25"/>
    </row>
    <row r="172" spans="1:10" ht="15.75" customHeight="1" x14ac:dyDescent="0.2">
      <c r="A172" s="25">
        <v>171</v>
      </c>
      <c r="B172" s="25">
        <v>0.18179999999999999</v>
      </c>
      <c r="C172" s="25">
        <v>0.93</v>
      </c>
      <c r="D172" s="25">
        <v>0.1045</v>
      </c>
      <c r="E172" s="25">
        <v>0</v>
      </c>
      <c r="F172" s="25">
        <v>20</v>
      </c>
      <c r="G172" s="25">
        <v>20</v>
      </c>
      <c r="J172" s="25"/>
    </row>
    <row r="173" spans="1:10" ht="15.75" customHeight="1" x14ac:dyDescent="0.2">
      <c r="A173" s="25">
        <v>172</v>
      </c>
      <c r="B173" s="25">
        <v>0.19700000000000001</v>
      </c>
      <c r="C173" s="25">
        <v>0.8</v>
      </c>
      <c r="D173" s="25">
        <v>0.16420000000000001</v>
      </c>
      <c r="E173" s="25">
        <v>5</v>
      </c>
      <c r="F173" s="25">
        <v>56</v>
      </c>
      <c r="G173" s="25">
        <v>61</v>
      </c>
      <c r="J173" s="25"/>
    </row>
    <row r="174" spans="1:10" ht="15.75" customHeight="1" x14ac:dyDescent="0.2">
      <c r="A174" s="25">
        <v>173</v>
      </c>
      <c r="B174" s="25">
        <v>0.18179999999999999</v>
      </c>
      <c r="C174" s="25">
        <v>0.69</v>
      </c>
      <c r="D174" s="25">
        <v>0.3881</v>
      </c>
      <c r="E174" s="25">
        <v>2</v>
      </c>
      <c r="F174" s="25">
        <v>60</v>
      </c>
      <c r="G174" s="25">
        <v>62</v>
      </c>
      <c r="J174" s="25"/>
    </row>
    <row r="175" spans="1:10" ht="15.75" customHeight="1" x14ac:dyDescent="0.2">
      <c r="A175" s="25">
        <v>174</v>
      </c>
      <c r="B175" s="25">
        <v>0.18179999999999999</v>
      </c>
      <c r="C175" s="25">
        <v>0.59</v>
      </c>
      <c r="D175" s="25">
        <v>0.35820000000000002</v>
      </c>
      <c r="E175" s="25">
        <v>8</v>
      </c>
      <c r="F175" s="25">
        <v>90</v>
      </c>
      <c r="G175" s="25">
        <v>98</v>
      </c>
      <c r="J175" s="25"/>
    </row>
    <row r="176" spans="1:10" ht="15.75" customHeight="1" x14ac:dyDescent="0.2">
      <c r="A176" s="25">
        <v>175</v>
      </c>
      <c r="B176" s="25">
        <v>0.18179999999999999</v>
      </c>
      <c r="C176" s="25">
        <v>0.44</v>
      </c>
      <c r="D176" s="25">
        <v>0.32840000000000003</v>
      </c>
      <c r="E176" s="25">
        <v>7</v>
      </c>
      <c r="F176" s="25">
        <v>95</v>
      </c>
      <c r="G176" s="25">
        <v>102</v>
      </c>
      <c r="J176" s="25"/>
    </row>
    <row r="177" spans="1:10" ht="15.75" customHeight="1" x14ac:dyDescent="0.2">
      <c r="A177" s="25">
        <v>176</v>
      </c>
      <c r="B177" s="25">
        <v>0.16669999999999999</v>
      </c>
      <c r="C177" s="25">
        <v>0.32</v>
      </c>
      <c r="D177" s="25">
        <v>0.49249999999999999</v>
      </c>
      <c r="E177" s="25">
        <v>12</v>
      </c>
      <c r="F177" s="25">
        <v>83</v>
      </c>
      <c r="G177" s="25">
        <v>95</v>
      </c>
      <c r="J177" s="25"/>
    </row>
    <row r="178" spans="1:10" ht="15.75" customHeight="1" x14ac:dyDescent="0.2">
      <c r="A178" s="25">
        <v>177</v>
      </c>
      <c r="B178" s="25">
        <v>0.16669999999999999</v>
      </c>
      <c r="C178" s="25">
        <v>0.32</v>
      </c>
      <c r="D178" s="25">
        <v>0.44779999999999998</v>
      </c>
      <c r="E178" s="25">
        <v>5</v>
      </c>
      <c r="F178" s="25">
        <v>69</v>
      </c>
      <c r="G178" s="25">
        <v>74</v>
      </c>
      <c r="J178" s="25"/>
    </row>
    <row r="179" spans="1:10" ht="15.75" customHeight="1" x14ac:dyDescent="0.2">
      <c r="A179" s="25">
        <v>178</v>
      </c>
      <c r="B179" s="25">
        <v>0.13639999999999999</v>
      </c>
      <c r="C179" s="25">
        <v>0.28999999999999998</v>
      </c>
      <c r="D179" s="25">
        <v>0.44779999999999998</v>
      </c>
      <c r="E179" s="25">
        <v>8</v>
      </c>
      <c r="F179" s="25">
        <v>68</v>
      </c>
      <c r="G179" s="25">
        <v>76</v>
      </c>
      <c r="J179" s="25"/>
    </row>
    <row r="180" spans="1:10" ht="15.75" customHeight="1" x14ac:dyDescent="0.2">
      <c r="A180" s="25">
        <v>179</v>
      </c>
      <c r="B180" s="25">
        <v>0.1212</v>
      </c>
      <c r="C180" s="25">
        <v>0.37</v>
      </c>
      <c r="D180" s="25">
        <v>0.55220000000000002</v>
      </c>
      <c r="E180" s="25">
        <v>5</v>
      </c>
      <c r="F180" s="25">
        <v>64</v>
      </c>
      <c r="G180" s="25">
        <v>69</v>
      </c>
      <c r="J180" s="25"/>
    </row>
    <row r="181" spans="1:10" ht="15.75" customHeight="1" x14ac:dyDescent="0.2">
      <c r="A181" s="25">
        <v>180</v>
      </c>
      <c r="B181" s="25">
        <v>0.1212</v>
      </c>
      <c r="C181" s="25">
        <v>0.39</v>
      </c>
      <c r="D181" s="25">
        <v>0.29849999999999999</v>
      </c>
      <c r="E181" s="25">
        <v>3</v>
      </c>
      <c r="F181" s="25">
        <v>52</v>
      </c>
      <c r="G181" s="25">
        <v>55</v>
      </c>
      <c r="J181" s="25"/>
    </row>
    <row r="182" spans="1:10" ht="15.75" customHeight="1" x14ac:dyDescent="0.2">
      <c r="A182" s="25">
        <v>181</v>
      </c>
      <c r="B182" s="25">
        <v>0.1212</v>
      </c>
      <c r="C182" s="25">
        <v>0.36</v>
      </c>
      <c r="D182" s="25">
        <v>0.25369999999999998</v>
      </c>
      <c r="E182" s="25">
        <v>4</v>
      </c>
      <c r="F182" s="25">
        <v>26</v>
      </c>
      <c r="G182" s="25">
        <v>30</v>
      </c>
      <c r="J182" s="25"/>
    </row>
    <row r="183" spans="1:10" ht="15.75" customHeight="1" x14ac:dyDescent="0.2">
      <c r="A183" s="25">
        <v>182</v>
      </c>
      <c r="B183" s="25">
        <v>0.1212</v>
      </c>
      <c r="C183" s="25">
        <v>0.36</v>
      </c>
      <c r="D183" s="25">
        <v>0.25369999999999998</v>
      </c>
      <c r="E183" s="25">
        <v>0</v>
      </c>
      <c r="F183" s="25">
        <v>28</v>
      </c>
      <c r="G183" s="25">
        <v>28</v>
      </c>
      <c r="J183" s="25"/>
    </row>
    <row r="184" spans="1:10" ht="15.75" customHeight="1" x14ac:dyDescent="0.2">
      <c r="A184" s="25">
        <v>183</v>
      </c>
      <c r="B184" s="25">
        <v>0.1061</v>
      </c>
      <c r="C184" s="25">
        <v>0.39</v>
      </c>
      <c r="D184" s="25">
        <v>0.35820000000000002</v>
      </c>
      <c r="E184" s="25">
        <v>2</v>
      </c>
      <c r="F184" s="25">
        <v>35</v>
      </c>
      <c r="G184" s="25">
        <v>37</v>
      </c>
      <c r="J184" s="25"/>
    </row>
    <row r="185" spans="1:10" ht="15.75" customHeight="1" x14ac:dyDescent="0.2">
      <c r="A185" s="25">
        <v>184</v>
      </c>
      <c r="B185" s="25">
        <v>0.1061</v>
      </c>
      <c r="C185" s="25">
        <v>0.36</v>
      </c>
      <c r="D185" s="25">
        <v>0.3881</v>
      </c>
      <c r="E185" s="25">
        <v>1</v>
      </c>
      <c r="F185" s="25">
        <v>33</v>
      </c>
      <c r="G185" s="25">
        <v>34</v>
      </c>
      <c r="J185" s="25"/>
    </row>
    <row r="186" spans="1:10" ht="15.75" customHeight="1" x14ac:dyDescent="0.2">
      <c r="A186" s="25">
        <v>185</v>
      </c>
      <c r="B186" s="25">
        <v>6.0600000000000001E-2</v>
      </c>
      <c r="C186" s="25">
        <v>0.39</v>
      </c>
      <c r="D186" s="25">
        <v>0.44779999999999998</v>
      </c>
      <c r="E186" s="25">
        <v>0</v>
      </c>
      <c r="F186" s="25">
        <v>22</v>
      </c>
      <c r="G186" s="25">
        <v>22</v>
      </c>
      <c r="J186" s="25"/>
    </row>
    <row r="187" spans="1:10" ht="15.75" customHeight="1" x14ac:dyDescent="0.2">
      <c r="A187" s="25">
        <v>186</v>
      </c>
      <c r="B187" s="25">
        <v>7.5800000000000006E-2</v>
      </c>
      <c r="C187" s="25">
        <v>0.42</v>
      </c>
      <c r="D187" s="25">
        <v>0.3881</v>
      </c>
      <c r="E187" s="25">
        <v>1</v>
      </c>
      <c r="F187" s="25">
        <v>24</v>
      </c>
      <c r="G187" s="25">
        <v>25</v>
      </c>
      <c r="J187" s="25"/>
    </row>
    <row r="188" spans="1:10" ht="15.75" customHeight="1" x14ac:dyDescent="0.2">
      <c r="A188" s="25">
        <v>187</v>
      </c>
      <c r="B188" s="25">
        <v>6.0600000000000001E-2</v>
      </c>
      <c r="C188" s="25">
        <v>0.42</v>
      </c>
      <c r="D188" s="25">
        <v>0.4627</v>
      </c>
      <c r="E188" s="25">
        <v>0</v>
      </c>
      <c r="F188" s="25">
        <v>12</v>
      </c>
      <c r="G188" s="25">
        <v>12</v>
      </c>
      <c r="J188" s="25"/>
    </row>
    <row r="189" spans="1:10" ht="15.75" customHeight="1" x14ac:dyDescent="0.2">
      <c r="A189" s="25">
        <v>188</v>
      </c>
      <c r="B189" s="25">
        <v>6.0600000000000001E-2</v>
      </c>
      <c r="C189" s="25">
        <v>0.46</v>
      </c>
      <c r="D189" s="25">
        <v>0.4627</v>
      </c>
      <c r="E189" s="25">
        <v>0</v>
      </c>
      <c r="F189" s="25">
        <v>11</v>
      </c>
      <c r="G189" s="25">
        <v>11</v>
      </c>
      <c r="J189" s="25"/>
    </row>
    <row r="190" spans="1:10" ht="15.75" customHeight="1" x14ac:dyDescent="0.2">
      <c r="A190" s="25">
        <v>189</v>
      </c>
      <c r="B190" s="25">
        <v>7.5800000000000006E-2</v>
      </c>
      <c r="C190" s="25">
        <v>0.46</v>
      </c>
      <c r="D190" s="25">
        <v>0.41789999999999999</v>
      </c>
      <c r="E190" s="25">
        <v>0</v>
      </c>
      <c r="F190" s="25">
        <v>4</v>
      </c>
      <c r="G190" s="25">
        <v>4</v>
      </c>
      <c r="J190" s="25"/>
    </row>
    <row r="191" spans="1:10" ht="15.75" customHeight="1" x14ac:dyDescent="0.2">
      <c r="A191" s="25">
        <v>190</v>
      </c>
      <c r="B191" s="25">
        <v>9.0899999999999995E-2</v>
      </c>
      <c r="C191" s="25">
        <v>0.53</v>
      </c>
      <c r="D191" s="25">
        <v>0.19400000000000001</v>
      </c>
      <c r="E191" s="25">
        <v>0</v>
      </c>
      <c r="F191" s="25">
        <v>1</v>
      </c>
      <c r="G191" s="25">
        <v>1</v>
      </c>
      <c r="J191" s="25"/>
    </row>
    <row r="192" spans="1:10" ht="15.75" customHeight="1" x14ac:dyDescent="0.2">
      <c r="A192" s="25">
        <v>191</v>
      </c>
      <c r="B192" s="25">
        <v>9.0899999999999995E-2</v>
      </c>
      <c r="C192" s="25">
        <v>0.53</v>
      </c>
      <c r="D192" s="25">
        <v>0.19400000000000001</v>
      </c>
      <c r="E192" s="25">
        <v>0</v>
      </c>
      <c r="F192" s="25">
        <v>1</v>
      </c>
      <c r="G192" s="25">
        <v>1</v>
      </c>
      <c r="J192" s="25"/>
    </row>
    <row r="193" spans="1:10" ht="15.75" customHeight="1" x14ac:dyDescent="0.2">
      <c r="A193" s="25">
        <v>192</v>
      </c>
      <c r="B193" s="25">
        <v>9.0899999999999995E-2</v>
      </c>
      <c r="C193" s="25">
        <v>0.49</v>
      </c>
      <c r="D193" s="25">
        <v>0.28360000000000002</v>
      </c>
      <c r="E193" s="25">
        <v>0</v>
      </c>
      <c r="F193" s="25">
        <v>1</v>
      </c>
      <c r="G193" s="25">
        <v>1</v>
      </c>
      <c r="J193" s="25"/>
    </row>
    <row r="194" spans="1:10" ht="15.75" customHeight="1" x14ac:dyDescent="0.2">
      <c r="A194" s="25">
        <v>193</v>
      </c>
      <c r="B194" s="25">
        <v>9.0899999999999995E-2</v>
      </c>
      <c r="C194" s="25">
        <v>0.53</v>
      </c>
      <c r="D194" s="25">
        <v>0.19400000000000001</v>
      </c>
      <c r="E194" s="25">
        <v>1</v>
      </c>
      <c r="F194" s="25">
        <v>5</v>
      </c>
      <c r="G194" s="25">
        <v>6</v>
      </c>
      <c r="J194" s="25"/>
    </row>
    <row r="195" spans="1:10" ht="15.75" customHeight="1" x14ac:dyDescent="0.2">
      <c r="A195" s="25">
        <v>194</v>
      </c>
      <c r="B195" s="25">
        <v>9.0899999999999995E-2</v>
      </c>
      <c r="C195" s="25">
        <v>0.49</v>
      </c>
      <c r="D195" s="25">
        <v>0.28360000000000002</v>
      </c>
      <c r="E195" s="25">
        <v>0</v>
      </c>
      <c r="F195" s="25">
        <v>10</v>
      </c>
      <c r="G195" s="25">
        <v>10</v>
      </c>
      <c r="J195" s="25"/>
    </row>
    <row r="196" spans="1:10" ht="15.75" customHeight="1" x14ac:dyDescent="0.2">
      <c r="A196" s="25">
        <v>195</v>
      </c>
      <c r="B196" s="25">
        <v>7.5800000000000006E-2</v>
      </c>
      <c r="C196" s="25">
        <v>0.46</v>
      </c>
      <c r="D196" s="25">
        <v>0.52239999999999998</v>
      </c>
      <c r="E196" s="25">
        <v>0</v>
      </c>
      <c r="F196" s="25">
        <v>19</v>
      </c>
      <c r="G196" s="25">
        <v>19</v>
      </c>
      <c r="J196" s="25"/>
    </row>
    <row r="197" spans="1:10" ht="15.75" customHeight="1" x14ac:dyDescent="0.2">
      <c r="A197" s="25">
        <v>196</v>
      </c>
      <c r="B197" s="25">
        <v>0.1061</v>
      </c>
      <c r="C197" s="25">
        <v>0.43</v>
      </c>
      <c r="D197" s="25">
        <v>0.3881</v>
      </c>
      <c r="E197" s="25">
        <v>0</v>
      </c>
      <c r="F197" s="25">
        <v>49</v>
      </c>
      <c r="G197" s="25">
        <v>49</v>
      </c>
      <c r="J197" s="25"/>
    </row>
    <row r="198" spans="1:10" ht="15.75" customHeight="1" x14ac:dyDescent="0.2">
      <c r="A198" s="25">
        <v>197</v>
      </c>
      <c r="B198" s="25">
        <v>0.1212</v>
      </c>
      <c r="C198" s="25">
        <v>0.4</v>
      </c>
      <c r="D198" s="25">
        <v>0.52239999999999998</v>
      </c>
      <c r="E198" s="25">
        <v>2</v>
      </c>
      <c r="F198" s="25">
        <v>47</v>
      </c>
      <c r="G198" s="25">
        <v>49</v>
      </c>
      <c r="J198" s="25"/>
    </row>
    <row r="199" spans="1:10" ht="15.75" customHeight="1" x14ac:dyDescent="0.2">
      <c r="A199" s="25">
        <v>198</v>
      </c>
      <c r="B199" s="25">
        <v>0.13639999999999999</v>
      </c>
      <c r="C199" s="25">
        <v>0.37</v>
      </c>
      <c r="D199" s="25">
        <v>0.44779999999999998</v>
      </c>
      <c r="E199" s="25">
        <v>4</v>
      </c>
      <c r="F199" s="25">
        <v>79</v>
      </c>
      <c r="G199" s="25">
        <v>83</v>
      </c>
      <c r="J199" s="25"/>
    </row>
    <row r="200" spans="1:10" ht="15.75" customHeight="1" x14ac:dyDescent="0.2">
      <c r="A200" s="25">
        <v>199</v>
      </c>
      <c r="B200" s="25">
        <v>0.16669999999999999</v>
      </c>
      <c r="C200" s="25">
        <v>0.34</v>
      </c>
      <c r="D200" s="25">
        <v>0.44779999999999998</v>
      </c>
      <c r="E200" s="25">
        <v>6</v>
      </c>
      <c r="F200" s="25">
        <v>69</v>
      </c>
      <c r="G200" s="25">
        <v>75</v>
      </c>
      <c r="J200" s="25"/>
    </row>
    <row r="201" spans="1:10" ht="15.75" customHeight="1" x14ac:dyDescent="0.2">
      <c r="A201" s="25">
        <v>200</v>
      </c>
      <c r="B201" s="25">
        <v>0.18179999999999999</v>
      </c>
      <c r="C201" s="25">
        <v>0.32</v>
      </c>
      <c r="D201" s="25">
        <v>0.4627</v>
      </c>
      <c r="E201" s="25">
        <v>8</v>
      </c>
      <c r="F201" s="25">
        <v>64</v>
      </c>
      <c r="G201" s="25">
        <v>72</v>
      </c>
      <c r="J201" s="25"/>
    </row>
    <row r="202" spans="1:10" ht="15.75" customHeight="1" x14ac:dyDescent="0.2">
      <c r="A202" s="25">
        <v>201</v>
      </c>
      <c r="B202" s="25">
        <v>0.19700000000000001</v>
      </c>
      <c r="C202" s="25">
        <v>0.35</v>
      </c>
      <c r="D202" s="25">
        <v>0.35820000000000002</v>
      </c>
      <c r="E202" s="25">
        <v>5</v>
      </c>
      <c r="F202" s="25">
        <v>77</v>
      </c>
      <c r="G202" s="25">
        <v>82</v>
      </c>
      <c r="J202" s="25"/>
    </row>
    <row r="203" spans="1:10" ht="15.75" customHeight="1" x14ac:dyDescent="0.2">
      <c r="A203" s="25">
        <v>202</v>
      </c>
      <c r="B203" s="25">
        <v>0.16669999999999999</v>
      </c>
      <c r="C203" s="25">
        <v>0.34</v>
      </c>
      <c r="D203" s="25">
        <v>0.44779999999999998</v>
      </c>
      <c r="E203" s="25">
        <v>13</v>
      </c>
      <c r="F203" s="25">
        <v>79</v>
      </c>
      <c r="G203" s="25">
        <v>92</v>
      </c>
      <c r="J203" s="25"/>
    </row>
    <row r="204" spans="1:10" ht="15.75" customHeight="1" x14ac:dyDescent="0.2">
      <c r="A204" s="25">
        <v>203</v>
      </c>
      <c r="B204" s="25">
        <v>0.1515</v>
      </c>
      <c r="C204" s="25">
        <v>0.37</v>
      </c>
      <c r="D204" s="25">
        <v>0.3881</v>
      </c>
      <c r="E204" s="25">
        <v>3</v>
      </c>
      <c r="F204" s="25">
        <v>59</v>
      </c>
      <c r="G204" s="25">
        <v>62</v>
      </c>
      <c r="J204" s="25"/>
    </row>
    <row r="205" spans="1:10" ht="15.75" customHeight="1" x14ac:dyDescent="0.2">
      <c r="A205" s="25">
        <v>204</v>
      </c>
      <c r="B205" s="25">
        <v>0.13639999999999999</v>
      </c>
      <c r="C205" s="25">
        <v>0.4</v>
      </c>
      <c r="D205" s="25">
        <v>0.32840000000000003</v>
      </c>
      <c r="E205" s="25">
        <v>4</v>
      </c>
      <c r="F205" s="25">
        <v>44</v>
      </c>
      <c r="G205" s="25">
        <v>48</v>
      </c>
      <c r="J205" s="25"/>
    </row>
    <row r="206" spans="1:10" ht="15.75" customHeight="1" x14ac:dyDescent="0.2">
      <c r="A206" s="25">
        <v>205</v>
      </c>
      <c r="B206" s="25">
        <v>0.13639999999999999</v>
      </c>
      <c r="C206" s="25">
        <v>0.43</v>
      </c>
      <c r="D206" s="25">
        <v>0.32840000000000003</v>
      </c>
      <c r="E206" s="25">
        <v>1</v>
      </c>
      <c r="F206" s="25">
        <v>40</v>
      </c>
      <c r="G206" s="25">
        <v>41</v>
      </c>
      <c r="J206" s="25"/>
    </row>
    <row r="207" spans="1:10" ht="15.75" customHeight="1" x14ac:dyDescent="0.2">
      <c r="A207" s="25">
        <v>206</v>
      </c>
      <c r="B207" s="25">
        <v>0.1212</v>
      </c>
      <c r="C207" s="25">
        <v>0.46</v>
      </c>
      <c r="D207" s="25">
        <v>0.25369999999999998</v>
      </c>
      <c r="E207" s="25">
        <v>0</v>
      </c>
      <c r="F207" s="25">
        <v>38</v>
      </c>
      <c r="G207" s="25">
        <v>38</v>
      </c>
      <c r="J207" s="25"/>
    </row>
    <row r="208" spans="1:10" ht="15.75" customHeight="1" x14ac:dyDescent="0.2">
      <c r="A208" s="25">
        <v>207</v>
      </c>
      <c r="B208" s="25">
        <v>0.1061</v>
      </c>
      <c r="C208" s="25">
        <v>0.46</v>
      </c>
      <c r="D208" s="25">
        <v>0.41789999999999999</v>
      </c>
      <c r="E208" s="25">
        <v>1</v>
      </c>
      <c r="F208" s="25">
        <v>19</v>
      </c>
      <c r="G208" s="25">
        <v>20</v>
      </c>
      <c r="J208" s="25"/>
    </row>
    <row r="209" spans="1:10" ht="15.75" customHeight="1" x14ac:dyDescent="0.2">
      <c r="A209" s="25">
        <v>208</v>
      </c>
      <c r="B209" s="25">
        <v>0.1212</v>
      </c>
      <c r="C209" s="25">
        <v>0.46</v>
      </c>
      <c r="D209" s="25">
        <v>0.29849999999999999</v>
      </c>
      <c r="E209" s="25">
        <v>5</v>
      </c>
      <c r="F209" s="25">
        <v>10</v>
      </c>
      <c r="G209" s="25">
        <v>15</v>
      </c>
      <c r="J209" s="25"/>
    </row>
    <row r="210" spans="1:10" ht="15.75" customHeight="1" x14ac:dyDescent="0.2">
      <c r="A210" s="25">
        <v>209</v>
      </c>
      <c r="B210" s="25">
        <v>0.13639999999999999</v>
      </c>
      <c r="C210" s="25">
        <v>0.5</v>
      </c>
      <c r="D210" s="25">
        <v>0.19400000000000001</v>
      </c>
      <c r="E210" s="25">
        <v>0</v>
      </c>
      <c r="F210" s="25">
        <v>6</v>
      </c>
      <c r="G210" s="25">
        <v>6</v>
      </c>
      <c r="J210" s="25"/>
    </row>
    <row r="211" spans="1:10" ht="15.75" customHeight="1" x14ac:dyDescent="0.2">
      <c r="A211" s="25">
        <v>210</v>
      </c>
      <c r="B211" s="25">
        <v>0.1212</v>
      </c>
      <c r="C211" s="25">
        <v>0.5</v>
      </c>
      <c r="D211" s="25">
        <v>0.28360000000000002</v>
      </c>
      <c r="E211" s="25">
        <v>2</v>
      </c>
      <c r="F211" s="25">
        <v>3</v>
      </c>
      <c r="G211" s="25">
        <v>5</v>
      </c>
      <c r="J211" s="25"/>
    </row>
    <row r="212" spans="1:10" ht="15.75" customHeight="1" x14ac:dyDescent="0.2">
      <c r="A212" s="25">
        <v>211</v>
      </c>
      <c r="B212" s="25">
        <v>0.1212</v>
      </c>
      <c r="C212" s="25">
        <v>0.5</v>
      </c>
      <c r="D212" s="25">
        <v>0.28360000000000002</v>
      </c>
      <c r="E212" s="25">
        <v>1</v>
      </c>
      <c r="F212" s="25">
        <v>0</v>
      </c>
      <c r="G212" s="25">
        <v>1</v>
      </c>
      <c r="J212" s="25"/>
    </row>
    <row r="213" spans="1:10" ht="15.75" customHeight="1" x14ac:dyDescent="0.2">
      <c r="A213" s="25">
        <v>212</v>
      </c>
      <c r="B213" s="25">
        <v>0.1212</v>
      </c>
      <c r="C213" s="25">
        <v>0.5</v>
      </c>
      <c r="D213" s="25">
        <v>0.22389999999999999</v>
      </c>
      <c r="E213" s="25">
        <v>0</v>
      </c>
      <c r="F213" s="25">
        <v>3</v>
      </c>
      <c r="G213" s="25">
        <v>3</v>
      </c>
      <c r="J213" s="25"/>
    </row>
    <row r="214" spans="1:10" ht="15.75" customHeight="1" x14ac:dyDescent="0.2">
      <c r="A214" s="25">
        <v>213</v>
      </c>
      <c r="B214" s="25">
        <v>0.1212</v>
      </c>
      <c r="C214" s="25">
        <v>0.5</v>
      </c>
      <c r="D214" s="25">
        <v>0.22389999999999999</v>
      </c>
      <c r="E214" s="25">
        <v>0</v>
      </c>
      <c r="F214" s="25">
        <v>1</v>
      </c>
      <c r="G214" s="25">
        <v>1</v>
      </c>
      <c r="J214" s="25"/>
    </row>
    <row r="215" spans="1:10" ht="15.75" customHeight="1" x14ac:dyDescent="0.2">
      <c r="A215" s="25">
        <v>214</v>
      </c>
      <c r="B215" s="25">
        <v>0.1212</v>
      </c>
      <c r="C215" s="25">
        <v>0.54</v>
      </c>
      <c r="D215" s="25">
        <v>0.1343</v>
      </c>
      <c r="E215" s="25">
        <v>1</v>
      </c>
      <c r="F215" s="25">
        <v>2</v>
      </c>
      <c r="G215" s="25">
        <v>3</v>
      </c>
      <c r="J215" s="25"/>
    </row>
    <row r="216" spans="1:10" ht="15.75" customHeight="1" x14ac:dyDescent="0.2">
      <c r="A216" s="25">
        <v>215</v>
      </c>
      <c r="B216" s="25">
        <v>0.1061</v>
      </c>
      <c r="C216" s="25">
        <v>0.54</v>
      </c>
      <c r="D216" s="25">
        <v>0.25369999999999998</v>
      </c>
      <c r="E216" s="25">
        <v>0</v>
      </c>
      <c r="F216" s="25">
        <v>3</v>
      </c>
      <c r="G216" s="25">
        <v>3</v>
      </c>
      <c r="J216" s="25"/>
    </row>
    <row r="217" spans="1:10" ht="15.75" customHeight="1" x14ac:dyDescent="0.2">
      <c r="A217" s="25">
        <v>216</v>
      </c>
      <c r="B217" s="25">
        <v>0.1212</v>
      </c>
      <c r="C217" s="25">
        <v>0.5</v>
      </c>
      <c r="D217" s="25">
        <v>0.28360000000000002</v>
      </c>
      <c r="E217" s="25">
        <v>0</v>
      </c>
      <c r="F217" s="25">
        <v>31</v>
      </c>
      <c r="G217" s="25">
        <v>31</v>
      </c>
      <c r="J217" s="25"/>
    </row>
    <row r="218" spans="1:10" ht="15.75" customHeight="1" x14ac:dyDescent="0.2">
      <c r="A218" s="25">
        <v>217</v>
      </c>
      <c r="B218" s="25">
        <v>0.1212</v>
      </c>
      <c r="C218" s="25">
        <v>0.5</v>
      </c>
      <c r="D218" s="25">
        <v>0.22389999999999999</v>
      </c>
      <c r="E218" s="25">
        <v>2</v>
      </c>
      <c r="F218" s="25">
        <v>75</v>
      </c>
      <c r="G218" s="25">
        <v>77</v>
      </c>
      <c r="J218" s="25"/>
    </row>
    <row r="219" spans="1:10" ht="15.75" customHeight="1" x14ac:dyDescent="0.2">
      <c r="A219" s="25">
        <v>218</v>
      </c>
      <c r="B219" s="25">
        <v>0.1212</v>
      </c>
      <c r="C219" s="25">
        <v>0.5</v>
      </c>
      <c r="D219" s="25">
        <v>0.28360000000000002</v>
      </c>
      <c r="E219" s="25">
        <v>4</v>
      </c>
      <c r="F219" s="25">
        <v>184</v>
      </c>
      <c r="G219" s="25">
        <v>188</v>
      </c>
      <c r="J219" s="25"/>
    </row>
    <row r="220" spans="1:10" ht="15.75" customHeight="1" x14ac:dyDescent="0.2">
      <c r="A220" s="25">
        <v>219</v>
      </c>
      <c r="B220" s="25">
        <v>0.1212</v>
      </c>
      <c r="C220" s="25">
        <v>0.5</v>
      </c>
      <c r="D220" s="25">
        <v>0.25369999999999998</v>
      </c>
      <c r="E220" s="25">
        <v>2</v>
      </c>
      <c r="F220" s="25">
        <v>92</v>
      </c>
      <c r="G220" s="25">
        <v>94</v>
      </c>
      <c r="J220" s="25"/>
    </row>
    <row r="221" spans="1:10" ht="15.75" customHeight="1" x14ac:dyDescent="0.2">
      <c r="A221" s="25">
        <v>220</v>
      </c>
      <c r="B221" s="25">
        <v>0.1212</v>
      </c>
      <c r="C221" s="25">
        <v>0.5</v>
      </c>
      <c r="D221" s="25">
        <v>0.29849999999999999</v>
      </c>
      <c r="E221" s="25">
        <v>0</v>
      </c>
      <c r="F221" s="25">
        <v>31</v>
      </c>
      <c r="G221" s="25">
        <v>31</v>
      </c>
      <c r="J221" s="25"/>
    </row>
    <row r="222" spans="1:10" ht="15.75" customHeight="1" x14ac:dyDescent="0.2">
      <c r="A222" s="25">
        <v>221</v>
      </c>
      <c r="B222" s="25">
        <v>0.13639999999999999</v>
      </c>
      <c r="C222" s="25">
        <v>0.47</v>
      </c>
      <c r="D222" s="25">
        <v>0.28360000000000002</v>
      </c>
      <c r="E222" s="25">
        <v>2</v>
      </c>
      <c r="F222" s="25">
        <v>28</v>
      </c>
      <c r="G222" s="25">
        <v>30</v>
      </c>
      <c r="J222" s="25"/>
    </row>
    <row r="223" spans="1:10" ht="15.75" customHeight="1" x14ac:dyDescent="0.2">
      <c r="A223" s="25">
        <v>222</v>
      </c>
      <c r="B223" s="25">
        <v>0.18179999999999999</v>
      </c>
      <c r="C223" s="25">
        <v>0.4</v>
      </c>
      <c r="D223" s="25">
        <v>0.28360000000000002</v>
      </c>
      <c r="E223" s="25">
        <v>5</v>
      </c>
      <c r="F223" s="25">
        <v>47</v>
      </c>
      <c r="G223" s="25">
        <v>52</v>
      </c>
      <c r="J223" s="25"/>
    </row>
    <row r="224" spans="1:10" ht="15.75" customHeight="1" x14ac:dyDescent="0.2">
      <c r="A224" s="25">
        <v>223</v>
      </c>
      <c r="B224" s="25">
        <v>0.18179999999999999</v>
      </c>
      <c r="C224" s="25">
        <v>0.4</v>
      </c>
      <c r="D224" s="25">
        <v>0.28360000000000002</v>
      </c>
      <c r="E224" s="25">
        <v>4</v>
      </c>
      <c r="F224" s="25">
        <v>50</v>
      </c>
      <c r="G224" s="25">
        <v>54</v>
      </c>
      <c r="J224" s="25"/>
    </row>
    <row r="225" spans="1:10" ht="15.75" customHeight="1" x14ac:dyDescent="0.2">
      <c r="A225" s="25">
        <v>224</v>
      </c>
      <c r="B225" s="25">
        <v>0.19700000000000001</v>
      </c>
      <c r="C225" s="25">
        <v>0.4</v>
      </c>
      <c r="D225" s="25">
        <v>0.22389999999999999</v>
      </c>
      <c r="E225" s="25">
        <v>0</v>
      </c>
      <c r="F225" s="25">
        <v>47</v>
      </c>
      <c r="G225" s="25">
        <v>47</v>
      </c>
      <c r="J225" s="25"/>
    </row>
    <row r="226" spans="1:10" ht="15.75" customHeight="1" x14ac:dyDescent="0.2">
      <c r="A226" s="25">
        <v>225</v>
      </c>
      <c r="B226" s="25">
        <v>0.19700000000000001</v>
      </c>
      <c r="C226" s="25">
        <v>0.4</v>
      </c>
      <c r="D226" s="25">
        <v>0.22389999999999999</v>
      </c>
      <c r="E226" s="25">
        <v>2</v>
      </c>
      <c r="F226" s="25">
        <v>43</v>
      </c>
      <c r="G226" s="25">
        <v>45</v>
      </c>
      <c r="J226" s="25"/>
    </row>
    <row r="227" spans="1:10" ht="15.75" customHeight="1" x14ac:dyDescent="0.2">
      <c r="A227" s="25">
        <v>226</v>
      </c>
      <c r="B227" s="25">
        <v>0.21210000000000001</v>
      </c>
      <c r="C227" s="25">
        <v>0.4</v>
      </c>
      <c r="D227" s="25">
        <v>0.1343</v>
      </c>
      <c r="E227" s="25">
        <v>4</v>
      </c>
      <c r="F227" s="25">
        <v>70</v>
      </c>
      <c r="G227" s="25">
        <v>74</v>
      </c>
      <c r="J227" s="25"/>
    </row>
    <row r="228" spans="1:10" ht="15.75" customHeight="1" x14ac:dyDescent="0.2">
      <c r="A228" s="25">
        <v>227</v>
      </c>
      <c r="B228" s="25">
        <v>0.2273</v>
      </c>
      <c r="C228" s="25">
        <v>0.4</v>
      </c>
      <c r="D228" s="25">
        <v>0.1045</v>
      </c>
      <c r="E228" s="25">
        <v>4</v>
      </c>
      <c r="F228" s="25">
        <v>174</v>
      </c>
      <c r="G228" s="25">
        <v>178</v>
      </c>
      <c r="J228" s="25"/>
    </row>
    <row r="229" spans="1:10" ht="15.75" customHeight="1" x14ac:dyDescent="0.2">
      <c r="A229" s="25">
        <v>228</v>
      </c>
      <c r="B229" s="25">
        <v>0.19700000000000001</v>
      </c>
      <c r="C229" s="25">
        <v>0.4</v>
      </c>
      <c r="D229" s="25">
        <v>0.22389999999999999</v>
      </c>
      <c r="E229" s="25">
        <v>1</v>
      </c>
      <c r="F229" s="25">
        <v>154</v>
      </c>
      <c r="G229" s="25">
        <v>155</v>
      </c>
      <c r="J229" s="25"/>
    </row>
    <row r="230" spans="1:10" ht="15.75" customHeight="1" x14ac:dyDescent="0.2">
      <c r="A230" s="25">
        <v>229</v>
      </c>
      <c r="B230" s="25">
        <v>0.16669999999999999</v>
      </c>
      <c r="C230" s="25">
        <v>0.47</v>
      </c>
      <c r="D230" s="25">
        <v>0.16420000000000001</v>
      </c>
      <c r="E230" s="25">
        <v>3</v>
      </c>
      <c r="F230" s="25">
        <v>92</v>
      </c>
      <c r="G230" s="25">
        <v>95</v>
      </c>
      <c r="J230" s="25"/>
    </row>
    <row r="231" spans="1:10" ht="15.75" customHeight="1" x14ac:dyDescent="0.2">
      <c r="A231" s="25">
        <v>230</v>
      </c>
      <c r="B231" s="25">
        <v>0.16669999999999999</v>
      </c>
      <c r="C231" s="25">
        <v>0.5</v>
      </c>
      <c r="D231" s="25">
        <v>0.16420000000000001</v>
      </c>
      <c r="E231" s="25">
        <v>1</v>
      </c>
      <c r="F231" s="25">
        <v>73</v>
      </c>
      <c r="G231" s="25">
        <v>74</v>
      </c>
      <c r="J231" s="25"/>
    </row>
    <row r="232" spans="1:10" ht="15.75" customHeight="1" x14ac:dyDescent="0.2">
      <c r="A232" s="25">
        <v>231</v>
      </c>
      <c r="B232" s="25">
        <v>0.13639999999999999</v>
      </c>
      <c r="C232" s="25">
        <v>0.59</v>
      </c>
      <c r="D232" s="25">
        <v>0.19400000000000001</v>
      </c>
      <c r="E232" s="25">
        <v>1</v>
      </c>
      <c r="F232" s="25">
        <v>37</v>
      </c>
      <c r="G232" s="25">
        <v>38</v>
      </c>
      <c r="J232" s="25"/>
    </row>
    <row r="233" spans="1:10" ht="15.75" customHeight="1" x14ac:dyDescent="0.2">
      <c r="A233" s="25">
        <v>232</v>
      </c>
      <c r="B233" s="25">
        <v>0.1515</v>
      </c>
      <c r="C233" s="25">
        <v>0.59</v>
      </c>
      <c r="D233" s="25">
        <v>0.16420000000000001</v>
      </c>
      <c r="E233" s="25">
        <v>2</v>
      </c>
      <c r="F233" s="25">
        <v>22</v>
      </c>
      <c r="G233" s="25">
        <v>24</v>
      </c>
      <c r="J233" s="25"/>
    </row>
    <row r="234" spans="1:10" ht="15.75" customHeight="1" x14ac:dyDescent="0.2">
      <c r="A234" s="25">
        <v>233</v>
      </c>
      <c r="B234" s="25">
        <v>0.1515</v>
      </c>
      <c r="C234" s="25">
        <v>0.59</v>
      </c>
      <c r="D234" s="25">
        <v>0.16420000000000001</v>
      </c>
      <c r="E234" s="25">
        <v>0</v>
      </c>
      <c r="F234" s="25">
        <v>18</v>
      </c>
      <c r="G234" s="25">
        <v>18</v>
      </c>
      <c r="J234" s="25"/>
    </row>
    <row r="235" spans="1:10" ht="15.75" customHeight="1" x14ac:dyDescent="0.2">
      <c r="A235" s="25">
        <v>234</v>
      </c>
      <c r="B235" s="25">
        <v>0.16669999999999999</v>
      </c>
      <c r="C235" s="25">
        <v>0.59</v>
      </c>
      <c r="D235" s="25">
        <v>0.1045</v>
      </c>
      <c r="E235" s="25">
        <v>2</v>
      </c>
      <c r="F235" s="25">
        <v>10</v>
      </c>
      <c r="G235" s="25">
        <v>12</v>
      </c>
      <c r="J235" s="25"/>
    </row>
    <row r="236" spans="1:10" ht="15.75" customHeight="1" x14ac:dyDescent="0.2">
      <c r="A236" s="25">
        <v>235</v>
      </c>
      <c r="B236" s="25">
        <v>0.1515</v>
      </c>
      <c r="C236" s="25">
        <v>0.59</v>
      </c>
      <c r="D236" s="25">
        <v>0.16420000000000001</v>
      </c>
      <c r="E236" s="25">
        <v>0</v>
      </c>
      <c r="F236" s="25">
        <v>3</v>
      </c>
      <c r="G236" s="25">
        <v>3</v>
      </c>
      <c r="J236" s="25"/>
    </row>
    <row r="237" spans="1:10" ht="15.75" customHeight="1" x14ac:dyDescent="0.2">
      <c r="A237" s="25">
        <v>236</v>
      </c>
      <c r="B237" s="25">
        <v>0.1515</v>
      </c>
      <c r="C237" s="25">
        <v>0.55000000000000004</v>
      </c>
      <c r="D237" s="25">
        <v>0.19400000000000001</v>
      </c>
      <c r="E237" s="25">
        <v>0</v>
      </c>
      <c r="F237" s="25">
        <v>3</v>
      </c>
      <c r="G237" s="25">
        <v>3</v>
      </c>
      <c r="J237" s="25"/>
    </row>
    <row r="238" spans="1:10" ht="15.75" customHeight="1" x14ac:dyDescent="0.2">
      <c r="A238" s="25">
        <v>237</v>
      </c>
      <c r="B238" s="25">
        <v>0.18179999999999999</v>
      </c>
      <c r="C238" s="25">
        <v>0.55000000000000004</v>
      </c>
      <c r="D238" s="25">
        <v>0.1343</v>
      </c>
      <c r="E238" s="25">
        <v>0</v>
      </c>
      <c r="F238" s="25">
        <v>6</v>
      </c>
      <c r="G238" s="25">
        <v>6</v>
      </c>
      <c r="J238" s="25"/>
    </row>
    <row r="239" spans="1:10" ht="15.75" customHeight="1" x14ac:dyDescent="0.2">
      <c r="A239" s="25">
        <v>238</v>
      </c>
      <c r="B239" s="25">
        <v>0.18179999999999999</v>
      </c>
      <c r="C239" s="25">
        <v>0.55000000000000004</v>
      </c>
      <c r="D239" s="25">
        <v>0.1343</v>
      </c>
      <c r="E239" s="25">
        <v>0</v>
      </c>
      <c r="F239" s="25">
        <v>27</v>
      </c>
      <c r="G239" s="25">
        <v>27</v>
      </c>
      <c r="J239" s="25"/>
    </row>
    <row r="240" spans="1:10" ht="15.75" customHeight="1" x14ac:dyDescent="0.2">
      <c r="A240" s="25">
        <v>239</v>
      </c>
      <c r="B240" s="25">
        <v>0.2273</v>
      </c>
      <c r="C240" s="25">
        <v>0.55000000000000004</v>
      </c>
      <c r="D240" s="25">
        <v>0</v>
      </c>
      <c r="E240" s="25">
        <v>2</v>
      </c>
      <c r="F240" s="25">
        <v>97</v>
      </c>
      <c r="G240" s="25">
        <v>99</v>
      </c>
      <c r="J240" s="25"/>
    </row>
    <row r="241" spans="1:10" ht="15.75" customHeight="1" x14ac:dyDescent="0.2">
      <c r="A241" s="25">
        <v>240</v>
      </c>
      <c r="B241" s="25">
        <v>0.21210000000000001</v>
      </c>
      <c r="C241" s="25">
        <v>0.51</v>
      </c>
      <c r="D241" s="25">
        <v>8.9599999999999999E-2</v>
      </c>
      <c r="E241" s="25">
        <v>3</v>
      </c>
      <c r="F241" s="25">
        <v>214</v>
      </c>
      <c r="G241" s="25">
        <v>217</v>
      </c>
      <c r="J241" s="25"/>
    </row>
    <row r="242" spans="1:10" ht="15.75" customHeight="1" x14ac:dyDescent="0.2">
      <c r="A242" s="25">
        <v>241</v>
      </c>
      <c r="B242" s="25">
        <v>0.19700000000000001</v>
      </c>
      <c r="C242" s="25">
        <v>0.51</v>
      </c>
      <c r="D242" s="25">
        <v>0.16420000000000001</v>
      </c>
      <c r="E242" s="25">
        <v>3</v>
      </c>
      <c r="F242" s="25">
        <v>127</v>
      </c>
      <c r="G242" s="25">
        <v>130</v>
      </c>
      <c r="J242" s="25"/>
    </row>
    <row r="243" spans="1:10" ht="15.75" customHeight="1" x14ac:dyDescent="0.2">
      <c r="A243" s="25">
        <v>242</v>
      </c>
      <c r="B243" s="25">
        <v>0.21210000000000001</v>
      </c>
      <c r="C243" s="25">
        <v>0.51</v>
      </c>
      <c r="D243" s="25">
        <v>0.16420000000000001</v>
      </c>
      <c r="E243" s="25">
        <v>3</v>
      </c>
      <c r="F243" s="25">
        <v>51</v>
      </c>
      <c r="G243" s="25">
        <v>54</v>
      </c>
      <c r="J243" s="25"/>
    </row>
    <row r="244" spans="1:10" ht="15.75" customHeight="1" x14ac:dyDescent="0.2">
      <c r="A244" s="25">
        <v>243</v>
      </c>
      <c r="B244" s="25">
        <v>0.21210000000000001</v>
      </c>
      <c r="C244" s="25">
        <v>0.47</v>
      </c>
      <c r="D244" s="25">
        <v>0.1343</v>
      </c>
      <c r="E244" s="25">
        <v>4</v>
      </c>
      <c r="F244" s="25">
        <v>31</v>
      </c>
      <c r="G244" s="25">
        <v>35</v>
      </c>
      <c r="J244" s="25"/>
    </row>
    <row r="245" spans="1:10" ht="15.75" customHeight="1" x14ac:dyDescent="0.2">
      <c r="A245" s="25">
        <v>244</v>
      </c>
      <c r="B245" s="25">
        <v>0.2273</v>
      </c>
      <c r="C245" s="25">
        <v>0.51</v>
      </c>
      <c r="D245" s="25">
        <v>0.1045</v>
      </c>
      <c r="E245" s="25">
        <v>2</v>
      </c>
      <c r="F245" s="25">
        <v>55</v>
      </c>
      <c r="G245" s="25">
        <v>57</v>
      </c>
      <c r="J245" s="25"/>
    </row>
    <row r="246" spans="1:10" ht="15.75" customHeight="1" x14ac:dyDescent="0.2">
      <c r="A246" s="25">
        <v>245</v>
      </c>
      <c r="B246" s="25">
        <v>0.2273</v>
      </c>
      <c r="C246" s="25">
        <v>0.59</v>
      </c>
      <c r="D246" s="25">
        <v>8.9599999999999999E-2</v>
      </c>
      <c r="E246" s="25">
        <v>6</v>
      </c>
      <c r="F246" s="25">
        <v>46</v>
      </c>
      <c r="G246" s="25">
        <v>52</v>
      </c>
      <c r="J246" s="25"/>
    </row>
    <row r="247" spans="1:10" ht="15.75" customHeight="1" x14ac:dyDescent="0.2">
      <c r="A247" s="25">
        <v>246</v>
      </c>
      <c r="B247" s="25">
        <v>0.2273</v>
      </c>
      <c r="C247" s="25">
        <v>0.59</v>
      </c>
      <c r="D247" s="25">
        <v>8.9599999999999999E-2</v>
      </c>
      <c r="E247" s="25">
        <v>3</v>
      </c>
      <c r="F247" s="25">
        <v>60</v>
      </c>
      <c r="G247" s="25">
        <v>63</v>
      </c>
      <c r="J247" s="25"/>
    </row>
    <row r="248" spans="1:10" ht="15.75" customHeight="1" x14ac:dyDescent="0.2">
      <c r="A248" s="25">
        <v>247</v>
      </c>
      <c r="B248" s="25">
        <v>0.19700000000000001</v>
      </c>
      <c r="C248" s="25">
        <v>0.8</v>
      </c>
      <c r="D248" s="25">
        <v>8.9599999999999999E-2</v>
      </c>
      <c r="E248" s="25">
        <v>2</v>
      </c>
      <c r="F248" s="25">
        <v>45</v>
      </c>
      <c r="G248" s="25">
        <v>47</v>
      </c>
      <c r="J248" s="25"/>
    </row>
    <row r="249" spans="1:10" ht="15.75" customHeight="1" x14ac:dyDescent="0.2">
      <c r="A249" s="25">
        <v>248</v>
      </c>
      <c r="B249" s="25">
        <v>0.1515</v>
      </c>
      <c r="C249" s="25">
        <v>0.86</v>
      </c>
      <c r="D249" s="25">
        <v>0.22389999999999999</v>
      </c>
      <c r="E249" s="25">
        <v>4</v>
      </c>
      <c r="F249" s="25">
        <v>72</v>
      </c>
      <c r="G249" s="25">
        <v>76</v>
      </c>
      <c r="J249" s="25"/>
    </row>
    <row r="250" spans="1:10" ht="15.75" customHeight="1" x14ac:dyDescent="0.2">
      <c r="A250" s="25">
        <v>249</v>
      </c>
      <c r="B250" s="25">
        <v>0.1515</v>
      </c>
      <c r="C250" s="25">
        <v>0.86</v>
      </c>
      <c r="D250" s="25">
        <v>0.22389999999999999</v>
      </c>
      <c r="E250" s="25">
        <v>6</v>
      </c>
      <c r="F250" s="25">
        <v>130</v>
      </c>
      <c r="G250" s="25">
        <v>136</v>
      </c>
      <c r="J250" s="25"/>
    </row>
    <row r="251" spans="1:10" ht="15.75" customHeight="1" x14ac:dyDescent="0.2">
      <c r="A251" s="25">
        <v>250</v>
      </c>
      <c r="B251" s="25">
        <v>0.18179999999999999</v>
      </c>
      <c r="C251" s="25">
        <v>0.93</v>
      </c>
      <c r="D251" s="25">
        <v>0.1045</v>
      </c>
      <c r="E251" s="25">
        <v>1</v>
      </c>
      <c r="F251" s="25">
        <v>94</v>
      </c>
      <c r="G251" s="25">
        <v>95</v>
      </c>
      <c r="J251" s="25"/>
    </row>
    <row r="252" spans="1:10" ht="15.75" customHeight="1" x14ac:dyDescent="0.2">
      <c r="A252" s="25">
        <v>251</v>
      </c>
      <c r="B252" s="25">
        <v>0.2273</v>
      </c>
      <c r="C252" s="25">
        <v>0.93</v>
      </c>
      <c r="D252" s="25">
        <v>0</v>
      </c>
      <c r="E252" s="25">
        <v>0</v>
      </c>
      <c r="F252" s="25">
        <v>51</v>
      </c>
      <c r="G252" s="25">
        <v>51</v>
      </c>
      <c r="J252" s="25"/>
    </row>
    <row r="253" spans="1:10" ht="15.75" customHeight="1" x14ac:dyDescent="0.2">
      <c r="A253" s="25">
        <v>252</v>
      </c>
      <c r="B253" s="25">
        <v>0.1515</v>
      </c>
      <c r="C253" s="25">
        <v>0.93</v>
      </c>
      <c r="D253" s="25">
        <v>0.19400000000000001</v>
      </c>
      <c r="E253" s="25">
        <v>0</v>
      </c>
      <c r="F253" s="25">
        <v>32</v>
      </c>
      <c r="G253" s="25">
        <v>32</v>
      </c>
      <c r="J253" s="25"/>
    </row>
    <row r="254" spans="1:10" ht="15.75" customHeight="1" x14ac:dyDescent="0.2">
      <c r="A254" s="25">
        <v>253</v>
      </c>
      <c r="B254" s="25">
        <v>0.19700000000000001</v>
      </c>
      <c r="C254" s="25">
        <v>0.86</v>
      </c>
      <c r="D254" s="25">
        <v>8.9599999999999999E-2</v>
      </c>
      <c r="E254" s="25">
        <v>0</v>
      </c>
      <c r="F254" s="25">
        <v>20</v>
      </c>
      <c r="G254" s="25">
        <v>20</v>
      </c>
      <c r="J254" s="25"/>
    </row>
    <row r="255" spans="1:10" ht="15.75" customHeight="1" x14ac:dyDescent="0.2">
      <c r="A255" s="25">
        <v>254</v>
      </c>
      <c r="B255" s="25">
        <v>0.18179999999999999</v>
      </c>
      <c r="C255" s="25">
        <v>0.93</v>
      </c>
      <c r="D255" s="25">
        <v>0.1045</v>
      </c>
      <c r="E255" s="25">
        <v>1</v>
      </c>
      <c r="F255" s="25">
        <v>28</v>
      </c>
      <c r="G255" s="25">
        <v>29</v>
      </c>
      <c r="J255" s="25"/>
    </row>
    <row r="256" spans="1:10" ht="15.75" customHeight="1" x14ac:dyDescent="0.2">
      <c r="A256" s="25">
        <v>255</v>
      </c>
      <c r="B256" s="25">
        <v>0.19700000000000001</v>
      </c>
      <c r="C256" s="25">
        <v>0.93</v>
      </c>
      <c r="D256" s="25">
        <v>8.9599999999999999E-2</v>
      </c>
      <c r="E256" s="25">
        <v>1</v>
      </c>
      <c r="F256" s="25">
        <v>18</v>
      </c>
      <c r="G256" s="25">
        <v>19</v>
      </c>
      <c r="J256" s="25"/>
    </row>
    <row r="257" spans="1:10" ht="15.75" customHeight="1" x14ac:dyDescent="0.2">
      <c r="A257" s="25">
        <v>256</v>
      </c>
      <c r="B257" s="25">
        <v>0.19700000000000001</v>
      </c>
      <c r="C257" s="25">
        <v>0.86</v>
      </c>
      <c r="D257" s="25">
        <v>8.9599999999999999E-2</v>
      </c>
      <c r="E257" s="25">
        <v>0</v>
      </c>
      <c r="F257" s="25">
        <v>7</v>
      </c>
      <c r="G257" s="25">
        <v>7</v>
      </c>
      <c r="J257" s="25"/>
    </row>
    <row r="258" spans="1:10" ht="15.75" customHeight="1" x14ac:dyDescent="0.2">
      <c r="A258" s="25">
        <v>257</v>
      </c>
      <c r="B258" s="25">
        <v>0.18179999999999999</v>
      </c>
      <c r="C258" s="25">
        <v>0.86</v>
      </c>
      <c r="D258" s="25">
        <v>0.1045</v>
      </c>
      <c r="E258" s="25">
        <v>0</v>
      </c>
      <c r="F258" s="25">
        <v>6</v>
      </c>
      <c r="G258" s="25">
        <v>6</v>
      </c>
      <c r="J258" s="25"/>
    </row>
    <row r="259" spans="1:10" ht="15.75" customHeight="1" x14ac:dyDescent="0.2">
      <c r="A259" s="25">
        <v>258</v>
      </c>
      <c r="B259" s="25">
        <v>0.1515</v>
      </c>
      <c r="C259" s="25">
        <v>0.86</v>
      </c>
      <c r="D259" s="25">
        <v>0.1343</v>
      </c>
      <c r="E259" s="25">
        <v>0</v>
      </c>
      <c r="F259" s="25">
        <v>1</v>
      </c>
      <c r="G259" s="25">
        <v>1</v>
      </c>
      <c r="J259" s="25"/>
    </row>
    <row r="260" spans="1:10" ht="15.75" customHeight="1" x14ac:dyDescent="0.2">
      <c r="A260" s="25">
        <v>259</v>
      </c>
      <c r="B260" s="25">
        <v>0.1515</v>
      </c>
      <c r="C260" s="25">
        <v>0.86</v>
      </c>
      <c r="D260" s="25">
        <v>0.16420000000000001</v>
      </c>
      <c r="E260" s="25">
        <v>0</v>
      </c>
      <c r="F260" s="25">
        <v>5</v>
      </c>
      <c r="G260" s="25">
        <v>5</v>
      </c>
      <c r="J260" s="25"/>
    </row>
    <row r="261" spans="1:10" ht="15.75" customHeight="1" x14ac:dyDescent="0.2">
      <c r="A261" s="25">
        <v>260</v>
      </c>
      <c r="B261" s="25">
        <v>0.1515</v>
      </c>
      <c r="C261" s="25">
        <v>0.93</v>
      </c>
      <c r="D261" s="25">
        <v>0.1343</v>
      </c>
      <c r="E261" s="25">
        <v>0</v>
      </c>
      <c r="F261" s="25">
        <v>16</v>
      </c>
      <c r="G261" s="25">
        <v>16</v>
      </c>
      <c r="J261" s="25"/>
    </row>
    <row r="262" spans="1:10" ht="15.75" customHeight="1" x14ac:dyDescent="0.2">
      <c r="A262" s="25">
        <v>261</v>
      </c>
      <c r="B262" s="25">
        <v>0.1515</v>
      </c>
      <c r="C262" s="25">
        <v>0.69</v>
      </c>
      <c r="D262" s="25">
        <v>0.1343</v>
      </c>
      <c r="E262" s="25">
        <v>0</v>
      </c>
      <c r="F262" s="25">
        <v>54</v>
      </c>
      <c r="G262" s="25">
        <v>54</v>
      </c>
      <c r="J262" s="25"/>
    </row>
    <row r="263" spans="1:10" ht="15.75" customHeight="1" x14ac:dyDescent="0.2">
      <c r="A263" s="25">
        <v>262</v>
      </c>
      <c r="B263" s="25">
        <v>0.16669999999999999</v>
      </c>
      <c r="C263" s="25">
        <v>0.59</v>
      </c>
      <c r="D263" s="25">
        <v>0.16420000000000001</v>
      </c>
      <c r="E263" s="25">
        <v>3</v>
      </c>
      <c r="F263" s="25">
        <v>125</v>
      </c>
      <c r="G263" s="25">
        <v>128</v>
      </c>
      <c r="J263" s="25"/>
    </row>
    <row r="264" spans="1:10" ht="15.75" customHeight="1" x14ac:dyDescent="0.2">
      <c r="A264" s="25">
        <v>263</v>
      </c>
      <c r="B264" s="25">
        <v>0.13639999999999999</v>
      </c>
      <c r="C264" s="25">
        <v>0.59</v>
      </c>
      <c r="D264" s="25">
        <v>0.32840000000000003</v>
      </c>
      <c r="E264" s="25">
        <v>3</v>
      </c>
      <c r="F264" s="25">
        <v>78</v>
      </c>
      <c r="G264" s="25">
        <v>81</v>
      </c>
      <c r="J264" s="25"/>
    </row>
    <row r="265" spans="1:10" ht="15.75" customHeight="1" x14ac:dyDescent="0.2">
      <c r="A265" s="25">
        <v>264</v>
      </c>
      <c r="B265" s="25">
        <v>0.18179999999999999</v>
      </c>
      <c r="C265" s="25">
        <v>0.55000000000000004</v>
      </c>
      <c r="D265" s="25">
        <v>0.22389999999999999</v>
      </c>
      <c r="E265" s="25">
        <v>0</v>
      </c>
      <c r="F265" s="25">
        <v>39</v>
      </c>
      <c r="G265" s="25">
        <v>39</v>
      </c>
      <c r="J265" s="25"/>
    </row>
    <row r="266" spans="1:10" ht="15.75" customHeight="1" x14ac:dyDescent="0.2">
      <c r="A266" s="25">
        <v>265</v>
      </c>
      <c r="B266" s="25">
        <v>0.18179999999999999</v>
      </c>
      <c r="C266" s="25">
        <v>0.51</v>
      </c>
      <c r="D266" s="25">
        <v>0.3881</v>
      </c>
      <c r="E266" s="25">
        <v>3</v>
      </c>
      <c r="F266" s="25">
        <v>32</v>
      </c>
      <c r="G266" s="25">
        <v>35</v>
      </c>
      <c r="J266" s="25"/>
    </row>
    <row r="267" spans="1:10" ht="15.75" customHeight="1" x14ac:dyDescent="0.2">
      <c r="A267" s="25">
        <v>266</v>
      </c>
      <c r="B267" s="25">
        <v>0.1515</v>
      </c>
      <c r="C267" s="25">
        <v>0.47</v>
      </c>
      <c r="D267" s="25">
        <v>0.58209999999999995</v>
      </c>
      <c r="E267" s="25">
        <v>3</v>
      </c>
      <c r="F267" s="25">
        <v>52</v>
      </c>
      <c r="G267" s="25">
        <v>55</v>
      </c>
      <c r="J267" s="25"/>
    </row>
    <row r="268" spans="1:10" ht="15.75" customHeight="1" x14ac:dyDescent="0.2">
      <c r="A268" s="25">
        <v>267</v>
      </c>
      <c r="B268" s="25">
        <v>0.19700000000000001</v>
      </c>
      <c r="C268" s="25">
        <v>0.44</v>
      </c>
      <c r="D268" s="25">
        <v>0.35820000000000002</v>
      </c>
      <c r="E268" s="25">
        <v>0</v>
      </c>
      <c r="F268" s="25">
        <v>49</v>
      </c>
      <c r="G268" s="25">
        <v>49</v>
      </c>
      <c r="J268" s="25"/>
    </row>
    <row r="269" spans="1:10" ht="15.75" customHeight="1" x14ac:dyDescent="0.2">
      <c r="A269" s="25">
        <v>268</v>
      </c>
      <c r="B269" s="25">
        <v>0.18179999999999999</v>
      </c>
      <c r="C269" s="25">
        <v>0.47</v>
      </c>
      <c r="D269" s="25">
        <v>0.32840000000000003</v>
      </c>
      <c r="E269" s="25">
        <v>0</v>
      </c>
      <c r="F269" s="25">
        <v>44</v>
      </c>
      <c r="G269" s="25">
        <v>44</v>
      </c>
      <c r="J269" s="25"/>
    </row>
    <row r="270" spans="1:10" ht="15.75" customHeight="1" x14ac:dyDescent="0.2">
      <c r="A270" s="25">
        <v>269</v>
      </c>
      <c r="B270" s="25">
        <v>0.16669999999999999</v>
      </c>
      <c r="C270" s="25">
        <v>0.47</v>
      </c>
      <c r="D270" s="25">
        <v>0.41789999999999999</v>
      </c>
      <c r="E270" s="25">
        <v>1</v>
      </c>
      <c r="F270" s="25">
        <v>48</v>
      </c>
      <c r="G270" s="25">
        <v>49</v>
      </c>
      <c r="J270" s="25"/>
    </row>
    <row r="271" spans="1:10" ht="15.75" customHeight="1" x14ac:dyDescent="0.2">
      <c r="A271" s="25">
        <v>270</v>
      </c>
      <c r="B271" s="25">
        <v>0.19700000000000001</v>
      </c>
      <c r="C271" s="25">
        <v>0.44</v>
      </c>
      <c r="D271" s="25">
        <v>0.32840000000000003</v>
      </c>
      <c r="E271" s="25">
        <v>5</v>
      </c>
      <c r="F271" s="25">
        <v>63</v>
      </c>
      <c r="G271" s="25">
        <v>68</v>
      </c>
      <c r="J271" s="25"/>
    </row>
    <row r="272" spans="1:10" ht="15.75" customHeight="1" x14ac:dyDescent="0.2">
      <c r="A272" s="25">
        <v>271</v>
      </c>
      <c r="B272" s="25">
        <v>0.18179999999999999</v>
      </c>
      <c r="C272" s="25">
        <v>0.47</v>
      </c>
      <c r="D272" s="25">
        <v>0.35820000000000002</v>
      </c>
      <c r="E272" s="25">
        <v>0</v>
      </c>
      <c r="F272" s="25">
        <v>139</v>
      </c>
      <c r="G272" s="25">
        <v>139</v>
      </c>
      <c r="J272" s="25"/>
    </row>
    <row r="273" spans="1:10" ht="15.75" customHeight="1" x14ac:dyDescent="0.2">
      <c r="A273" s="25">
        <v>272</v>
      </c>
      <c r="B273" s="25">
        <v>0.1515</v>
      </c>
      <c r="C273" s="25">
        <v>0.47</v>
      </c>
      <c r="D273" s="25">
        <v>0.52239999999999998</v>
      </c>
      <c r="E273" s="25">
        <v>2</v>
      </c>
      <c r="F273" s="25">
        <v>135</v>
      </c>
      <c r="G273" s="25">
        <v>137</v>
      </c>
      <c r="J273" s="25"/>
    </row>
    <row r="274" spans="1:10" ht="15.75" customHeight="1" x14ac:dyDescent="0.2">
      <c r="A274" s="25">
        <v>273</v>
      </c>
      <c r="B274" s="25">
        <v>0.1515</v>
      </c>
      <c r="C274" s="25">
        <v>0.47</v>
      </c>
      <c r="D274" s="25">
        <v>0.41789999999999999</v>
      </c>
      <c r="E274" s="25">
        <v>1</v>
      </c>
      <c r="F274" s="25">
        <v>82</v>
      </c>
      <c r="G274" s="25">
        <v>83</v>
      </c>
      <c r="J274" s="25"/>
    </row>
    <row r="275" spans="1:10" ht="15.75" customHeight="1" x14ac:dyDescent="0.2">
      <c r="A275" s="25">
        <v>274</v>
      </c>
      <c r="B275" s="25">
        <v>0.13639999999999999</v>
      </c>
      <c r="C275" s="25">
        <v>0.5</v>
      </c>
      <c r="D275" s="25">
        <v>0.32840000000000003</v>
      </c>
      <c r="E275" s="25">
        <v>2</v>
      </c>
      <c r="F275" s="25">
        <v>54</v>
      </c>
      <c r="G275" s="25">
        <v>56</v>
      </c>
      <c r="J275" s="25"/>
    </row>
    <row r="276" spans="1:10" ht="15.75" customHeight="1" x14ac:dyDescent="0.2">
      <c r="A276" s="25">
        <v>275</v>
      </c>
      <c r="B276" s="25">
        <v>0.13639999999999999</v>
      </c>
      <c r="C276" s="25">
        <v>0.55000000000000004</v>
      </c>
      <c r="D276" s="25">
        <v>0.32840000000000003</v>
      </c>
      <c r="E276" s="25">
        <v>0</v>
      </c>
      <c r="F276" s="25">
        <v>57</v>
      </c>
      <c r="G276" s="25">
        <v>57</v>
      </c>
      <c r="J276" s="25"/>
    </row>
    <row r="277" spans="1:10" ht="15.75" customHeight="1" x14ac:dyDescent="0.2">
      <c r="A277" s="25">
        <v>276</v>
      </c>
      <c r="B277" s="25">
        <v>0.1212</v>
      </c>
      <c r="C277" s="25">
        <v>0.55000000000000004</v>
      </c>
      <c r="D277" s="25">
        <v>0.44779999999999998</v>
      </c>
      <c r="E277" s="25">
        <v>1</v>
      </c>
      <c r="F277" s="25">
        <v>32</v>
      </c>
      <c r="G277" s="25">
        <v>33</v>
      </c>
      <c r="J277" s="25"/>
    </row>
    <row r="278" spans="1:10" ht="15.75" customHeight="1" x14ac:dyDescent="0.2">
      <c r="A278" s="25">
        <v>277</v>
      </c>
      <c r="B278" s="25">
        <v>0.1061</v>
      </c>
      <c r="C278" s="25">
        <v>0.59</v>
      </c>
      <c r="D278" s="25">
        <v>0.41789999999999999</v>
      </c>
      <c r="E278" s="25">
        <v>1</v>
      </c>
      <c r="F278" s="25">
        <v>19</v>
      </c>
      <c r="G278" s="25">
        <v>20</v>
      </c>
      <c r="J278" s="25"/>
    </row>
    <row r="279" spans="1:10" ht="15.75" customHeight="1" x14ac:dyDescent="0.2">
      <c r="A279" s="25">
        <v>278</v>
      </c>
      <c r="B279" s="25">
        <v>0.1212</v>
      </c>
      <c r="C279" s="25">
        <v>0.59</v>
      </c>
      <c r="D279" s="25">
        <v>0.28360000000000002</v>
      </c>
      <c r="E279" s="25">
        <v>1</v>
      </c>
      <c r="F279" s="25">
        <v>6</v>
      </c>
      <c r="G279" s="25">
        <v>7</v>
      </c>
      <c r="J279" s="25"/>
    </row>
    <row r="280" spans="1:10" ht="15.75" customHeight="1" x14ac:dyDescent="0.2">
      <c r="A280" s="25">
        <v>279</v>
      </c>
      <c r="B280" s="25">
        <v>0.1212</v>
      </c>
      <c r="C280" s="25">
        <v>0.5</v>
      </c>
      <c r="D280" s="25">
        <v>0.28360000000000002</v>
      </c>
      <c r="E280" s="25">
        <v>0</v>
      </c>
      <c r="F280" s="25">
        <v>2</v>
      </c>
      <c r="G280" s="25">
        <v>2</v>
      </c>
      <c r="J280" s="25"/>
    </row>
    <row r="281" spans="1:10" ht="15.75" customHeight="1" x14ac:dyDescent="0.2">
      <c r="A281" s="25">
        <v>280</v>
      </c>
      <c r="B281" s="25">
        <v>0.1212</v>
      </c>
      <c r="C281" s="25">
        <v>0.5</v>
      </c>
      <c r="D281" s="25">
        <v>0.35820000000000002</v>
      </c>
      <c r="E281" s="25">
        <v>0</v>
      </c>
      <c r="F281" s="25">
        <v>2</v>
      </c>
      <c r="G281" s="25">
        <v>2</v>
      </c>
      <c r="J281" s="25"/>
    </row>
    <row r="282" spans="1:10" ht="15.75" customHeight="1" x14ac:dyDescent="0.2">
      <c r="A282" s="25">
        <v>281</v>
      </c>
      <c r="B282" s="25">
        <v>0.1212</v>
      </c>
      <c r="C282" s="25">
        <v>0.5</v>
      </c>
      <c r="D282" s="25">
        <v>0.32840000000000003</v>
      </c>
      <c r="E282" s="25">
        <v>0</v>
      </c>
      <c r="F282" s="25">
        <v>3</v>
      </c>
      <c r="G282" s="25">
        <v>3</v>
      </c>
      <c r="J282" s="25"/>
    </row>
    <row r="283" spans="1:10" ht="15.75" customHeight="1" x14ac:dyDescent="0.2">
      <c r="A283" s="25">
        <v>282</v>
      </c>
      <c r="B283" s="25">
        <v>0.1212</v>
      </c>
      <c r="C283" s="25">
        <v>0.5</v>
      </c>
      <c r="D283" s="25">
        <v>0.25369999999999998</v>
      </c>
      <c r="E283" s="25">
        <v>0</v>
      </c>
      <c r="F283" s="25">
        <v>4</v>
      </c>
      <c r="G283" s="25">
        <v>4</v>
      </c>
      <c r="J283" s="25"/>
    </row>
    <row r="284" spans="1:10" ht="15.75" customHeight="1" x14ac:dyDescent="0.2">
      <c r="A284" s="25">
        <v>283</v>
      </c>
      <c r="B284" s="25">
        <v>0.1212</v>
      </c>
      <c r="C284" s="25">
        <v>0.5</v>
      </c>
      <c r="D284" s="25">
        <v>0.29849999999999999</v>
      </c>
      <c r="E284" s="25">
        <v>0</v>
      </c>
      <c r="F284" s="25">
        <v>3</v>
      </c>
      <c r="G284" s="25">
        <v>3</v>
      </c>
      <c r="J284" s="25"/>
    </row>
    <row r="285" spans="1:10" ht="15.75" customHeight="1" x14ac:dyDescent="0.2">
      <c r="A285" s="25">
        <v>284</v>
      </c>
      <c r="B285" s="25">
        <v>0.1515</v>
      </c>
      <c r="C285" s="25">
        <v>0.54</v>
      </c>
      <c r="D285" s="25">
        <v>0.1343</v>
      </c>
      <c r="E285" s="25">
        <v>0</v>
      </c>
      <c r="F285" s="25">
        <v>28</v>
      </c>
      <c r="G285" s="25">
        <v>28</v>
      </c>
      <c r="J285" s="25"/>
    </row>
    <row r="286" spans="1:10" ht="15.75" customHeight="1" x14ac:dyDescent="0.2">
      <c r="A286" s="25">
        <v>285</v>
      </c>
      <c r="B286" s="25">
        <v>0.1515</v>
      </c>
      <c r="C286" s="25">
        <v>0.54</v>
      </c>
      <c r="D286" s="25">
        <v>0.1343</v>
      </c>
      <c r="E286" s="25">
        <v>0</v>
      </c>
      <c r="F286" s="25">
        <v>72</v>
      </c>
      <c r="G286" s="25">
        <v>72</v>
      </c>
      <c r="J286" s="25"/>
    </row>
    <row r="287" spans="1:10" ht="15.75" customHeight="1" x14ac:dyDescent="0.2">
      <c r="A287" s="25">
        <v>286</v>
      </c>
      <c r="B287" s="25">
        <v>0.13639999999999999</v>
      </c>
      <c r="C287" s="25">
        <v>0.5</v>
      </c>
      <c r="D287" s="25">
        <v>0.19400000000000001</v>
      </c>
      <c r="E287" s="25">
        <v>5</v>
      </c>
      <c r="F287" s="25">
        <v>197</v>
      </c>
      <c r="G287" s="25">
        <v>202</v>
      </c>
      <c r="J287" s="25"/>
    </row>
    <row r="288" spans="1:10" ht="15.75" customHeight="1" x14ac:dyDescent="0.2">
      <c r="A288" s="25">
        <v>287</v>
      </c>
      <c r="B288" s="25">
        <v>0.1212</v>
      </c>
      <c r="C288" s="25">
        <v>0.5</v>
      </c>
      <c r="D288" s="25">
        <v>0.32840000000000003</v>
      </c>
      <c r="E288" s="25">
        <v>2</v>
      </c>
      <c r="F288" s="25">
        <v>137</v>
      </c>
      <c r="G288" s="25">
        <v>139</v>
      </c>
      <c r="J288" s="25"/>
    </row>
    <row r="289" spans="1:10" ht="15.75" customHeight="1" x14ac:dyDescent="0.2">
      <c r="A289" s="25">
        <v>288</v>
      </c>
      <c r="B289" s="25">
        <v>0.13639999999999999</v>
      </c>
      <c r="C289" s="25">
        <v>0.5</v>
      </c>
      <c r="D289" s="25">
        <v>0.35820000000000002</v>
      </c>
      <c r="E289" s="25">
        <v>2</v>
      </c>
      <c r="F289" s="25">
        <v>36</v>
      </c>
      <c r="G289" s="25">
        <v>38</v>
      </c>
      <c r="J289" s="25"/>
    </row>
    <row r="290" spans="1:10" ht="15.75" customHeight="1" x14ac:dyDescent="0.2">
      <c r="A290" s="25">
        <v>289</v>
      </c>
      <c r="B290" s="25">
        <v>0.16669999999999999</v>
      </c>
      <c r="C290" s="25">
        <v>0.44</v>
      </c>
      <c r="D290" s="25">
        <v>0.44779999999999998</v>
      </c>
      <c r="E290" s="25">
        <v>4</v>
      </c>
      <c r="F290" s="25">
        <v>33</v>
      </c>
      <c r="G290" s="25">
        <v>37</v>
      </c>
      <c r="J290" s="25"/>
    </row>
    <row r="291" spans="1:10" ht="15.75" customHeight="1" x14ac:dyDescent="0.2">
      <c r="A291" s="25">
        <v>290</v>
      </c>
      <c r="B291" s="25">
        <v>0.16669999999999999</v>
      </c>
      <c r="C291" s="25">
        <v>0.44</v>
      </c>
      <c r="D291" s="25">
        <v>0.41789999999999999</v>
      </c>
      <c r="E291" s="25">
        <v>3</v>
      </c>
      <c r="F291" s="25">
        <v>49</v>
      </c>
      <c r="G291" s="25">
        <v>52</v>
      </c>
      <c r="J291" s="25"/>
    </row>
    <row r="292" spans="1:10" ht="15.75" customHeight="1" x14ac:dyDescent="0.2">
      <c r="A292" s="25">
        <v>291</v>
      </c>
      <c r="B292" s="25">
        <v>0.19700000000000001</v>
      </c>
      <c r="C292" s="25">
        <v>0.41</v>
      </c>
      <c r="D292" s="25">
        <v>0.44779999999999998</v>
      </c>
      <c r="E292" s="25">
        <v>2</v>
      </c>
      <c r="F292" s="25">
        <v>81</v>
      </c>
      <c r="G292" s="25">
        <v>83</v>
      </c>
      <c r="J292" s="25"/>
    </row>
    <row r="293" spans="1:10" ht="15.75" customHeight="1" x14ac:dyDescent="0.2">
      <c r="A293" s="25">
        <v>292</v>
      </c>
      <c r="B293" s="25">
        <v>0.19700000000000001</v>
      </c>
      <c r="C293" s="25">
        <v>0.41</v>
      </c>
      <c r="D293" s="25">
        <v>0.3881</v>
      </c>
      <c r="E293" s="25">
        <v>3</v>
      </c>
      <c r="F293" s="25">
        <v>39</v>
      </c>
      <c r="G293" s="25">
        <v>42</v>
      </c>
      <c r="J293" s="25"/>
    </row>
    <row r="294" spans="1:10" ht="15.75" customHeight="1" x14ac:dyDescent="0.2">
      <c r="A294" s="25">
        <v>293</v>
      </c>
      <c r="B294" s="25">
        <v>0.21210000000000001</v>
      </c>
      <c r="C294" s="25">
        <v>0.38</v>
      </c>
      <c r="D294" s="25">
        <v>0.29849999999999999</v>
      </c>
      <c r="E294" s="25">
        <v>5</v>
      </c>
      <c r="F294" s="25">
        <v>55</v>
      </c>
      <c r="G294" s="25">
        <v>60</v>
      </c>
      <c r="J294" s="25"/>
    </row>
    <row r="295" spans="1:10" ht="15.75" customHeight="1" x14ac:dyDescent="0.2">
      <c r="A295" s="25">
        <v>294</v>
      </c>
      <c r="B295" s="25">
        <v>0.21210000000000001</v>
      </c>
      <c r="C295" s="25">
        <v>0.38</v>
      </c>
      <c r="D295" s="25">
        <v>0.35820000000000002</v>
      </c>
      <c r="E295" s="25">
        <v>2</v>
      </c>
      <c r="F295" s="25">
        <v>76</v>
      </c>
      <c r="G295" s="25">
        <v>78</v>
      </c>
      <c r="J295" s="25"/>
    </row>
    <row r="296" spans="1:10" ht="15.75" customHeight="1" x14ac:dyDescent="0.2">
      <c r="A296" s="25">
        <v>295</v>
      </c>
      <c r="B296" s="25">
        <v>0.18179999999999999</v>
      </c>
      <c r="C296" s="25">
        <v>0.4</v>
      </c>
      <c r="D296" s="25">
        <v>0.28360000000000002</v>
      </c>
      <c r="E296" s="25">
        <v>4</v>
      </c>
      <c r="F296" s="25">
        <v>158</v>
      </c>
      <c r="G296" s="25">
        <v>162</v>
      </c>
      <c r="J296" s="25"/>
    </row>
    <row r="297" spans="1:10" ht="15.75" customHeight="1" x14ac:dyDescent="0.2">
      <c r="A297" s="25">
        <v>296</v>
      </c>
      <c r="B297" s="25">
        <v>0.18179999999999999</v>
      </c>
      <c r="C297" s="25">
        <v>0.4</v>
      </c>
      <c r="D297" s="25">
        <v>0.32840000000000003</v>
      </c>
      <c r="E297" s="25">
        <v>3</v>
      </c>
      <c r="F297" s="25">
        <v>141</v>
      </c>
      <c r="G297" s="25">
        <v>144</v>
      </c>
      <c r="J297" s="25"/>
    </row>
    <row r="298" spans="1:10" ht="15.75" customHeight="1" x14ac:dyDescent="0.2">
      <c r="A298" s="25">
        <v>297</v>
      </c>
      <c r="B298" s="25">
        <v>0.1515</v>
      </c>
      <c r="C298" s="25">
        <v>0.47</v>
      </c>
      <c r="D298" s="25">
        <v>0.25369999999999998</v>
      </c>
      <c r="E298" s="25">
        <v>1</v>
      </c>
      <c r="F298" s="25">
        <v>98</v>
      </c>
      <c r="G298" s="25">
        <v>99</v>
      </c>
      <c r="J298" s="25"/>
    </row>
    <row r="299" spans="1:10" ht="15.75" customHeight="1" x14ac:dyDescent="0.2">
      <c r="A299" s="25">
        <v>298</v>
      </c>
      <c r="B299" s="25">
        <v>0.1515</v>
      </c>
      <c r="C299" s="25">
        <v>0.47</v>
      </c>
      <c r="D299" s="25">
        <v>0.22389999999999999</v>
      </c>
      <c r="E299" s="25">
        <v>0</v>
      </c>
      <c r="F299" s="25">
        <v>64</v>
      </c>
      <c r="G299" s="25">
        <v>64</v>
      </c>
      <c r="J299" s="25"/>
    </row>
    <row r="300" spans="1:10" ht="15.75" customHeight="1" x14ac:dyDescent="0.2">
      <c r="A300" s="25">
        <v>299</v>
      </c>
      <c r="B300" s="25">
        <v>0.1212</v>
      </c>
      <c r="C300" s="25">
        <v>0.46</v>
      </c>
      <c r="D300" s="25">
        <v>0.29849999999999999</v>
      </c>
      <c r="E300" s="25">
        <v>0</v>
      </c>
      <c r="F300" s="25">
        <v>40</v>
      </c>
      <c r="G300" s="25">
        <v>40</v>
      </c>
      <c r="J300" s="25"/>
    </row>
    <row r="301" spans="1:10" ht="15.75" customHeight="1" x14ac:dyDescent="0.2">
      <c r="A301" s="25">
        <v>300</v>
      </c>
      <c r="B301" s="25">
        <v>0.1212</v>
      </c>
      <c r="C301" s="25">
        <v>0.46</v>
      </c>
      <c r="D301" s="25">
        <v>0.32840000000000003</v>
      </c>
      <c r="E301" s="25">
        <v>0</v>
      </c>
      <c r="F301" s="25">
        <v>30</v>
      </c>
      <c r="G301" s="25">
        <v>30</v>
      </c>
      <c r="J301" s="25"/>
    </row>
    <row r="302" spans="1:10" ht="15.75" customHeight="1" x14ac:dyDescent="0.2">
      <c r="A302" s="25">
        <v>301</v>
      </c>
      <c r="B302" s="25">
        <v>0.13639999999999999</v>
      </c>
      <c r="C302" s="25">
        <v>0.5</v>
      </c>
      <c r="D302" s="25">
        <v>0.19400000000000001</v>
      </c>
      <c r="E302" s="25">
        <v>1</v>
      </c>
      <c r="F302" s="25">
        <v>14</v>
      </c>
      <c r="G302" s="25">
        <v>15</v>
      </c>
      <c r="J302" s="25"/>
    </row>
    <row r="303" spans="1:10" ht="15.75" customHeight="1" x14ac:dyDescent="0.2">
      <c r="A303" s="25">
        <v>302</v>
      </c>
      <c r="B303" s="25">
        <v>0.13639999999999999</v>
      </c>
      <c r="C303" s="25">
        <v>0.5</v>
      </c>
      <c r="D303" s="25">
        <v>0.19400000000000001</v>
      </c>
      <c r="E303" s="25">
        <v>0</v>
      </c>
      <c r="F303" s="25">
        <v>14</v>
      </c>
      <c r="G303" s="25">
        <v>14</v>
      </c>
      <c r="J303" s="25"/>
    </row>
    <row r="304" spans="1:10" ht="15.75" customHeight="1" x14ac:dyDescent="0.2">
      <c r="A304" s="25">
        <v>303</v>
      </c>
      <c r="B304" s="25">
        <v>0.1212</v>
      </c>
      <c r="C304" s="25">
        <v>0.54</v>
      </c>
      <c r="D304" s="25">
        <v>0.16420000000000001</v>
      </c>
      <c r="E304" s="25">
        <v>0</v>
      </c>
      <c r="F304" s="25">
        <v>5</v>
      </c>
      <c r="G304" s="25">
        <v>5</v>
      </c>
      <c r="J304" s="25"/>
    </row>
    <row r="305" spans="1:10" ht="15.75" customHeight="1" x14ac:dyDescent="0.2">
      <c r="A305" s="25">
        <v>304</v>
      </c>
      <c r="B305" s="25">
        <v>0.1212</v>
      </c>
      <c r="C305" s="25">
        <v>0.54</v>
      </c>
      <c r="D305" s="25">
        <v>0.1343</v>
      </c>
      <c r="E305" s="25">
        <v>0</v>
      </c>
      <c r="F305" s="25">
        <v>1</v>
      </c>
      <c r="G305" s="25">
        <v>1</v>
      </c>
      <c r="J305" s="25"/>
    </row>
    <row r="306" spans="1:10" ht="15.75" customHeight="1" x14ac:dyDescent="0.2">
      <c r="A306" s="25">
        <v>305</v>
      </c>
      <c r="B306" s="25">
        <v>0.13639999999999999</v>
      </c>
      <c r="C306" s="25">
        <v>0.54</v>
      </c>
      <c r="D306" s="25">
        <v>0.1045</v>
      </c>
      <c r="E306" s="25">
        <v>0</v>
      </c>
      <c r="F306" s="25">
        <v>1</v>
      </c>
      <c r="G306" s="25">
        <v>1</v>
      </c>
      <c r="J306" s="25"/>
    </row>
    <row r="307" spans="1:10" ht="15.75" customHeight="1" x14ac:dyDescent="0.2">
      <c r="A307" s="25">
        <v>306</v>
      </c>
      <c r="B307" s="25">
        <v>0.13639999999999999</v>
      </c>
      <c r="C307" s="25">
        <v>0.54</v>
      </c>
      <c r="D307" s="25">
        <v>8.9599999999999999E-2</v>
      </c>
      <c r="E307" s="25">
        <v>0</v>
      </c>
      <c r="F307" s="25">
        <v>8</v>
      </c>
      <c r="G307" s="25">
        <v>8</v>
      </c>
      <c r="J307" s="25"/>
    </row>
    <row r="308" spans="1:10" ht="15.75" customHeight="1" x14ac:dyDescent="0.2">
      <c r="A308" s="25">
        <v>307</v>
      </c>
      <c r="B308" s="25">
        <v>0.18179999999999999</v>
      </c>
      <c r="C308" s="25">
        <v>0.54</v>
      </c>
      <c r="D308" s="25">
        <v>0</v>
      </c>
      <c r="E308" s="25">
        <v>0</v>
      </c>
      <c r="F308" s="25">
        <v>17</v>
      </c>
      <c r="G308" s="25">
        <v>17</v>
      </c>
      <c r="J308" s="25"/>
    </row>
    <row r="309" spans="1:10" ht="15.75" customHeight="1" x14ac:dyDescent="0.2">
      <c r="A309" s="25">
        <v>308</v>
      </c>
      <c r="B309" s="25">
        <v>0.1212</v>
      </c>
      <c r="C309" s="25">
        <v>0.74</v>
      </c>
      <c r="D309" s="25">
        <v>0.16420000000000001</v>
      </c>
      <c r="E309" s="25">
        <v>0</v>
      </c>
      <c r="F309" s="25">
        <v>70</v>
      </c>
      <c r="G309" s="25">
        <v>70</v>
      </c>
      <c r="J309" s="25"/>
    </row>
    <row r="310" spans="1:10" ht="15.75" customHeight="1" x14ac:dyDescent="0.2">
      <c r="A310" s="25">
        <v>309</v>
      </c>
      <c r="B310" s="25">
        <v>0.16669999999999999</v>
      </c>
      <c r="C310" s="25">
        <v>0.68</v>
      </c>
      <c r="D310" s="25">
        <v>0</v>
      </c>
      <c r="E310" s="25">
        <v>2</v>
      </c>
      <c r="F310" s="25">
        <v>156</v>
      </c>
      <c r="G310" s="25">
        <v>158</v>
      </c>
      <c r="J310" s="25"/>
    </row>
    <row r="311" spans="1:10" ht="15.75" customHeight="1" x14ac:dyDescent="0.2">
      <c r="A311" s="25">
        <v>310</v>
      </c>
      <c r="B311" s="25">
        <v>0.1515</v>
      </c>
      <c r="C311" s="25">
        <v>0.69</v>
      </c>
      <c r="D311" s="25">
        <v>0.1343</v>
      </c>
      <c r="E311" s="25">
        <v>0</v>
      </c>
      <c r="F311" s="25">
        <v>117</v>
      </c>
      <c r="G311" s="25">
        <v>117</v>
      </c>
      <c r="J311" s="25"/>
    </row>
    <row r="312" spans="1:10" ht="15.75" customHeight="1" x14ac:dyDescent="0.2">
      <c r="A312" s="25">
        <v>311</v>
      </c>
      <c r="B312" s="25">
        <v>0.18179999999999999</v>
      </c>
      <c r="C312" s="25">
        <v>0.55000000000000004</v>
      </c>
      <c r="D312" s="25">
        <v>0.19400000000000001</v>
      </c>
      <c r="E312" s="25">
        <v>4</v>
      </c>
      <c r="F312" s="25">
        <v>40</v>
      </c>
      <c r="G312" s="25">
        <v>44</v>
      </c>
      <c r="J312" s="25"/>
    </row>
    <row r="313" spans="1:10" ht="15.75" customHeight="1" x14ac:dyDescent="0.2">
      <c r="A313" s="25">
        <v>312</v>
      </c>
      <c r="B313" s="25">
        <v>0.16669999999999999</v>
      </c>
      <c r="C313" s="25">
        <v>0.51</v>
      </c>
      <c r="D313" s="25">
        <v>0.28360000000000002</v>
      </c>
      <c r="E313" s="25">
        <v>6</v>
      </c>
      <c r="F313" s="25">
        <v>47</v>
      </c>
      <c r="G313" s="25">
        <v>53</v>
      </c>
      <c r="J313" s="25"/>
    </row>
    <row r="314" spans="1:10" ht="15.75" customHeight="1" x14ac:dyDescent="0.2">
      <c r="A314" s="25">
        <v>313</v>
      </c>
      <c r="B314" s="25">
        <v>0.19700000000000001</v>
      </c>
      <c r="C314" s="25">
        <v>0.44</v>
      </c>
      <c r="D314" s="25">
        <v>0.25369999999999998</v>
      </c>
      <c r="E314" s="25">
        <v>2</v>
      </c>
      <c r="F314" s="25">
        <v>59</v>
      </c>
      <c r="G314" s="25">
        <v>61</v>
      </c>
      <c r="J314" s="25"/>
    </row>
    <row r="315" spans="1:10" ht="15.75" customHeight="1" x14ac:dyDescent="0.2">
      <c r="A315" s="25">
        <v>314</v>
      </c>
      <c r="B315" s="25">
        <v>0.19700000000000001</v>
      </c>
      <c r="C315" s="25">
        <v>0.37</v>
      </c>
      <c r="D315" s="25">
        <v>0.3881</v>
      </c>
      <c r="E315" s="25">
        <v>4</v>
      </c>
      <c r="F315" s="25">
        <v>73</v>
      </c>
      <c r="G315" s="25">
        <v>77</v>
      </c>
      <c r="J315" s="25"/>
    </row>
    <row r="316" spans="1:10" ht="15.75" customHeight="1" x14ac:dyDescent="0.2">
      <c r="A316" s="25">
        <v>315</v>
      </c>
      <c r="B316" s="25">
        <v>0.21210000000000001</v>
      </c>
      <c r="C316" s="25">
        <v>0.41</v>
      </c>
      <c r="D316" s="25">
        <v>0.28360000000000002</v>
      </c>
      <c r="E316" s="25">
        <v>5</v>
      </c>
      <c r="F316" s="25">
        <v>59</v>
      </c>
      <c r="G316" s="25">
        <v>64</v>
      </c>
      <c r="J316" s="25"/>
    </row>
    <row r="317" spans="1:10" ht="15.75" customHeight="1" x14ac:dyDescent="0.2">
      <c r="A317" s="25">
        <v>316</v>
      </c>
      <c r="B317" s="25">
        <v>0.2424</v>
      </c>
      <c r="C317" s="25">
        <v>0.38</v>
      </c>
      <c r="D317" s="25">
        <v>0.16420000000000001</v>
      </c>
      <c r="E317" s="25">
        <v>9</v>
      </c>
      <c r="F317" s="25">
        <v>59</v>
      </c>
      <c r="G317" s="25">
        <v>68</v>
      </c>
      <c r="J317" s="25"/>
    </row>
    <row r="318" spans="1:10" ht="15.75" customHeight="1" x14ac:dyDescent="0.2">
      <c r="A318" s="25">
        <v>317</v>
      </c>
      <c r="B318" s="25">
        <v>0.2424</v>
      </c>
      <c r="C318" s="25">
        <v>0.41</v>
      </c>
      <c r="D318" s="25">
        <v>0.1045</v>
      </c>
      <c r="E318" s="25">
        <v>3</v>
      </c>
      <c r="F318" s="25">
        <v>87</v>
      </c>
      <c r="G318" s="25">
        <v>90</v>
      </c>
      <c r="J318" s="25"/>
    </row>
    <row r="319" spans="1:10" ht="15.75" customHeight="1" x14ac:dyDescent="0.2">
      <c r="A319" s="25">
        <v>318</v>
      </c>
      <c r="B319" s="25">
        <v>0.2273</v>
      </c>
      <c r="C319" s="25">
        <v>0.41</v>
      </c>
      <c r="D319" s="25">
        <v>0.16420000000000001</v>
      </c>
      <c r="E319" s="25">
        <v>4</v>
      </c>
      <c r="F319" s="25">
        <v>155</v>
      </c>
      <c r="G319" s="25">
        <v>159</v>
      </c>
      <c r="J319" s="25"/>
    </row>
    <row r="320" spans="1:10" ht="15.75" customHeight="1" x14ac:dyDescent="0.2">
      <c r="A320" s="25">
        <v>319</v>
      </c>
      <c r="B320" s="25">
        <v>0.2576</v>
      </c>
      <c r="C320" s="25">
        <v>0.47</v>
      </c>
      <c r="D320" s="25">
        <v>0</v>
      </c>
      <c r="E320" s="25">
        <v>5</v>
      </c>
      <c r="F320" s="25">
        <v>134</v>
      </c>
      <c r="G320" s="25">
        <v>139</v>
      </c>
      <c r="J320" s="25"/>
    </row>
    <row r="321" spans="1:10" ht="15.75" customHeight="1" x14ac:dyDescent="0.2">
      <c r="A321" s="25">
        <v>320</v>
      </c>
      <c r="B321" s="25">
        <v>0.19700000000000001</v>
      </c>
      <c r="C321" s="25">
        <v>0.59</v>
      </c>
      <c r="D321" s="25">
        <v>8.9599999999999999E-2</v>
      </c>
      <c r="E321" s="25">
        <v>3</v>
      </c>
      <c r="F321" s="25">
        <v>89</v>
      </c>
      <c r="G321" s="25">
        <v>92</v>
      </c>
      <c r="J321" s="25"/>
    </row>
    <row r="322" spans="1:10" ht="15.75" customHeight="1" x14ac:dyDescent="0.2">
      <c r="A322" s="25">
        <v>321</v>
      </c>
      <c r="B322" s="25">
        <v>0.2424</v>
      </c>
      <c r="C322" s="25">
        <v>0.59</v>
      </c>
      <c r="D322" s="25">
        <v>0</v>
      </c>
      <c r="E322" s="25">
        <v>0</v>
      </c>
      <c r="F322" s="25">
        <v>68</v>
      </c>
      <c r="G322" s="25">
        <v>68</v>
      </c>
      <c r="J322" s="25"/>
    </row>
    <row r="323" spans="1:10" ht="15.75" customHeight="1" x14ac:dyDescent="0.2">
      <c r="A323" s="25">
        <v>322</v>
      </c>
      <c r="B323" s="25">
        <v>0.2273</v>
      </c>
      <c r="C323" s="25">
        <v>0.69</v>
      </c>
      <c r="D323" s="25">
        <v>0</v>
      </c>
      <c r="E323" s="25">
        <v>4</v>
      </c>
      <c r="F323" s="25">
        <v>48</v>
      </c>
      <c r="G323" s="25">
        <v>52</v>
      </c>
      <c r="J323" s="25"/>
    </row>
    <row r="324" spans="1:10" ht="15.75" customHeight="1" x14ac:dyDescent="0.2">
      <c r="A324" s="25">
        <v>323</v>
      </c>
      <c r="B324" s="25">
        <v>0.2273</v>
      </c>
      <c r="C324" s="25">
        <v>0.69</v>
      </c>
      <c r="D324" s="25">
        <v>0</v>
      </c>
      <c r="E324" s="25">
        <v>2</v>
      </c>
      <c r="F324" s="25">
        <v>34</v>
      </c>
      <c r="G324" s="25">
        <v>36</v>
      </c>
      <c r="J324" s="25"/>
    </row>
    <row r="325" spans="1:10" ht="15.75" customHeight="1" x14ac:dyDescent="0.2">
      <c r="A325" s="25">
        <v>324</v>
      </c>
      <c r="B325" s="25">
        <v>0.2424</v>
      </c>
      <c r="C325" s="25">
        <v>0.55000000000000004</v>
      </c>
      <c r="D325" s="25">
        <v>0</v>
      </c>
      <c r="E325" s="25">
        <v>1</v>
      </c>
      <c r="F325" s="25">
        <v>26</v>
      </c>
      <c r="G325" s="25">
        <v>27</v>
      </c>
      <c r="J325" s="25"/>
    </row>
    <row r="326" spans="1:10" ht="15.75" customHeight="1" x14ac:dyDescent="0.2">
      <c r="A326" s="25">
        <v>325</v>
      </c>
      <c r="B326" s="25">
        <v>0.2424</v>
      </c>
      <c r="C326" s="25">
        <v>0.55000000000000004</v>
      </c>
      <c r="D326" s="25">
        <v>0</v>
      </c>
      <c r="E326" s="25">
        <v>3</v>
      </c>
      <c r="F326" s="25">
        <v>25</v>
      </c>
      <c r="G326" s="25">
        <v>28</v>
      </c>
      <c r="J326" s="25"/>
    </row>
    <row r="327" spans="1:10" ht="15.75" customHeight="1" x14ac:dyDescent="0.2">
      <c r="A327" s="25">
        <v>326</v>
      </c>
      <c r="B327" s="25">
        <v>0.19700000000000001</v>
      </c>
      <c r="C327" s="25">
        <v>0.59</v>
      </c>
      <c r="D327" s="25">
        <v>8.9599999999999999E-2</v>
      </c>
      <c r="E327" s="25">
        <v>2</v>
      </c>
      <c r="F327" s="25">
        <v>18</v>
      </c>
      <c r="G327" s="25">
        <v>20</v>
      </c>
      <c r="J327" s="25"/>
    </row>
    <row r="328" spans="1:10" ht="15.75" customHeight="1" x14ac:dyDescent="0.2">
      <c r="A328" s="25">
        <v>327</v>
      </c>
      <c r="B328" s="25">
        <v>0.19700000000000001</v>
      </c>
      <c r="C328" s="25">
        <v>0.59</v>
      </c>
      <c r="D328" s="25">
        <v>8.9599999999999999E-2</v>
      </c>
      <c r="E328" s="25">
        <v>0</v>
      </c>
      <c r="F328" s="25">
        <v>12</v>
      </c>
      <c r="G328" s="25">
        <v>12</v>
      </c>
      <c r="J328" s="25"/>
    </row>
    <row r="329" spans="1:10" ht="15.75" customHeight="1" x14ac:dyDescent="0.2">
      <c r="A329" s="25">
        <v>328</v>
      </c>
      <c r="B329" s="25">
        <v>0.2273</v>
      </c>
      <c r="C329" s="25">
        <v>0.59</v>
      </c>
      <c r="D329" s="25">
        <v>0</v>
      </c>
      <c r="E329" s="25">
        <v>1</v>
      </c>
      <c r="F329" s="25">
        <v>7</v>
      </c>
      <c r="G329" s="25">
        <v>8</v>
      </c>
      <c r="J329" s="25"/>
    </row>
    <row r="330" spans="1:10" ht="15.75" customHeight="1" x14ac:dyDescent="0.2">
      <c r="A330" s="25">
        <v>329</v>
      </c>
      <c r="B330" s="25">
        <v>0.2273</v>
      </c>
      <c r="C330" s="25">
        <v>0.59</v>
      </c>
      <c r="D330" s="25">
        <v>0</v>
      </c>
      <c r="E330" s="25">
        <v>0</v>
      </c>
      <c r="F330" s="25">
        <v>5</v>
      </c>
      <c r="G330" s="25">
        <v>5</v>
      </c>
      <c r="J330" s="25"/>
    </row>
    <row r="331" spans="1:10" ht="15.75" customHeight="1" x14ac:dyDescent="0.2">
      <c r="A331" s="25">
        <v>330</v>
      </c>
      <c r="B331" s="25">
        <v>0.2273</v>
      </c>
      <c r="C331" s="25">
        <v>0.59</v>
      </c>
      <c r="D331" s="25">
        <v>0</v>
      </c>
      <c r="E331" s="25">
        <v>0</v>
      </c>
      <c r="F331" s="25">
        <v>1</v>
      </c>
      <c r="G331" s="25">
        <v>1</v>
      </c>
      <c r="J331" s="25"/>
    </row>
    <row r="332" spans="1:10" ht="15.75" customHeight="1" x14ac:dyDescent="0.2">
      <c r="A332" s="25">
        <v>331</v>
      </c>
      <c r="B332" s="25">
        <v>0.16669999999999999</v>
      </c>
      <c r="C332" s="25">
        <v>0.63</v>
      </c>
      <c r="D332" s="25">
        <v>0.1045</v>
      </c>
      <c r="E332" s="25">
        <v>1</v>
      </c>
      <c r="F332" s="25">
        <v>2</v>
      </c>
      <c r="G332" s="25">
        <v>3</v>
      </c>
      <c r="J332" s="25"/>
    </row>
    <row r="333" spans="1:10" ht="15.75" customHeight="1" x14ac:dyDescent="0.2">
      <c r="A333" s="25">
        <v>332</v>
      </c>
      <c r="B333" s="25">
        <v>0.21210000000000001</v>
      </c>
      <c r="C333" s="25">
        <v>0.63</v>
      </c>
      <c r="D333" s="25">
        <v>0</v>
      </c>
      <c r="E333" s="25">
        <v>1</v>
      </c>
      <c r="F333" s="25">
        <v>9</v>
      </c>
      <c r="G333" s="25">
        <v>10</v>
      </c>
      <c r="J333" s="25"/>
    </row>
    <row r="334" spans="1:10" ht="15.75" customHeight="1" x14ac:dyDescent="0.2">
      <c r="A334" s="25">
        <v>333</v>
      </c>
      <c r="B334" s="25">
        <v>0.1515</v>
      </c>
      <c r="C334" s="25">
        <v>0.63</v>
      </c>
      <c r="D334" s="25">
        <v>0.1343</v>
      </c>
      <c r="E334" s="25">
        <v>1</v>
      </c>
      <c r="F334" s="25">
        <v>22</v>
      </c>
      <c r="G334" s="25">
        <v>23</v>
      </c>
      <c r="J334" s="25"/>
    </row>
    <row r="335" spans="1:10" ht="15.75" customHeight="1" x14ac:dyDescent="0.2">
      <c r="A335" s="25">
        <v>334</v>
      </c>
      <c r="B335" s="25">
        <v>0.18179999999999999</v>
      </c>
      <c r="C335" s="25">
        <v>0.64</v>
      </c>
      <c r="D335" s="25">
        <v>0.1343</v>
      </c>
      <c r="E335" s="25">
        <v>2</v>
      </c>
      <c r="F335" s="25">
        <v>31</v>
      </c>
      <c r="G335" s="25">
        <v>33</v>
      </c>
      <c r="J335" s="25"/>
    </row>
    <row r="336" spans="1:10" ht="15.75" customHeight="1" x14ac:dyDescent="0.2">
      <c r="A336" s="25">
        <v>335</v>
      </c>
      <c r="B336" s="25">
        <v>0.19700000000000001</v>
      </c>
      <c r="C336" s="25">
        <v>0.59</v>
      </c>
      <c r="D336" s="25">
        <v>0.16420000000000001</v>
      </c>
      <c r="E336" s="25">
        <v>2</v>
      </c>
      <c r="F336" s="25">
        <v>57</v>
      </c>
      <c r="G336" s="25">
        <v>59</v>
      </c>
      <c r="J336" s="25"/>
    </row>
    <row r="337" spans="1:10" ht="15.75" customHeight="1" x14ac:dyDescent="0.2">
      <c r="A337" s="25">
        <v>336</v>
      </c>
      <c r="B337" s="25">
        <v>0.19700000000000001</v>
      </c>
      <c r="C337" s="25">
        <v>0.55000000000000004</v>
      </c>
      <c r="D337" s="25">
        <v>0.22389999999999999</v>
      </c>
      <c r="E337" s="25">
        <v>18</v>
      </c>
      <c r="F337" s="25">
        <v>54</v>
      </c>
      <c r="G337" s="25">
        <v>72</v>
      </c>
      <c r="J337" s="25"/>
    </row>
    <row r="338" spans="1:10" ht="15.75" customHeight="1" x14ac:dyDescent="0.2">
      <c r="A338" s="25">
        <v>337</v>
      </c>
      <c r="B338" s="25">
        <v>0.2273</v>
      </c>
      <c r="C338" s="25">
        <v>0.48</v>
      </c>
      <c r="D338" s="25">
        <v>0.22389999999999999</v>
      </c>
      <c r="E338" s="25">
        <v>15</v>
      </c>
      <c r="F338" s="25">
        <v>74</v>
      </c>
      <c r="G338" s="25">
        <v>89</v>
      </c>
      <c r="J338" s="25"/>
    </row>
    <row r="339" spans="1:10" ht="15.75" customHeight="1" x14ac:dyDescent="0.2">
      <c r="A339" s="25">
        <v>338</v>
      </c>
      <c r="B339" s="25">
        <v>0.2576</v>
      </c>
      <c r="C339" s="25">
        <v>0.38</v>
      </c>
      <c r="D339" s="25">
        <v>0.29849999999999999</v>
      </c>
      <c r="E339" s="25">
        <v>21</v>
      </c>
      <c r="F339" s="25">
        <v>80</v>
      </c>
      <c r="G339" s="25">
        <v>101</v>
      </c>
      <c r="J339" s="25"/>
    </row>
    <row r="340" spans="1:10" ht="15.75" customHeight="1" x14ac:dyDescent="0.2">
      <c r="A340" s="25">
        <v>339</v>
      </c>
      <c r="B340" s="25">
        <v>0.28789999999999999</v>
      </c>
      <c r="C340" s="25">
        <v>0.39</v>
      </c>
      <c r="D340" s="25">
        <v>0.28360000000000002</v>
      </c>
      <c r="E340" s="25">
        <v>26</v>
      </c>
      <c r="F340" s="25">
        <v>92</v>
      </c>
      <c r="G340" s="25">
        <v>118</v>
      </c>
      <c r="J340" s="25"/>
    </row>
    <row r="341" spans="1:10" ht="15.75" customHeight="1" x14ac:dyDescent="0.2">
      <c r="A341" s="25">
        <v>340</v>
      </c>
      <c r="B341" s="25">
        <v>0.31819999999999998</v>
      </c>
      <c r="C341" s="25">
        <v>0.36</v>
      </c>
      <c r="D341" s="25">
        <v>0.19400000000000001</v>
      </c>
      <c r="E341" s="25">
        <v>21</v>
      </c>
      <c r="F341" s="25">
        <v>108</v>
      </c>
      <c r="G341" s="25">
        <v>129</v>
      </c>
      <c r="J341" s="25"/>
    </row>
    <row r="342" spans="1:10" ht="15.75" customHeight="1" x14ac:dyDescent="0.2">
      <c r="A342" s="25">
        <v>341</v>
      </c>
      <c r="B342" s="25">
        <v>0.33329999999999999</v>
      </c>
      <c r="C342" s="25">
        <v>0.34</v>
      </c>
      <c r="D342" s="25">
        <v>0.19400000000000001</v>
      </c>
      <c r="E342" s="25">
        <v>33</v>
      </c>
      <c r="F342" s="25">
        <v>95</v>
      </c>
      <c r="G342" s="25">
        <v>128</v>
      </c>
      <c r="J342" s="25"/>
    </row>
    <row r="343" spans="1:10" ht="15.75" customHeight="1" x14ac:dyDescent="0.2">
      <c r="A343" s="25">
        <v>342</v>
      </c>
      <c r="B343" s="25">
        <v>0.30299999999999999</v>
      </c>
      <c r="C343" s="25">
        <v>0.36</v>
      </c>
      <c r="D343" s="25">
        <v>0.28360000000000002</v>
      </c>
      <c r="E343" s="25">
        <v>29</v>
      </c>
      <c r="F343" s="25">
        <v>54</v>
      </c>
      <c r="G343" s="25">
        <v>83</v>
      </c>
      <c r="J343" s="25"/>
    </row>
    <row r="344" spans="1:10" ht="15.75" customHeight="1" x14ac:dyDescent="0.2">
      <c r="A344" s="25">
        <v>343</v>
      </c>
      <c r="B344" s="25">
        <v>0.28789999999999999</v>
      </c>
      <c r="C344" s="25">
        <v>0.45</v>
      </c>
      <c r="D344" s="25">
        <v>0.25369999999999998</v>
      </c>
      <c r="E344" s="25">
        <v>15</v>
      </c>
      <c r="F344" s="25">
        <v>69</v>
      </c>
      <c r="G344" s="25">
        <v>84</v>
      </c>
      <c r="J344" s="25"/>
    </row>
    <row r="345" spans="1:10" ht="15.75" customHeight="1" x14ac:dyDescent="0.2">
      <c r="A345" s="25">
        <v>344</v>
      </c>
      <c r="B345" s="25">
        <v>0.30299999999999999</v>
      </c>
      <c r="C345" s="25">
        <v>0.39</v>
      </c>
      <c r="D345" s="25">
        <v>0.25369999999999998</v>
      </c>
      <c r="E345" s="25">
        <v>14</v>
      </c>
      <c r="F345" s="25">
        <v>60</v>
      </c>
      <c r="G345" s="25">
        <v>74</v>
      </c>
      <c r="J345" s="25"/>
    </row>
    <row r="346" spans="1:10" ht="15.75" customHeight="1" x14ac:dyDescent="0.2">
      <c r="A346" s="25">
        <v>345</v>
      </c>
      <c r="B346" s="25">
        <v>0.30299999999999999</v>
      </c>
      <c r="C346" s="25">
        <v>0.39</v>
      </c>
      <c r="D346" s="25">
        <v>0.25369999999999998</v>
      </c>
      <c r="E346" s="25">
        <v>6</v>
      </c>
      <c r="F346" s="25">
        <v>35</v>
      </c>
      <c r="G346" s="25">
        <v>41</v>
      </c>
      <c r="J346" s="25"/>
    </row>
    <row r="347" spans="1:10" ht="15.75" customHeight="1" x14ac:dyDescent="0.2">
      <c r="A347" s="25">
        <v>346</v>
      </c>
      <c r="B347" s="25">
        <v>0.30299999999999999</v>
      </c>
      <c r="C347" s="25">
        <v>0.39</v>
      </c>
      <c r="D347" s="25">
        <v>0.22389999999999999</v>
      </c>
      <c r="E347" s="25">
        <v>6</v>
      </c>
      <c r="F347" s="25">
        <v>51</v>
      </c>
      <c r="G347" s="25">
        <v>57</v>
      </c>
      <c r="J347" s="25"/>
    </row>
    <row r="348" spans="1:10" ht="15.75" customHeight="1" x14ac:dyDescent="0.2">
      <c r="A348" s="25">
        <v>347</v>
      </c>
      <c r="B348" s="25">
        <v>0.31819999999999998</v>
      </c>
      <c r="C348" s="25">
        <v>0.42</v>
      </c>
      <c r="D348" s="25">
        <v>0.1045</v>
      </c>
      <c r="E348" s="25">
        <v>0</v>
      </c>
      <c r="F348" s="25">
        <v>26</v>
      </c>
      <c r="G348" s="25">
        <v>26</v>
      </c>
      <c r="J348" s="25"/>
    </row>
    <row r="349" spans="1:10" ht="15.75" customHeight="1" x14ac:dyDescent="0.2">
      <c r="A349" s="25">
        <v>348</v>
      </c>
      <c r="B349" s="25">
        <v>0.28789999999999999</v>
      </c>
      <c r="C349" s="25">
        <v>0.45</v>
      </c>
      <c r="D349" s="25">
        <v>0.28360000000000002</v>
      </c>
      <c r="E349" s="25">
        <v>5</v>
      </c>
      <c r="F349" s="25">
        <v>39</v>
      </c>
      <c r="G349" s="25">
        <v>44</v>
      </c>
      <c r="J349" s="25"/>
    </row>
    <row r="350" spans="1:10" ht="15.75" customHeight="1" x14ac:dyDescent="0.2">
      <c r="A350" s="25">
        <v>349</v>
      </c>
      <c r="B350" s="25">
        <v>0.30299999999999999</v>
      </c>
      <c r="C350" s="25">
        <v>0.56000000000000005</v>
      </c>
      <c r="D350" s="25">
        <v>0</v>
      </c>
      <c r="E350" s="25">
        <v>6</v>
      </c>
      <c r="F350" s="25">
        <v>33</v>
      </c>
      <c r="G350" s="25">
        <v>39</v>
      </c>
      <c r="J350" s="25"/>
    </row>
    <row r="351" spans="1:10" ht="15.75" customHeight="1" x14ac:dyDescent="0.2">
      <c r="A351" s="25">
        <v>350</v>
      </c>
      <c r="B351" s="25">
        <v>0.2727</v>
      </c>
      <c r="C351" s="25">
        <v>0.56000000000000005</v>
      </c>
      <c r="D351" s="25">
        <v>0.1343</v>
      </c>
      <c r="E351" s="25">
        <v>4</v>
      </c>
      <c r="F351" s="25">
        <v>19</v>
      </c>
      <c r="G351" s="25">
        <v>23</v>
      </c>
      <c r="J351" s="25"/>
    </row>
    <row r="352" spans="1:10" ht="15.75" customHeight="1" x14ac:dyDescent="0.2">
      <c r="A352" s="25">
        <v>351</v>
      </c>
      <c r="B352" s="25">
        <v>0.28789999999999999</v>
      </c>
      <c r="C352" s="25">
        <v>0.56000000000000005</v>
      </c>
      <c r="D352" s="25">
        <v>8.9599999999999999E-2</v>
      </c>
      <c r="E352" s="25">
        <v>3</v>
      </c>
      <c r="F352" s="25">
        <v>13</v>
      </c>
      <c r="G352" s="25">
        <v>16</v>
      </c>
      <c r="J352" s="25"/>
    </row>
    <row r="353" spans="1:10" ht="15.75" customHeight="1" x14ac:dyDescent="0.2">
      <c r="A353" s="25">
        <v>352</v>
      </c>
      <c r="B353" s="25">
        <v>0.2727</v>
      </c>
      <c r="C353" s="25">
        <v>0.69</v>
      </c>
      <c r="D353" s="25">
        <v>0</v>
      </c>
      <c r="E353" s="25">
        <v>9</v>
      </c>
      <c r="F353" s="25">
        <v>6</v>
      </c>
      <c r="G353" s="25">
        <v>15</v>
      </c>
      <c r="J353" s="25"/>
    </row>
    <row r="354" spans="1:10" ht="15.75" customHeight="1" x14ac:dyDescent="0.2">
      <c r="A354" s="25">
        <v>353</v>
      </c>
      <c r="B354" s="25">
        <v>0.2576</v>
      </c>
      <c r="C354" s="25">
        <v>0.56000000000000005</v>
      </c>
      <c r="D354" s="25">
        <v>0.16420000000000001</v>
      </c>
      <c r="E354" s="25">
        <v>0</v>
      </c>
      <c r="F354" s="25">
        <v>1</v>
      </c>
      <c r="G354" s="25">
        <v>1</v>
      </c>
      <c r="J354" s="25"/>
    </row>
    <row r="355" spans="1:10" ht="15.75" customHeight="1" x14ac:dyDescent="0.2">
      <c r="A355" s="25">
        <v>354</v>
      </c>
      <c r="B355" s="25">
        <v>0.2576</v>
      </c>
      <c r="C355" s="25">
        <v>0.56000000000000005</v>
      </c>
      <c r="D355" s="25">
        <v>0.16420000000000001</v>
      </c>
      <c r="E355" s="25">
        <v>1</v>
      </c>
      <c r="F355" s="25">
        <v>1</v>
      </c>
      <c r="G355" s="25">
        <v>2</v>
      </c>
      <c r="J355" s="25"/>
    </row>
    <row r="356" spans="1:10" ht="15.75" customHeight="1" x14ac:dyDescent="0.2">
      <c r="A356" s="25">
        <v>355</v>
      </c>
      <c r="B356" s="25">
        <v>0.2576</v>
      </c>
      <c r="C356" s="25">
        <v>0.56000000000000005</v>
      </c>
      <c r="D356" s="25">
        <v>0.16420000000000001</v>
      </c>
      <c r="E356" s="25">
        <v>0</v>
      </c>
      <c r="F356" s="25">
        <v>1</v>
      </c>
      <c r="G356" s="25">
        <v>1</v>
      </c>
      <c r="J356" s="25"/>
    </row>
    <row r="357" spans="1:10" ht="15.75" customHeight="1" x14ac:dyDescent="0.2">
      <c r="A357" s="25">
        <v>356</v>
      </c>
      <c r="B357" s="25">
        <v>0.21210000000000001</v>
      </c>
      <c r="C357" s="25">
        <v>0.56000000000000005</v>
      </c>
      <c r="D357" s="25">
        <v>0.29849999999999999</v>
      </c>
      <c r="E357" s="25">
        <v>0</v>
      </c>
      <c r="F357" s="25">
        <v>3</v>
      </c>
      <c r="G357" s="25">
        <v>3</v>
      </c>
      <c r="J357" s="25"/>
    </row>
    <row r="358" spans="1:10" ht="15.75" customHeight="1" x14ac:dyDescent="0.2">
      <c r="A358" s="25">
        <v>357</v>
      </c>
      <c r="B358" s="25">
        <v>0.21210000000000001</v>
      </c>
      <c r="C358" s="25">
        <v>0.55000000000000004</v>
      </c>
      <c r="D358" s="25">
        <v>0.28360000000000002</v>
      </c>
      <c r="E358" s="25">
        <v>0</v>
      </c>
      <c r="F358" s="25">
        <v>18</v>
      </c>
      <c r="G358" s="25">
        <v>18</v>
      </c>
      <c r="J358" s="25"/>
    </row>
    <row r="359" spans="1:10" ht="15.75" customHeight="1" x14ac:dyDescent="0.2">
      <c r="A359" s="25">
        <v>358</v>
      </c>
      <c r="B359" s="25">
        <v>0.21210000000000001</v>
      </c>
      <c r="C359" s="25">
        <v>0.51</v>
      </c>
      <c r="D359" s="25">
        <v>0.25369999999999998</v>
      </c>
      <c r="E359" s="25">
        <v>3</v>
      </c>
      <c r="F359" s="25">
        <v>29</v>
      </c>
      <c r="G359" s="25">
        <v>32</v>
      </c>
      <c r="J359" s="25"/>
    </row>
    <row r="360" spans="1:10" ht="15.75" customHeight="1" x14ac:dyDescent="0.2">
      <c r="A360" s="25">
        <v>359</v>
      </c>
      <c r="B360" s="25">
        <v>0.21210000000000001</v>
      </c>
      <c r="C360" s="25">
        <v>0.51</v>
      </c>
      <c r="D360" s="25">
        <v>0.28360000000000002</v>
      </c>
      <c r="E360" s="25">
        <v>8</v>
      </c>
      <c r="F360" s="25">
        <v>71</v>
      </c>
      <c r="G360" s="25">
        <v>79</v>
      </c>
      <c r="J360" s="25"/>
    </row>
    <row r="361" spans="1:10" ht="15.75" customHeight="1" x14ac:dyDescent="0.2">
      <c r="A361" s="25">
        <v>360</v>
      </c>
      <c r="B361" s="25">
        <v>0.2273</v>
      </c>
      <c r="C361" s="25">
        <v>0.44</v>
      </c>
      <c r="D361" s="25">
        <v>0.25369999999999998</v>
      </c>
      <c r="E361" s="25">
        <v>23</v>
      </c>
      <c r="F361" s="25">
        <v>70</v>
      </c>
      <c r="G361" s="25">
        <v>93</v>
      </c>
      <c r="J361" s="25"/>
    </row>
    <row r="362" spans="1:10" ht="15.75" customHeight="1" x14ac:dyDescent="0.2">
      <c r="A362" s="25">
        <v>361</v>
      </c>
      <c r="B362" s="25">
        <v>0.21210000000000001</v>
      </c>
      <c r="C362" s="25">
        <v>0.41</v>
      </c>
      <c r="D362" s="25">
        <v>0.28360000000000002</v>
      </c>
      <c r="E362" s="25">
        <v>29</v>
      </c>
      <c r="F362" s="25">
        <v>75</v>
      </c>
      <c r="G362" s="25">
        <v>104</v>
      </c>
      <c r="J362" s="25"/>
    </row>
    <row r="363" spans="1:10" ht="15.75" customHeight="1" x14ac:dyDescent="0.2">
      <c r="A363" s="25">
        <v>362</v>
      </c>
      <c r="B363" s="25">
        <v>0.2273</v>
      </c>
      <c r="C363" s="25">
        <v>0.35</v>
      </c>
      <c r="D363" s="25">
        <v>0.29849999999999999</v>
      </c>
      <c r="E363" s="25">
        <v>23</v>
      </c>
      <c r="F363" s="25">
        <v>95</v>
      </c>
      <c r="G363" s="25">
        <v>118</v>
      </c>
      <c r="J363" s="25"/>
    </row>
    <row r="364" spans="1:10" ht="15.75" customHeight="1" x14ac:dyDescent="0.2">
      <c r="A364" s="25">
        <v>363</v>
      </c>
      <c r="B364" s="25">
        <v>0.2727</v>
      </c>
      <c r="C364" s="25">
        <v>0.36</v>
      </c>
      <c r="D364" s="25">
        <v>0.25369999999999998</v>
      </c>
      <c r="E364" s="25">
        <v>22</v>
      </c>
      <c r="F364" s="25">
        <v>69</v>
      </c>
      <c r="G364" s="25">
        <v>91</v>
      </c>
      <c r="J364" s="25"/>
    </row>
    <row r="365" spans="1:10" ht="15.75" customHeight="1" x14ac:dyDescent="0.2">
      <c r="A365" s="25">
        <v>364</v>
      </c>
      <c r="B365" s="25">
        <v>0.2424</v>
      </c>
      <c r="C365" s="25">
        <v>0.38</v>
      </c>
      <c r="D365" s="25">
        <v>0.25369999999999998</v>
      </c>
      <c r="E365" s="25">
        <v>35</v>
      </c>
      <c r="F365" s="25">
        <v>78</v>
      </c>
      <c r="G365" s="25">
        <v>113</v>
      </c>
      <c r="J365" s="25"/>
    </row>
    <row r="366" spans="1:10" ht="15.75" customHeight="1" x14ac:dyDescent="0.2">
      <c r="A366" s="25">
        <v>365</v>
      </c>
      <c r="B366" s="25">
        <v>0.2273</v>
      </c>
      <c r="C366" s="25">
        <v>0.38</v>
      </c>
      <c r="D366" s="25">
        <v>0.22389999999999999</v>
      </c>
      <c r="E366" s="25">
        <v>22</v>
      </c>
      <c r="F366" s="25">
        <v>77</v>
      </c>
      <c r="G366" s="25">
        <v>99</v>
      </c>
      <c r="J366" s="25"/>
    </row>
    <row r="367" spans="1:10" ht="15.75" customHeight="1" x14ac:dyDescent="0.2">
      <c r="A367" s="25">
        <v>366</v>
      </c>
      <c r="B367" s="25">
        <v>0.21210000000000001</v>
      </c>
      <c r="C367" s="25">
        <v>0.37</v>
      </c>
      <c r="D367" s="25">
        <v>0.25369999999999998</v>
      </c>
      <c r="E367" s="25">
        <v>23</v>
      </c>
      <c r="F367" s="25">
        <v>82</v>
      </c>
      <c r="G367" s="25">
        <v>105</v>
      </c>
      <c r="J367" s="25"/>
    </row>
    <row r="368" spans="1:10" ht="15.75" customHeight="1" x14ac:dyDescent="0.2">
      <c r="A368" s="25">
        <v>367</v>
      </c>
      <c r="B368" s="25">
        <v>0.21210000000000001</v>
      </c>
      <c r="C368" s="25">
        <v>0.4</v>
      </c>
      <c r="D368" s="25">
        <v>0.16420000000000001</v>
      </c>
      <c r="E368" s="25">
        <v>11</v>
      </c>
      <c r="F368" s="25">
        <v>56</v>
      </c>
      <c r="G368" s="25">
        <v>67</v>
      </c>
      <c r="J368" s="25"/>
    </row>
    <row r="369" spans="1:10" ht="15.75" customHeight="1" x14ac:dyDescent="0.2">
      <c r="A369" s="25">
        <v>368</v>
      </c>
      <c r="B369" s="25">
        <v>0.19700000000000001</v>
      </c>
      <c r="C369" s="25">
        <v>0.47</v>
      </c>
      <c r="D369" s="25">
        <v>0.1343</v>
      </c>
      <c r="E369" s="25">
        <v>14</v>
      </c>
      <c r="F369" s="25">
        <v>47</v>
      </c>
      <c r="G369" s="25">
        <v>61</v>
      </c>
      <c r="J369" s="25"/>
    </row>
    <row r="370" spans="1:10" ht="15.75" customHeight="1" x14ac:dyDescent="0.2">
      <c r="A370" s="25">
        <v>369</v>
      </c>
      <c r="B370" s="25">
        <v>0.19700000000000001</v>
      </c>
      <c r="C370" s="25">
        <v>0.47</v>
      </c>
      <c r="D370" s="25">
        <v>0.16420000000000001</v>
      </c>
      <c r="E370" s="25">
        <v>7</v>
      </c>
      <c r="F370" s="25">
        <v>50</v>
      </c>
      <c r="G370" s="25">
        <v>57</v>
      </c>
      <c r="J370" s="25"/>
    </row>
    <row r="371" spans="1:10" ht="15.75" customHeight="1" x14ac:dyDescent="0.2">
      <c r="A371" s="25">
        <v>370</v>
      </c>
      <c r="B371" s="25">
        <v>0.19700000000000001</v>
      </c>
      <c r="C371" s="25">
        <v>0.51</v>
      </c>
      <c r="D371" s="25">
        <v>0.16420000000000001</v>
      </c>
      <c r="E371" s="25">
        <v>6</v>
      </c>
      <c r="F371" s="25">
        <v>22</v>
      </c>
      <c r="G371" s="25">
        <v>28</v>
      </c>
      <c r="J371" s="25"/>
    </row>
    <row r="372" spans="1:10" ht="15.75" customHeight="1" x14ac:dyDescent="0.2">
      <c r="A372" s="25">
        <v>371</v>
      </c>
      <c r="B372" s="25">
        <v>0.21210000000000001</v>
      </c>
      <c r="C372" s="25">
        <v>0.49</v>
      </c>
      <c r="D372" s="25">
        <v>0.1343</v>
      </c>
      <c r="E372" s="25">
        <v>2</v>
      </c>
      <c r="F372" s="25">
        <v>19</v>
      </c>
      <c r="G372" s="25">
        <v>21</v>
      </c>
      <c r="J372" s="25"/>
    </row>
    <row r="373" spans="1:10" ht="15.75" customHeight="1" x14ac:dyDescent="0.2">
      <c r="A373" s="25">
        <v>372</v>
      </c>
      <c r="B373" s="25">
        <v>0.2273</v>
      </c>
      <c r="C373" s="25">
        <v>0.4</v>
      </c>
      <c r="D373" s="25">
        <v>0.1045</v>
      </c>
      <c r="E373" s="25">
        <v>0</v>
      </c>
      <c r="F373" s="25">
        <v>18</v>
      </c>
      <c r="G373" s="25">
        <v>18</v>
      </c>
      <c r="J373" s="25"/>
    </row>
    <row r="374" spans="1:10" ht="15.75" customHeight="1" x14ac:dyDescent="0.2">
      <c r="A374" s="25">
        <v>373</v>
      </c>
      <c r="B374" s="25">
        <v>0.19700000000000001</v>
      </c>
      <c r="C374" s="25">
        <v>0.47</v>
      </c>
      <c r="D374" s="25">
        <v>0.22389999999999999</v>
      </c>
      <c r="E374" s="25">
        <v>1</v>
      </c>
      <c r="F374" s="25">
        <v>16</v>
      </c>
      <c r="G374" s="25">
        <v>17</v>
      </c>
      <c r="J374" s="25"/>
    </row>
    <row r="375" spans="1:10" ht="15.75" customHeight="1" x14ac:dyDescent="0.2">
      <c r="A375" s="25">
        <v>374</v>
      </c>
      <c r="B375" s="25">
        <v>0.19700000000000001</v>
      </c>
      <c r="C375" s="25">
        <v>0.44</v>
      </c>
      <c r="D375" s="25">
        <v>0.19400000000000001</v>
      </c>
      <c r="E375" s="25">
        <v>1</v>
      </c>
      <c r="F375" s="25">
        <v>15</v>
      </c>
      <c r="G375" s="25">
        <v>16</v>
      </c>
      <c r="J375" s="25"/>
    </row>
    <row r="376" spans="1:10" ht="15.75" customHeight="1" x14ac:dyDescent="0.2">
      <c r="A376" s="25">
        <v>375</v>
      </c>
      <c r="B376" s="25">
        <v>0.16669999999999999</v>
      </c>
      <c r="C376" s="25">
        <v>0.43</v>
      </c>
      <c r="D376" s="25">
        <v>0.25369999999999998</v>
      </c>
      <c r="E376" s="25">
        <v>0</v>
      </c>
      <c r="F376" s="25">
        <v>8</v>
      </c>
      <c r="G376" s="25">
        <v>8</v>
      </c>
      <c r="J376" s="25"/>
    </row>
    <row r="377" spans="1:10" ht="15.75" customHeight="1" x14ac:dyDescent="0.2">
      <c r="A377" s="25">
        <v>376</v>
      </c>
      <c r="B377" s="25">
        <v>0.18179999999999999</v>
      </c>
      <c r="C377" s="25">
        <v>0.43</v>
      </c>
      <c r="D377" s="25">
        <v>0.19400000000000001</v>
      </c>
      <c r="E377" s="25">
        <v>0</v>
      </c>
      <c r="F377" s="25">
        <v>2</v>
      </c>
      <c r="G377" s="25">
        <v>2</v>
      </c>
      <c r="J377" s="25"/>
    </row>
    <row r="378" spans="1:10" ht="15.75" customHeight="1" x14ac:dyDescent="0.2">
      <c r="A378" s="25">
        <v>377</v>
      </c>
      <c r="B378" s="25">
        <v>0.19700000000000001</v>
      </c>
      <c r="C378" s="25">
        <v>0.43</v>
      </c>
      <c r="D378" s="25">
        <v>0.1343</v>
      </c>
      <c r="E378" s="25">
        <v>1</v>
      </c>
      <c r="F378" s="25">
        <v>2</v>
      </c>
      <c r="G378" s="25">
        <v>3</v>
      </c>
      <c r="J378" s="25"/>
    </row>
    <row r="379" spans="1:10" ht="15.75" customHeight="1" x14ac:dyDescent="0.2">
      <c r="A379" s="25">
        <v>378</v>
      </c>
      <c r="B379" s="25">
        <v>0.19700000000000001</v>
      </c>
      <c r="C379" s="25">
        <v>0.43</v>
      </c>
      <c r="D379" s="25">
        <v>0.16420000000000001</v>
      </c>
      <c r="E379" s="25">
        <v>0</v>
      </c>
      <c r="F379" s="25">
        <v>1</v>
      </c>
      <c r="G379" s="25">
        <v>1</v>
      </c>
      <c r="J379" s="25"/>
    </row>
    <row r="380" spans="1:10" ht="15.75" customHeight="1" x14ac:dyDescent="0.2">
      <c r="A380" s="25">
        <v>379</v>
      </c>
      <c r="B380" s="25">
        <v>0.18179999999999999</v>
      </c>
      <c r="C380" s="25">
        <v>0.43</v>
      </c>
      <c r="D380" s="25">
        <v>0.19400000000000001</v>
      </c>
      <c r="E380" s="25">
        <v>0</v>
      </c>
      <c r="F380" s="25">
        <v>5</v>
      </c>
      <c r="G380" s="25">
        <v>5</v>
      </c>
      <c r="J380" s="25"/>
    </row>
    <row r="381" spans="1:10" ht="15.75" customHeight="1" x14ac:dyDescent="0.2">
      <c r="A381" s="25">
        <v>380</v>
      </c>
      <c r="B381" s="25">
        <v>0.18179999999999999</v>
      </c>
      <c r="C381" s="25">
        <v>0.5</v>
      </c>
      <c r="D381" s="25">
        <v>0.1343</v>
      </c>
      <c r="E381" s="25">
        <v>4</v>
      </c>
      <c r="F381" s="25">
        <v>9</v>
      </c>
      <c r="G381" s="25">
        <v>13</v>
      </c>
      <c r="J381" s="25"/>
    </row>
    <row r="382" spans="1:10" ht="15.75" customHeight="1" x14ac:dyDescent="0.2">
      <c r="A382" s="25">
        <v>381</v>
      </c>
      <c r="B382" s="25">
        <v>0.1515</v>
      </c>
      <c r="C382" s="25">
        <v>0.47</v>
      </c>
      <c r="D382" s="25">
        <v>0.22389999999999999</v>
      </c>
      <c r="E382" s="25">
        <v>3</v>
      </c>
      <c r="F382" s="25">
        <v>30</v>
      </c>
      <c r="G382" s="25">
        <v>33</v>
      </c>
      <c r="J382" s="25"/>
    </row>
    <row r="383" spans="1:10" ht="15.75" customHeight="1" x14ac:dyDescent="0.2">
      <c r="A383" s="25">
        <v>382</v>
      </c>
      <c r="B383" s="25">
        <v>0.1515</v>
      </c>
      <c r="C383" s="25">
        <v>0.47</v>
      </c>
      <c r="D383" s="25">
        <v>0.22389999999999999</v>
      </c>
      <c r="E383" s="25">
        <v>8</v>
      </c>
      <c r="F383" s="25">
        <v>39</v>
      </c>
      <c r="G383" s="25">
        <v>47</v>
      </c>
      <c r="J383" s="25"/>
    </row>
    <row r="384" spans="1:10" ht="15.75" customHeight="1" x14ac:dyDescent="0.2">
      <c r="A384" s="25">
        <v>383</v>
      </c>
      <c r="B384" s="25">
        <v>0.1515</v>
      </c>
      <c r="C384" s="25">
        <v>0.5</v>
      </c>
      <c r="D384" s="25">
        <v>0.25369999999999998</v>
      </c>
      <c r="E384" s="25">
        <v>7</v>
      </c>
      <c r="F384" s="25">
        <v>50</v>
      </c>
      <c r="G384" s="25">
        <v>57</v>
      </c>
      <c r="J384" s="25"/>
    </row>
    <row r="385" spans="1:10" ht="15.75" customHeight="1" x14ac:dyDescent="0.2">
      <c r="A385" s="25">
        <v>384</v>
      </c>
      <c r="B385" s="25">
        <v>0.1515</v>
      </c>
      <c r="C385" s="25">
        <v>0.55000000000000004</v>
      </c>
      <c r="D385" s="25">
        <v>0.19400000000000001</v>
      </c>
      <c r="E385" s="25">
        <v>9</v>
      </c>
      <c r="F385" s="25">
        <v>55</v>
      </c>
      <c r="G385" s="25">
        <v>64</v>
      </c>
      <c r="J385" s="25"/>
    </row>
    <row r="386" spans="1:10" ht="15.75" customHeight="1" x14ac:dyDescent="0.2">
      <c r="A386" s="25">
        <v>385</v>
      </c>
      <c r="B386" s="25">
        <v>0.19700000000000001</v>
      </c>
      <c r="C386" s="25">
        <v>0.47</v>
      </c>
      <c r="D386" s="25">
        <v>0.1343</v>
      </c>
      <c r="E386" s="25">
        <v>10</v>
      </c>
      <c r="F386" s="25">
        <v>70</v>
      </c>
      <c r="G386" s="25">
        <v>80</v>
      </c>
      <c r="J386" s="25"/>
    </row>
    <row r="387" spans="1:10" ht="15.75" customHeight="1" x14ac:dyDescent="0.2">
      <c r="A387" s="25">
        <v>386</v>
      </c>
      <c r="B387" s="25">
        <v>0.19700000000000001</v>
      </c>
      <c r="C387" s="25">
        <v>0.47</v>
      </c>
      <c r="D387" s="25">
        <v>0.1343</v>
      </c>
      <c r="E387" s="25">
        <v>13</v>
      </c>
      <c r="F387" s="25">
        <v>80</v>
      </c>
      <c r="G387" s="25">
        <v>93</v>
      </c>
      <c r="J387" s="25"/>
    </row>
    <row r="388" spans="1:10" ht="15.75" customHeight="1" x14ac:dyDescent="0.2">
      <c r="A388" s="25">
        <v>387</v>
      </c>
      <c r="B388" s="25">
        <v>0.21210000000000001</v>
      </c>
      <c r="C388" s="25">
        <v>0.43</v>
      </c>
      <c r="D388" s="25">
        <v>0.1045</v>
      </c>
      <c r="E388" s="25">
        <v>12</v>
      </c>
      <c r="F388" s="25">
        <v>74</v>
      </c>
      <c r="G388" s="25">
        <v>86</v>
      </c>
      <c r="J388" s="25"/>
    </row>
    <row r="389" spans="1:10" ht="15.75" customHeight="1" x14ac:dyDescent="0.2">
      <c r="A389" s="25">
        <v>388</v>
      </c>
      <c r="B389" s="25">
        <v>0.21210000000000001</v>
      </c>
      <c r="C389" s="25">
        <v>0.47</v>
      </c>
      <c r="D389" s="25">
        <v>0.16420000000000001</v>
      </c>
      <c r="E389" s="25">
        <v>21</v>
      </c>
      <c r="F389" s="25">
        <v>72</v>
      </c>
      <c r="G389" s="25">
        <v>93</v>
      </c>
      <c r="J389" s="25"/>
    </row>
    <row r="390" spans="1:10" ht="15.75" customHeight="1" x14ac:dyDescent="0.2">
      <c r="A390" s="25">
        <v>389</v>
      </c>
      <c r="B390" s="25">
        <v>0.21210000000000001</v>
      </c>
      <c r="C390" s="25">
        <v>0.47</v>
      </c>
      <c r="D390" s="25">
        <v>0.16420000000000001</v>
      </c>
      <c r="E390" s="25">
        <v>6</v>
      </c>
      <c r="F390" s="25">
        <v>76</v>
      </c>
      <c r="G390" s="25">
        <v>82</v>
      </c>
      <c r="J390" s="25"/>
    </row>
    <row r="391" spans="1:10" ht="15.75" customHeight="1" x14ac:dyDescent="0.2">
      <c r="A391" s="25">
        <v>390</v>
      </c>
      <c r="B391" s="25">
        <v>0.19700000000000001</v>
      </c>
      <c r="C391" s="25">
        <v>0.51</v>
      </c>
      <c r="D391" s="25">
        <v>0.19400000000000001</v>
      </c>
      <c r="E391" s="25">
        <v>4</v>
      </c>
      <c r="F391" s="25">
        <v>67</v>
      </c>
      <c r="G391" s="25">
        <v>71</v>
      </c>
      <c r="J391" s="25"/>
    </row>
    <row r="392" spans="1:10" ht="15.75" customHeight="1" x14ac:dyDescent="0.2">
      <c r="A392" s="25">
        <v>391</v>
      </c>
      <c r="B392" s="25">
        <v>0.16669999999999999</v>
      </c>
      <c r="C392" s="25">
        <v>0.55000000000000004</v>
      </c>
      <c r="D392" s="25">
        <v>0.25369999999999998</v>
      </c>
      <c r="E392" s="25">
        <v>7</v>
      </c>
      <c r="F392" s="25">
        <v>85</v>
      </c>
      <c r="G392" s="25">
        <v>92</v>
      </c>
      <c r="J392" s="25"/>
    </row>
    <row r="393" spans="1:10" ht="15.75" customHeight="1" x14ac:dyDescent="0.2">
      <c r="A393" s="25">
        <v>392</v>
      </c>
      <c r="B393" s="25">
        <v>0.18179999999999999</v>
      </c>
      <c r="C393" s="25">
        <v>0.59</v>
      </c>
      <c r="D393" s="25">
        <v>0.19400000000000001</v>
      </c>
      <c r="E393" s="25">
        <v>2</v>
      </c>
      <c r="F393" s="25">
        <v>58</v>
      </c>
      <c r="G393" s="25">
        <v>60</v>
      </c>
      <c r="J393" s="25"/>
    </row>
    <row r="394" spans="1:10" ht="15.75" customHeight="1" x14ac:dyDescent="0.2">
      <c r="A394" s="25">
        <v>393</v>
      </c>
      <c r="B394" s="25">
        <v>0.1515</v>
      </c>
      <c r="C394" s="25">
        <v>0.8</v>
      </c>
      <c r="D394" s="25">
        <v>0.19400000000000001</v>
      </c>
      <c r="E394" s="25">
        <v>4</v>
      </c>
      <c r="F394" s="25">
        <v>29</v>
      </c>
      <c r="G394" s="25">
        <v>33</v>
      </c>
      <c r="J394" s="25"/>
    </row>
    <row r="395" spans="1:10" ht="15.75" customHeight="1" x14ac:dyDescent="0.2">
      <c r="A395" s="25">
        <v>394</v>
      </c>
      <c r="B395" s="25">
        <v>0.1515</v>
      </c>
      <c r="C395" s="25">
        <v>0.8</v>
      </c>
      <c r="D395" s="25">
        <v>0.19400000000000001</v>
      </c>
      <c r="E395" s="25">
        <v>3</v>
      </c>
      <c r="F395" s="25">
        <v>24</v>
      </c>
      <c r="G395" s="25">
        <v>27</v>
      </c>
      <c r="J395" s="25"/>
    </row>
    <row r="396" spans="1:10" ht="15.75" customHeight="1" x14ac:dyDescent="0.2">
      <c r="A396" s="25">
        <v>395</v>
      </c>
      <c r="B396" s="25">
        <v>0.1212</v>
      </c>
      <c r="C396" s="25">
        <v>0.93</v>
      </c>
      <c r="D396" s="25">
        <v>0.25369999999999998</v>
      </c>
      <c r="E396" s="25">
        <v>0</v>
      </c>
      <c r="F396" s="25">
        <v>13</v>
      </c>
      <c r="G396" s="25">
        <v>13</v>
      </c>
      <c r="J396" s="25"/>
    </row>
    <row r="397" spans="1:10" ht="15.75" customHeight="1" x14ac:dyDescent="0.2">
      <c r="A397" s="25">
        <v>396</v>
      </c>
      <c r="B397" s="25">
        <v>0.13639999999999999</v>
      </c>
      <c r="C397" s="25">
        <v>0.86</v>
      </c>
      <c r="D397" s="25">
        <v>0.28360000000000002</v>
      </c>
      <c r="E397" s="25">
        <v>1</v>
      </c>
      <c r="F397" s="25">
        <v>3</v>
      </c>
      <c r="G397" s="25">
        <v>4</v>
      </c>
      <c r="J397" s="25"/>
    </row>
    <row r="398" spans="1:10" ht="15.75" customHeight="1" x14ac:dyDescent="0.2">
      <c r="A398" s="25">
        <v>397</v>
      </c>
      <c r="B398" s="25">
        <v>0.18179999999999999</v>
      </c>
      <c r="C398" s="25">
        <v>0.86</v>
      </c>
      <c r="D398" s="25">
        <v>0.32840000000000003</v>
      </c>
      <c r="E398" s="25">
        <v>0</v>
      </c>
      <c r="F398" s="25">
        <v>3</v>
      </c>
      <c r="G398" s="25">
        <v>3</v>
      </c>
      <c r="J398" s="25"/>
    </row>
    <row r="399" spans="1:10" ht="15.75" customHeight="1" x14ac:dyDescent="0.2">
      <c r="A399" s="25">
        <v>398</v>
      </c>
      <c r="B399" s="25">
        <v>0.19700000000000001</v>
      </c>
      <c r="C399" s="25">
        <v>0.86</v>
      </c>
      <c r="D399" s="25">
        <v>0.22389999999999999</v>
      </c>
      <c r="E399" s="25">
        <v>0</v>
      </c>
      <c r="F399" s="25">
        <v>22</v>
      </c>
      <c r="G399" s="25">
        <v>22</v>
      </c>
      <c r="J399" s="25"/>
    </row>
    <row r="400" spans="1:10" ht="15.75" customHeight="1" x14ac:dyDescent="0.2">
      <c r="A400" s="25">
        <v>399</v>
      </c>
      <c r="B400" s="25">
        <v>0.2273</v>
      </c>
      <c r="C400" s="25">
        <v>0.8</v>
      </c>
      <c r="D400" s="25">
        <v>0.16420000000000001</v>
      </c>
      <c r="E400" s="25">
        <v>2</v>
      </c>
      <c r="F400" s="25">
        <v>26</v>
      </c>
      <c r="G400" s="25">
        <v>28</v>
      </c>
      <c r="J400" s="25"/>
    </row>
    <row r="401" spans="1:10" ht="15.75" customHeight="1" x14ac:dyDescent="0.2">
      <c r="A401" s="25">
        <v>400</v>
      </c>
      <c r="B401" s="25">
        <v>0.2273</v>
      </c>
      <c r="C401" s="25">
        <v>0.87</v>
      </c>
      <c r="D401" s="25">
        <v>0.16420000000000001</v>
      </c>
      <c r="E401" s="25">
        <v>3</v>
      </c>
      <c r="F401" s="25">
        <v>32</v>
      </c>
      <c r="G401" s="25">
        <v>35</v>
      </c>
      <c r="J401" s="25"/>
    </row>
    <row r="402" spans="1:10" ht="15.75" customHeight="1" x14ac:dyDescent="0.2">
      <c r="A402" s="25">
        <v>401</v>
      </c>
      <c r="B402" s="25">
        <v>0.2273</v>
      </c>
      <c r="C402" s="25">
        <v>0.87</v>
      </c>
      <c r="D402" s="25">
        <v>0.19400000000000001</v>
      </c>
      <c r="E402" s="25">
        <v>0</v>
      </c>
      <c r="F402" s="25">
        <v>61</v>
      </c>
      <c r="G402" s="25">
        <v>61</v>
      </c>
      <c r="J402" s="25"/>
    </row>
    <row r="403" spans="1:10" ht="15.75" customHeight="1" x14ac:dyDescent="0.2">
      <c r="A403" s="25">
        <v>402</v>
      </c>
      <c r="B403" s="25">
        <v>0.2273</v>
      </c>
      <c r="C403" s="25">
        <v>0.82</v>
      </c>
      <c r="D403" s="25">
        <v>0.19400000000000001</v>
      </c>
      <c r="E403" s="25">
        <v>1</v>
      </c>
      <c r="F403" s="25">
        <v>124</v>
      </c>
      <c r="G403" s="25">
        <v>125</v>
      </c>
      <c r="J403" s="25"/>
    </row>
    <row r="404" spans="1:10" ht="15.75" customHeight="1" x14ac:dyDescent="0.2">
      <c r="A404" s="25">
        <v>403</v>
      </c>
      <c r="B404" s="25">
        <v>0.2273</v>
      </c>
      <c r="C404" s="25">
        <v>0.8</v>
      </c>
      <c r="D404" s="25">
        <v>0.16420000000000001</v>
      </c>
      <c r="E404" s="25">
        <v>1</v>
      </c>
      <c r="F404" s="25">
        <v>132</v>
      </c>
      <c r="G404" s="25">
        <v>133</v>
      </c>
      <c r="J404" s="25"/>
    </row>
    <row r="405" spans="1:10" ht="15.75" customHeight="1" x14ac:dyDescent="0.2">
      <c r="A405" s="25">
        <v>404</v>
      </c>
      <c r="B405" s="25">
        <v>0.2273</v>
      </c>
      <c r="C405" s="25">
        <v>0.8</v>
      </c>
      <c r="D405" s="25">
        <v>0.1343</v>
      </c>
      <c r="E405" s="25">
        <v>1</v>
      </c>
      <c r="F405" s="25">
        <v>98</v>
      </c>
      <c r="G405" s="25">
        <v>99</v>
      </c>
      <c r="J405" s="25"/>
    </row>
    <row r="406" spans="1:10" ht="15.75" customHeight="1" x14ac:dyDescent="0.2">
      <c r="A406" s="25">
        <v>405</v>
      </c>
      <c r="B406" s="25">
        <v>0.2727</v>
      </c>
      <c r="C406" s="25">
        <v>0.87</v>
      </c>
      <c r="D406" s="25">
        <v>0</v>
      </c>
      <c r="E406" s="25">
        <v>0</v>
      </c>
      <c r="F406" s="25">
        <v>83</v>
      </c>
      <c r="G406" s="25">
        <v>83</v>
      </c>
      <c r="J406" s="25"/>
    </row>
    <row r="407" spans="1:10" ht="15.75" customHeight="1" x14ac:dyDescent="0.2">
      <c r="A407" s="25">
        <v>406</v>
      </c>
      <c r="B407" s="25">
        <v>0.2424</v>
      </c>
      <c r="C407" s="25">
        <v>0.93</v>
      </c>
      <c r="D407" s="25">
        <v>0.1045</v>
      </c>
      <c r="E407" s="25">
        <v>0</v>
      </c>
      <c r="F407" s="25">
        <v>41</v>
      </c>
      <c r="G407" s="25">
        <v>41</v>
      </c>
      <c r="J407" s="25"/>
    </row>
    <row r="408" spans="1:10" ht="15.75" customHeight="1" x14ac:dyDescent="0.2">
      <c r="A408" s="25">
        <v>407</v>
      </c>
      <c r="B408" s="25">
        <v>0.2576</v>
      </c>
      <c r="C408" s="25">
        <v>0.93</v>
      </c>
      <c r="D408" s="25">
        <v>8.9599999999999999E-2</v>
      </c>
      <c r="E408" s="25">
        <v>0</v>
      </c>
      <c r="F408" s="25">
        <v>33</v>
      </c>
      <c r="G408" s="25">
        <v>33</v>
      </c>
      <c r="J408" s="25"/>
    </row>
    <row r="409" spans="1:10" ht="15.75" customHeight="1" x14ac:dyDescent="0.2">
      <c r="A409" s="25">
        <v>408</v>
      </c>
      <c r="B409" s="25">
        <v>0.2727</v>
      </c>
      <c r="C409" s="25">
        <v>0.93</v>
      </c>
      <c r="D409" s="25">
        <v>0</v>
      </c>
      <c r="E409" s="25">
        <v>1</v>
      </c>
      <c r="F409" s="25">
        <v>19</v>
      </c>
      <c r="G409" s="25">
        <v>20</v>
      </c>
      <c r="J409" s="25"/>
    </row>
    <row r="410" spans="1:10" ht="15.75" customHeight="1" x14ac:dyDescent="0.2">
      <c r="A410" s="25">
        <v>409</v>
      </c>
      <c r="B410" s="25">
        <v>0.2727</v>
      </c>
      <c r="C410" s="25">
        <v>0.93</v>
      </c>
      <c r="D410" s="25">
        <v>0</v>
      </c>
      <c r="E410" s="25">
        <v>0</v>
      </c>
      <c r="F410" s="25">
        <v>3</v>
      </c>
      <c r="G410" s="25">
        <v>3</v>
      </c>
      <c r="J410" s="25"/>
    </row>
    <row r="411" spans="1:10" ht="15.75" customHeight="1" x14ac:dyDescent="0.2">
      <c r="A411" s="25">
        <v>410</v>
      </c>
      <c r="B411" s="25">
        <v>0.2273</v>
      </c>
      <c r="C411" s="25">
        <v>0.93</v>
      </c>
      <c r="D411" s="25">
        <v>0.1343</v>
      </c>
      <c r="E411" s="25">
        <v>1</v>
      </c>
      <c r="F411" s="25">
        <v>6</v>
      </c>
      <c r="G411" s="25">
        <v>7</v>
      </c>
      <c r="J411" s="25"/>
    </row>
    <row r="412" spans="1:10" ht="15.75" customHeight="1" x14ac:dyDescent="0.2">
      <c r="A412" s="25">
        <v>411</v>
      </c>
      <c r="B412" s="25">
        <v>0.2273</v>
      </c>
      <c r="C412" s="25">
        <v>0.93</v>
      </c>
      <c r="D412" s="25">
        <v>0.1343</v>
      </c>
      <c r="E412" s="25">
        <v>0</v>
      </c>
      <c r="F412" s="25">
        <v>3</v>
      </c>
      <c r="G412" s="25">
        <v>3</v>
      </c>
      <c r="J412" s="25"/>
    </row>
    <row r="413" spans="1:10" ht="15.75" customHeight="1" x14ac:dyDescent="0.2">
      <c r="A413" s="25">
        <v>412</v>
      </c>
      <c r="B413" s="25">
        <v>0.2273</v>
      </c>
      <c r="C413" s="25">
        <v>0.93</v>
      </c>
      <c r="D413" s="25">
        <v>0.1343</v>
      </c>
      <c r="E413" s="25">
        <v>1</v>
      </c>
      <c r="F413" s="25">
        <v>1</v>
      </c>
      <c r="G413" s="25">
        <v>2</v>
      </c>
      <c r="J413" s="25"/>
    </row>
    <row r="414" spans="1:10" ht="15.75" customHeight="1" x14ac:dyDescent="0.2">
      <c r="A414" s="25">
        <v>413</v>
      </c>
      <c r="B414" s="25">
        <v>0.2576</v>
      </c>
      <c r="C414" s="25">
        <v>0.93</v>
      </c>
      <c r="D414" s="25">
        <v>8.9599999999999999E-2</v>
      </c>
      <c r="E414" s="25">
        <v>0</v>
      </c>
      <c r="F414" s="25">
        <v>7</v>
      </c>
      <c r="G414" s="25">
        <v>7</v>
      </c>
      <c r="J414" s="25"/>
    </row>
    <row r="415" spans="1:10" ht="15.75" customHeight="1" x14ac:dyDescent="0.2">
      <c r="A415" s="25">
        <v>414</v>
      </c>
      <c r="B415" s="25">
        <v>0.2576</v>
      </c>
      <c r="C415" s="25">
        <v>0.93</v>
      </c>
      <c r="D415" s="25">
        <v>8.9599999999999999E-2</v>
      </c>
      <c r="E415" s="25">
        <v>0</v>
      </c>
      <c r="F415" s="25">
        <v>32</v>
      </c>
      <c r="G415" s="25">
        <v>32</v>
      </c>
      <c r="J415" s="25"/>
    </row>
    <row r="416" spans="1:10" ht="15.75" customHeight="1" x14ac:dyDescent="0.2">
      <c r="A416" s="25">
        <v>415</v>
      </c>
      <c r="B416" s="25">
        <v>0.2576</v>
      </c>
      <c r="C416" s="25">
        <v>0.92</v>
      </c>
      <c r="D416" s="25">
        <v>0.1045</v>
      </c>
      <c r="E416" s="25">
        <v>1</v>
      </c>
      <c r="F416" s="25">
        <v>89</v>
      </c>
      <c r="G416" s="25">
        <v>90</v>
      </c>
      <c r="J416" s="25"/>
    </row>
    <row r="417" spans="1:10" ht="15.75" customHeight="1" x14ac:dyDescent="0.2">
      <c r="A417" s="25">
        <v>416</v>
      </c>
      <c r="B417" s="25">
        <v>0.2576</v>
      </c>
      <c r="C417" s="25">
        <v>0.93</v>
      </c>
      <c r="D417" s="25">
        <v>0.1045</v>
      </c>
      <c r="E417" s="25">
        <v>1</v>
      </c>
      <c r="F417" s="25">
        <v>196</v>
      </c>
      <c r="G417" s="25">
        <v>197</v>
      </c>
      <c r="J417" s="25"/>
    </row>
    <row r="418" spans="1:10" ht="15.75" customHeight="1" x14ac:dyDescent="0.2">
      <c r="A418" s="25">
        <v>417</v>
      </c>
      <c r="B418" s="25">
        <v>0.2576</v>
      </c>
      <c r="C418" s="25">
        <v>0.93</v>
      </c>
      <c r="D418" s="25">
        <v>0.1045</v>
      </c>
      <c r="E418" s="25">
        <v>2</v>
      </c>
      <c r="F418" s="25">
        <v>107</v>
      </c>
      <c r="G418" s="25">
        <v>109</v>
      </c>
      <c r="J418" s="25"/>
    </row>
    <row r="419" spans="1:10" ht="15.75" customHeight="1" x14ac:dyDescent="0.2">
      <c r="A419" s="25">
        <v>418</v>
      </c>
      <c r="B419" s="25">
        <v>0.2727</v>
      </c>
      <c r="C419" s="25">
        <v>0.93</v>
      </c>
      <c r="D419" s="25">
        <v>0.1343</v>
      </c>
      <c r="E419" s="25">
        <v>1</v>
      </c>
      <c r="F419" s="25">
        <v>46</v>
      </c>
      <c r="G419" s="25">
        <v>47</v>
      </c>
      <c r="J419" s="25"/>
    </row>
    <row r="420" spans="1:10" ht="15.75" customHeight="1" x14ac:dyDescent="0.2">
      <c r="A420" s="25">
        <v>419</v>
      </c>
      <c r="B420" s="25">
        <v>0.30299999999999999</v>
      </c>
      <c r="C420" s="25">
        <v>0.87</v>
      </c>
      <c r="D420" s="25">
        <v>8.9599999999999999E-2</v>
      </c>
      <c r="E420" s="25">
        <v>5</v>
      </c>
      <c r="F420" s="25">
        <v>47</v>
      </c>
      <c r="G420" s="25">
        <v>52</v>
      </c>
      <c r="J420" s="25"/>
    </row>
    <row r="421" spans="1:10" ht="15.75" customHeight="1" x14ac:dyDescent="0.2">
      <c r="A421" s="25">
        <v>420</v>
      </c>
      <c r="B421" s="25">
        <v>0.31819999999999998</v>
      </c>
      <c r="C421" s="25">
        <v>0.81</v>
      </c>
      <c r="D421" s="25">
        <v>8.9599999999999999E-2</v>
      </c>
      <c r="E421" s="25">
        <v>5</v>
      </c>
      <c r="F421" s="25">
        <v>65</v>
      </c>
      <c r="G421" s="25">
        <v>70</v>
      </c>
      <c r="J421" s="25"/>
    </row>
    <row r="422" spans="1:10" ht="15.75" customHeight="1" x14ac:dyDescent="0.2">
      <c r="A422" s="25">
        <v>421</v>
      </c>
      <c r="B422" s="25">
        <v>0.40910000000000002</v>
      </c>
      <c r="C422" s="25">
        <v>0.62</v>
      </c>
      <c r="D422" s="25">
        <v>0.28360000000000002</v>
      </c>
      <c r="E422" s="25">
        <v>11</v>
      </c>
      <c r="F422" s="25">
        <v>67</v>
      </c>
      <c r="G422" s="25">
        <v>78</v>
      </c>
      <c r="J422" s="25"/>
    </row>
    <row r="423" spans="1:10" ht="15.75" customHeight="1" x14ac:dyDescent="0.2">
      <c r="A423" s="25">
        <v>422</v>
      </c>
      <c r="B423" s="25">
        <v>0.40910000000000002</v>
      </c>
      <c r="C423" s="25">
        <v>0.57999999999999996</v>
      </c>
      <c r="D423" s="25">
        <v>0.25369999999999998</v>
      </c>
      <c r="E423" s="25">
        <v>7</v>
      </c>
      <c r="F423" s="25">
        <v>68</v>
      </c>
      <c r="G423" s="25">
        <v>75</v>
      </c>
      <c r="J423" s="25"/>
    </row>
    <row r="424" spans="1:10" ht="15.75" customHeight="1" x14ac:dyDescent="0.2">
      <c r="A424" s="25">
        <v>423</v>
      </c>
      <c r="B424" s="25">
        <v>0.40910000000000002</v>
      </c>
      <c r="C424" s="25">
        <v>0.54</v>
      </c>
      <c r="D424" s="25">
        <v>0.28360000000000002</v>
      </c>
      <c r="E424" s="25">
        <v>4</v>
      </c>
      <c r="F424" s="25">
        <v>78</v>
      </c>
      <c r="G424" s="25">
        <v>82</v>
      </c>
      <c r="J424" s="25"/>
    </row>
    <row r="425" spans="1:10" ht="15.75" customHeight="1" x14ac:dyDescent="0.2">
      <c r="A425" s="25">
        <v>424</v>
      </c>
      <c r="B425" s="25">
        <v>0.39389999999999997</v>
      </c>
      <c r="C425" s="25">
        <v>0.57999999999999996</v>
      </c>
      <c r="D425" s="25">
        <v>0.3881</v>
      </c>
      <c r="E425" s="25">
        <v>10</v>
      </c>
      <c r="F425" s="25">
        <v>94</v>
      </c>
      <c r="G425" s="25">
        <v>104</v>
      </c>
      <c r="J425" s="25"/>
    </row>
    <row r="426" spans="1:10" ht="15.75" customHeight="1" x14ac:dyDescent="0.2">
      <c r="A426" s="25">
        <v>425</v>
      </c>
      <c r="B426" s="25">
        <v>0.33329999999999999</v>
      </c>
      <c r="C426" s="25">
        <v>0.56999999999999995</v>
      </c>
      <c r="D426" s="25">
        <v>0.32840000000000003</v>
      </c>
      <c r="E426" s="25">
        <v>7</v>
      </c>
      <c r="F426" s="25">
        <v>190</v>
      </c>
      <c r="G426" s="25">
        <v>197</v>
      </c>
      <c r="J426" s="25"/>
    </row>
    <row r="427" spans="1:10" ht="15.75" customHeight="1" x14ac:dyDescent="0.2">
      <c r="A427" s="25">
        <v>426</v>
      </c>
      <c r="B427" s="25">
        <v>0.31819999999999998</v>
      </c>
      <c r="C427" s="25">
        <v>0.61</v>
      </c>
      <c r="D427" s="25">
        <v>0.28360000000000002</v>
      </c>
      <c r="E427" s="25">
        <v>5</v>
      </c>
      <c r="F427" s="25">
        <v>156</v>
      </c>
      <c r="G427" s="25">
        <v>161</v>
      </c>
      <c r="J427" s="25"/>
    </row>
    <row r="428" spans="1:10" ht="15.75" customHeight="1" x14ac:dyDescent="0.2">
      <c r="A428" s="25">
        <v>427</v>
      </c>
      <c r="B428" s="25">
        <v>0.28789999999999999</v>
      </c>
      <c r="C428" s="25">
        <v>0.56999999999999995</v>
      </c>
      <c r="D428" s="25">
        <v>0.41789999999999999</v>
      </c>
      <c r="E428" s="25">
        <v>4</v>
      </c>
      <c r="F428" s="25">
        <v>108</v>
      </c>
      <c r="G428" s="25">
        <v>112</v>
      </c>
      <c r="J428" s="25"/>
    </row>
    <row r="429" spans="1:10" ht="15.75" customHeight="1" x14ac:dyDescent="0.2">
      <c r="A429" s="25">
        <v>428</v>
      </c>
      <c r="B429" s="25">
        <v>0.30299999999999999</v>
      </c>
      <c r="C429" s="25">
        <v>0.49</v>
      </c>
      <c r="D429" s="25">
        <v>0.29849999999999999</v>
      </c>
      <c r="E429" s="25">
        <v>2</v>
      </c>
      <c r="F429" s="25">
        <v>74</v>
      </c>
      <c r="G429" s="25">
        <v>76</v>
      </c>
      <c r="J429" s="25"/>
    </row>
    <row r="430" spans="1:10" ht="15.75" customHeight="1" x14ac:dyDescent="0.2">
      <c r="A430" s="25">
        <v>429</v>
      </c>
      <c r="B430" s="25">
        <v>0.28789999999999999</v>
      </c>
      <c r="C430" s="25">
        <v>0.49</v>
      </c>
      <c r="D430" s="25">
        <v>0.41789999999999999</v>
      </c>
      <c r="E430" s="25">
        <v>4</v>
      </c>
      <c r="F430" s="25">
        <v>55</v>
      </c>
      <c r="G430" s="25">
        <v>59</v>
      </c>
      <c r="J430" s="25"/>
    </row>
    <row r="431" spans="1:10" ht="15.75" customHeight="1" x14ac:dyDescent="0.2">
      <c r="A431" s="25">
        <v>430</v>
      </c>
      <c r="B431" s="25">
        <v>0.30299999999999999</v>
      </c>
      <c r="C431" s="25">
        <v>0.52</v>
      </c>
      <c r="D431" s="25">
        <v>0.16420000000000001</v>
      </c>
      <c r="E431" s="25">
        <v>6</v>
      </c>
      <c r="F431" s="25">
        <v>53</v>
      </c>
      <c r="G431" s="25">
        <v>59</v>
      </c>
      <c r="J431" s="25"/>
    </row>
    <row r="432" spans="1:10" ht="15.75" customHeight="1" x14ac:dyDescent="0.2">
      <c r="A432" s="25">
        <v>431</v>
      </c>
      <c r="B432" s="25">
        <v>0.2727</v>
      </c>
      <c r="C432" s="25">
        <v>0.52</v>
      </c>
      <c r="D432" s="25">
        <v>0.4627</v>
      </c>
      <c r="E432" s="25">
        <v>1</v>
      </c>
      <c r="F432" s="25">
        <v>27</v>
      </c>
      <c r="G432" s="25">
        <v>28</v>
      </c>
      <c r="J432" s="25"/>
    </row>
    <row r="433" spans="1:10" ht="15.75" customHeight="1" x14ac:dyDescent="0.2">
      <c r="A433" s="25">
        <v>432</v>
      </c>
      <c r="B433" s="25">
        <v>0.2273</v>
      </c>
      <c r="C433" s="25">
        <v>0.56000000000000005</v>
      </c>
      <c r="D433" s="25">
        <v>0.3881</v>
      </c>
      <c r="E433" s="25">
        <v>5</v>
      </c>
      <c r="F433" s="25">
        <v>8</v>
      </c>
      <c r="G433" s="25">
        <v>13</v>
      </c>
      <c r="J433" s="25"/>
    </row>
    <row r="434" spans="1:10" ht="15.75" customHeight="1" x14ac:dyDescent="0.2">
      <c r="A434" s="25">
        <v>433</v>
      </c>
      <c r="B434" s="25">
        <v>0.2727</v>
      </c>
      <c r="C434" s="25">
        <v>0.56000000000000005</v>
      </c>
      <c r="D434" s="25">
        <v>0</v>
      </c>
      <c r="E434" s="25">
        <v>2</v>
      </c>
      <c r="F434" s="25">
        <v>3</v>
      </c>
      <c r="G434" s="25">
        <v>5</v>
      </c>
      <c r="J434" s="25"/>
    </row>
    <row r="435" spans="1:10" ht="15.75" customHeight="1" x14ac:dyDescent="0.2">
      <c r="A435" s="25">
        <v>434</v>
      </c>
      <c r="B435" s="25">
        <v>0.2727</v>
      </c>
      <c r="C435" s="25">
        <v>0.56000000000000005</v>
      </c>
      <c r="D435" s="25">
        <v>0</v>
      </c>
      <c r="E435" s="25">
        <v>0</v>
      </c>
      <c r="F435" s="25">
        <v>2</v>
      </c>
      <c r="G435" s="25">
        <v>2</v>
      </c>
      <c r="J435" s="25"/>
    </row>
    <row r="436" spans="1:10" ht="15.75" customHeight="1" x14ac:dyDescent="0.2">
      <c r="A436" s="25">
        <v>435</v>
      </c>
      <c r="B436" s="25">
        <v>0.2576</v>
      </c>
      <c r="C436" s="25">
        <v>0.56000000000000005</v>
      </c>
      <c r="D436" s="25">
        <v>0.16420000000000001</v>
      </c>
      <c r="E436" s="25">
        <v>0</v>
      </c>
      <c r="F436" s="25">
        <v>1</v>
      </c>
      <c r="G436" s="25">
        <v>1</v>
      </c>
      <c r="J436" s="25"/>
    </row>
    <row r="437" spans="1:10" ht="15.75" customHeight="1" x14ac:dyDescent="0.2">
      <c r="A437" s="25">
        <v>436</v>
      </c>
      <c r="B437" s="25">
        <v>0.2576</v>
      </c>
      <c r="C437" s="25">
        <v>0.56000000000000005</v>
      </c>
      <c r="D437" s="25">
        <v>0.16420000000000001</v>
      </c>
      <c r="E437" s="25">
        <v>0</v>
      </c>
      <c r="F437" s="25">
        <v>1</v>
      </c>
      <c r="G437" s="25">
        <v>1</v>
      </c>
      <c r="J437" s="25"/>
    </row>
    <row r="438" spans="1:10" ht="15.75" customHeight="1" x14ac:dyDescent="0.2">
      <c r="A438" s="25">
        <v>437</v>
      </c>
      <c r="B438" s="25">
        <v>0.2273</v>
      </c>
      <c r="C438" s="25">
        <v>0.6</v>
      </c>
      <c r="D438" s="25">
        <v>0.22389999999999999</v>
      </c>
      <c r="E438" s="25">
        <v>0</v>
      </c>
      <c r="F438" s="25">
        <v>6</v>
      </c>
      <c r="G438" s="25">
        <v>6</v>
      </c>
      <c r="J438" s="25"/>
    </row>
    <row r="439" spans="1:10" ht="15.75" customHeight="1" x14ac:dyDescent="0.2">
      <c r="A439" s="25">
        <v>438</v>
      </c>
      <c r="B439" s="25">
        <v>0.21210000000000001</v>
      </c>
      <c r="C439" s="25">
        <v>0.6</v>
      </c>
      <c r="D439" s="25">
        <v>0.22389999999999999</v>
      </c>
      <c r="E439" s="25">
        <v>0</v>
      </c>
      <c r="F439" s="25">
        <v>35</v>
      </c>
      <c r="G439" s="25">
        <v>35</v>
      </c>
      <c r="J439" s="25"/>
    </row>
    <row r="440" spans="1:10" ht="15.75" customHeight="1" x14ac:dyDescent="0.2">
      <c r="A440" s="25">
        <v>439</v>
      </c>
      <c r="B440" s="25">
        <v>0.21210000000000001</v>
      </c>
      <c r="C440" s="25">
        <v>0.55000000000000004</v>
      </c>
      <c r="D440" s="25">
        <v>0.22389999999999999</v>
      </c>
      <c r="E440" s="25">
        <v>1</v>
      </c>
      <c r="F440" s="25">
        <v>100</v>
      </c>
      <c r="G440" s="25">
        <v>101</v>
      </c>
      <c r="J440" s="25"/>
    </row>
    <row r="441" spans="1:10" ht="15.75" customHeight="1" x14ac:dyDescent="0.2">
      <c r="A441" s="25">
        <v>440</v>
      </c>
      <c r="B441" s="25">
        <v>0.21210000000000001</v>
      </c>
      <c r="C441" s="25">
        <v>0.55000000000000004</v>
      </c>
      <c r="D441" s="25">
        <v>0.28360000000000002</v>
      </c>
      <c r="E441" s="25">
        <v>2</v>
      </c>
      <c r="F441" s="25">
        <v>247</v>
      </c>
      <c r="G441" s="25">
        <v>249</v>
      </c>
      <c r="J441" s="25"/>
    </row>
    <row r="442" spans="1:10" ht="15.75" customHeight="1" x14ac:dyDescent="0.2">
      <c r="A442" s="25">
        <v>441</v>
      </c>
      <c r="B442" s="25">
        <v>0.2273</v>
      </c>
      <c r="C442" s="25">
        <v>0.52</v>
      </c>
      <c r="D442" s="25">
        <v>0.22389999999999999</v>
      </c>
      <c r="E442" s="25">
        <v>3</v>
      </c>
      <c r="F442" s="25">
        <v>140</v>
      </c>
      <c r="G442" s="25">
        <v>143</v>
      </c>
      <c r="J442" s="25"/>
    </row>
    <row r="443" spans="1:10" ht="15.75" customHeight="1" x14ac:dyDescent="0.2">
      <c r="A443" s="25">
        <v>442</v>
      </c>
      <c r="B443" s="25">
        <v>0.2273</v>
      </c>
      <c r="C443" s="25">
        <v>0.48</v>
      </c>
      <c r="D443" s="25">
        <v>0.29849999999999999</v>
      </c>
      <c r="E443" s="25">
        <v>1</v>
      </c>
      <c r="F443" s="25">
        <v>56</v>
      </c>
      <c r="G443" s="25">
        <v>57</v>
      </c>
      <c r="J443" s="25"/>
    </row>
    <row r="444" spans="1:10" ht="15.75" customHeight="1" x14ac:dyDescent="0.2">
      <c r="A444" s="25">
        <v>443</v>
      </c>
      <c r="B444" s="25">
        <v>0.2727</v>
      </c>
      <c r="C444" s="25">
        <v>0.45</v>
      </c>
      <c r="D444" s="25">
        <v>0.16420000000000001</v>
      </c>
      <c r="E444" s="25">
        <v>5</v>
      </c>
      <c r="F444" s="25">
        <v>63</v>
      </c>
      <c r="G444" s="25">
        <v>68</v>
      </c>
      <c r="J444" s="25"/>
    </row>
    <row r="445" spans="1:10" ht="15.75" customHeight="1" x14ac:dyDescent="0.2">
      <c r="A445" s="25">
        <v>444</v>
      </c>
      <c r="B445" s="25">
        <v>0.33329999999999999</v>
      </c>
      <c r="C445" s="25">
        <v>0.42</v>
      </c>
      <c r="D445" s="25">
        <v>0</v>
      </c>
      <c r="E445" s="25">
        <v>7</v>
      </c>
      <c r="F445" s="25">
        <v>77</v>
      </c>
      <c r="G445" s="25">
        <v>84</v>
      </c>
      <c r="J445" s="25"/>
    </row>
    <row r="446" spans="1:10" ht="15.75" customHeight="1" x14ac:dyDescent="0.2">
      <c r="A446" s="25">
        <v>445</v>
      </c>
      <c r="B446" s="25">
        <v>0.28789999999999999</v>
      </c>
      <c r="C446" s="25">
        <v>0.45</v>
      </c>
      <c r="D446" s="25">
        <v>0.1045</v>
      </c>
      <c r="E446" s="25">
        <v>12</v>
      </c>
      <c r="F446" s="25">
        <v>86</v>
      </c>
      <c r="G446" s="25">
        <v>98</v>
      </c>
      <c r="J446" s="25"/>
    </row>
    <row r="447" spans="1:10" ht="15.75" customHeight="1" x14ac:dyDescent="0.2">
      <c r="A447" s="25">
        <v>446</v>
      </c>
      <c r="B447" s="25">
        <v>0.30299999999999999</v>
      </c>
      <c r="C447" s="25">
        <v>0.45</v>
      </c>
      <c r="D447" s="25">
        <v>0.1343</v>
      </c>
      <c r="E447" s="25">
        <v>6</v>
      </c>
      <c r="F447" s="25">
        <v>75</v>
      </c>
      <c r="G447" s="25">
        <v>81</v>
      </c>
      <c r="J447" s="25"/>
    </row>
    <row r="448" spans="1:10" ht="15.75" customHeight="1" x14ac:dyDescent="0.2">
      <c r="A448" s="25">
        <v>447</v>
      </c>
      <c r="B448" s="25">
        <v>0.31819999999999998</v>
      </c>
      <c r="C448" s="25">
        <v>0.45</v>
      </c>
      <c r="D448" s="25">
        <v>0.19400000000000001</v>
      </c>
      <c r="E448" s="25">
        <v>8</v>
      </c>
      <c r="F448" s="25">
        <v>62</v>
      </c>
      <c r="G448" s="25">
        <v>70</v>
      </c>
      <c r="J448" s="25"/>
    </row>
    <row r="449" spans="1:10" ht="15.75" customHeight="1" x14ac:dyDescent="0.2">
      <c r="A449" s="25">
        <v>448</v>
      </c>
      <c r="B449" s="25">
        <v>0.30299999999999999</v>
      </c>
      <c r="C449" s="25">
        <v>0.49</v>
      </c>
      <c r="D449" s="25">
        <v>0.1343</v>
      </c>
      <c r="E449" s="25">
        <v>8</v>
      </c>
      <c r="F449" s="25">
        <v>83</v>
      </c>
      <c r="G449" s="25">
        <v>91</v>
      </c>
      <c r="J449" s="25"/>
    </row>
    <row r="450" spans="1:10" ht="15.75" customHeight="1" x14ac:dyDescent="0.2">
      <c r="A450" s="25">
        <v>449</v>
      </c>
      <c r="B450" s="25">
        <v>0.31819999999999998</v>
      </c>
      <c r="C450" s="25">
        <v>0.49</v>
      </c>
      <c r="D450" s="25">
        <v>0.1045</v>
      </c>
      <c r="E450" s="25">
        <v>8</v>
      </c>
      <c r="F450" s="25">
        <v>207</v>
      </c>
      <c r="G450" s="25">
        <v>215</v>
      </c>
      <c r="J450" s="25"/>
    </row>
    <row r="451" spans="1:10" ht="15.75" customHeight="1" x14ac:dyDescent="0.2">
      <c r="A451" s="25">
        <v>450</v>
      </c>
      <c r="B451" s="25">
        <v>0.2576</v>
      </c>
      <c r="C451" s="25">
        <v>0.56000000000000005</v>
      </c>
      <c r="D451" s="25">
        <v>0.19400000000000001</v>
      </c>
      <c r="E451" s="25">
        <v>1</v>
      </c>
      <c r="F451" s="25">
        <v>184</v>
      </c>
      <c r="G451" s="25">
        <v>185</v>
      </c>
      <c r="J451" s="25"/>
    </row>
    <row r="452" spans="1:10" ht="15.75" customHeight="1" x14ac:dyDescent="0.2">
      <c r="A452" s="25">
        <v>451</v>
      </c>
      <c r="B452" s="25">
        <v>0.2273</v>
      </c>
      <c r="C452" s="25">
        <v>0.56000000000000005</v>
      </c>
      <c r="D452" s="25">
        <v>0.32840000000000003</v>
      </c>
      <c r="E452" s="25">
        <v>6</v>
      </c>
      <c r="F452" s="25">
        <v>146</v>
      </c>
      <c r="G452" s="25">
        <v>152</v>
      </c>
      <c r="J452" s="25"/>
    </row>
    <row r="453" spans="1:10" ht="15.75" customHeight="1" x14ac:dyDescent="0.2">
      <c r="A453" s="25">
        <v>452</v>
      </c>
      <c r="B453" s="25">
        <v>0.2424</v>
      </c>
      <c r="C453" s="25">
        <v>0.6</v>
      </c>
      <c r="D453" s="25">
        <v>0.28360000000000002</v>
      </c>
      <c r="E453" s="25">
        <v>2</v>
      </c>
      <c r="F453" s="25">
        <v>124</v>
      </c>
      <c r="G453" s="25">
        <v>126</v>
      </c>
      <c r="J453" s="25"/>
    </row>
    <row r="454" spans="1:10" ht="15.75" customHeight="1" x14ac:dyDescent="0.2">
      <c r="A454" s="25">
        <v>453</v>
      </c>
      <c r="B454" s="25">
        <v>0.2273</v>
      </c>
      <c r="C454" s="25">
        <v>0.6</v>
      </c>
      <c r="D454" s="25">
        <v>0.25369999999999998</v>
      </c>
      <c r="E454" s="25">
        <v>3</v>
      </c>
      <c r="F454" s="25">
        <v>54</v>
      </c>
      <c r="G454" s="25">
        <v>57</v>
      </c>
      <c r="J454" s="25"/>
    </row>
    <row r="455" spans="1:10" ht="15.75" customHeight="1" x14ac:dyDescent="0.2">
      <c r="A455" s="25">
        <v>454</v>
      </c>
      <c r="B455" s="25">
        <v>0.21210000000000001</v>
      </c>
      <c r="C455" s="25">
        <v>0.65</v>
      </c>
      <c r="D455" s="25">
        <v>0.28360000000000002</v>
      </c>
      <c r="E455" s="25">
        <v>0</v>
      </c>
      <c r="F455" s="25">
        <v>56</v>
      </c>
      <c r="G455" s="25">
        <v>56</v>
      </c>
      <c r="J455" s="25"/>
    </row>
    <row r="456" spans="1:10" ht="15.75" customHeight="1" x14ac:dyDescent="0.2">
      <c r="A456" s="25">
        <v>455</v>
      </c>
      <c r="B456" s="25">
        <v>0.21210000000000001</v>
      </c>
      <c r="C456" s="25">
        <v>0.65</v>
      </c>
      <c r="D456" s="25">
        <v>0.32840000000000003</v>
      </c>
      <c r="E456" s="25">
        <v>3</v>
      </c>
      <c r="F456" s="25">
        <v>28</v>
      </c>
      <c r="G456" s="25">
        <v>31</v>
      </c>
      <c r="J456" s="25"/>
    </row>
    <row r="457" spans="1:10" ht="15.75" customHeight="1" x14ac:dyDescent="0.2">
      <c r="A457" s="25">
        <v>456</v>
      </c>
      <c r="B457" s="25">
        <v>0.2273</v>
      </c>
      <c r="C457" s="25">
        <v>0.7</v>
      </c>
      <c r="D457" s="25">
        <v>0.25369999999999998</v>
      </c>
      <c r="E457" s="25">
        <v>1</v>
      </c>
      <c r="F457" s="25">
        <v>20</v>
      </c>
      <c r="G457" s="25">
        <v>21</v>
      </c>
      <c r="J457" s="25"/>
    </row>
    <row r="458" spans="1:10" ht="15.75" customHeight="1" x14ac:dyDescent="0.2">
      <c r="A458" s="25">
        <v>457</v>
      </c>
      <c r="B458" s="25">
        <v>0.2273</v>
      </c>
      <c r="C458" s="25">
        <v>0.7</v>
      </c>
      <c r="D458" s="25">
        <v>0.25369999999999998</v>
      </c>
      <c r="E458" s="25">
        <v>0</v>
      </c>
      <c r="F458" s="25">
        <v>6</v>
      </c>
      <c r="G458" s="25">
        <v>6</v>
      </c>
      <c r="J458" s="25"/>
    </row>
    <row r="459" spans="1:10" ht="15.75" customHeight="1" x14ac:dyDescent="0.2">
      <c r="A459" s="25">
        <v>458</v>
      </c>
      <c r="B459" s="25">
        <v>0.2424</v>
      </c>
      <c r="C459" s="25">
        <v>0.75</v>
      </c>
      <c r="D459" s="25">
        <v>0.16420000000000001</v>
      </c>
      <c r="E459" s="25">
        <v>0</v>
      </c>
      <c r="F459" s="25">
        <v>2</v>
      </c>
      <c r="G459" s="25">
        <v>2</v>
      </c>
      <c r="J459" s="25"/>
    </row>
    <row r="460" spans="1:10" ht="15.75" customHeight="1" x14ac:dyDescent="0.2">
      <c r="A460" s="25">
        <v>459</v>
      </c>
      <c r="B460" s="25">
        <v>0.21210000000000001</v>
      </c>
      <c r="C460" s="25">
        <v>0.8</v>
      </c>
      <c r="D460" s="25">
        <v>0.29849999999999999</v>
      </c>
      <c r="E460" s="25">
        <v>0</v>
      </c>
      <c r="F460" s="25">
        <v>1</v>
      </c>
      <c r="G460" s="25">
        <v>1</v>
      </c>
      <c r="J460" s="25"/>
    </row>
    <row r="461" spans="1:10" ht="15.75" customHeight="1" x14ac:dyDescent="0.2">
      <c r="A461" s="25">
        <v>460</v>
      </c>
      <c r="B461" s="25">
        <v>0.2576</v>
      </c>
      <c r="C461" s="25">
        <v>0.87</v>
      </c>
      <c r="D461" s="25">
        <v>8.9599999999999999E-2</v>
      </c>
      <c r="E461" s="25">
        <v>0</v>
      </c>
      <c r="F461" s="25">
        <v>1</v>
      </c>
      <c r="G461" s="25">
        <v>1</v>
      </c>
      <c r="J461" s="25"/>
    </row>
    <row r="462" spans="1:10" ht="15.75" customHeight="1" x14ac:dyDescent="0.2">
      <c r="A462" s="25">
        <v>461</v>
      </c>
      <c r="B462" s="25">
        <v>0.19700000000000001</v>
      </c>
      <c r="C462" s="25">
        <v>0.6</v>
      </c>
      <c r="D462" s="25">
        <v>0.41789999999999999</v>
      </c>
      <c r="E462" s="25">
        <v>1</v>
      </c>
      <c r="F462" s="25">
        <v>4</v>
      </c>
      <c r="G462" s="25">
        <v>5</v>
      </c>
      <c r="J462" s="25"/>
    </row>
    <row r="463" spans="1:10" ht="15.75" customHeight="1" x14ac:dyDescent="0.2">
      <c r="A463" s="25">
        <v>462</v>
      </c>
      <c r="B463" s="25">
        <v>0.21210000000000001</v>
      </c>
      <c r="C463" s="25">
        <v>0.55000000000000004</v>
      </c>
      <c r="D463" s="25">
        <v>0.25369999999999998</v>
      </c>
      <c r="E463" s="25">
        <v>0</v>
      </c>
      <c r="F463" s="25">
        <v>27</v>
      </c>
      <c r="G463" s="25">
        <v>27</v>
      </c>
      <c r="J463" s="25"/>
    </row>
    <row r="464" spans="1:10" ht="15.75" customHeight="1" x14ac:dyDescent="0.2">
      <c r="A464" s="25">
        <v>463</v>
      </c>
      <c r="B464" s="25">
        <v>0.18179999999999999</v>
      </c>
      <c r="C464" s="25">
        <v>0.51</v>
      </c>
      <c r="D464" s="25">
        <v>0.28360000000000002</v>
      </c>
      <c r="E464" s="25">
        <v>2</v>
      </c>
      <c r="F464" s="25">
        <v>66</v>
      </c>
      <c r="G464" s="25">
        <v>68</v>
      </c>
      <c r="J464" s="25"/>
    </row>
    <row r="465" spans="1:10" ht="15.75" customHeight="1" x14ac:dyDescent="0.2">
      <c r="A465" s="25">
        <v>464</v>
      </c>
      <c r="B465" s="25">
        <v>0.18179999999999999</v>
      </c>
      <c r="C465" s="25">
        <v>0.47</v>
      </c>
      <c r="D465" s="25">
        <v>0.32840000000000003</v>
      </c>
      <c r="E465" s="25">
        <v>7</v>
      </c>
      <c r="F465" s="25">
        <v>210</v>
      </c>
      <c r="G465" s="25">
        <v>217</v>
      </c>
      <c r="J465" s="25"/>
    </row>
    <row r="466" spans="1:10" ht="15.75" customHeight="1" x14ac:dyDescent="0.2">
      <c r="A466" s="25">
        <v>465</v>
      </c>
      <c r="B466" s="25">
        <v>0.18179999999999999</v>
      </c>
      <c r="C466" s="25">
        <v>0.51</v>
      </c>
      <c r="D466" s="25">
        <v>0.35820000000000002</v>
      </c>
      <c r="E466" s="25">
        <v>7</v>
      </c>
      <c r="F466" s="25">
        <v>159</v>
      </c>
      <c r="G466" s="25">
        <v>166</v>
      </c>
      <c r="J466" s="25"/>
    </row>
    <row r="467" spans="1:10" ht="15.75" customHeight="1" x14ac:dyDescent="0.2">
      <c r="A467" s="25">
        <v>466</v>
      </c>
      <c r="B467" s="25">
        <v>0.16669999999999999</v>
      </c>
      <c r="C467" s="25">
        <v>0.47</v>
      </c>
      <c r="D467" s="25">
        <v>0.4627</v>
      </c>
      <c r="E467" s="25">
        <v>6</v>
      </c>
      <c r="F467" s="25">
        <v>57</v>
      </c>
      <c r="G467" s="25">
        <v>63</v>
      </c>
      <c r="J467" s="25"/>
    </row>
    <row r="468" spans="1:10" ht="15.75" customHeight="1" x14ac:dyDescent="0.2">
      <c r="A468" s="25">
        <v>467</v>
      </c>
      <c r="B468" s="25">
        <v>0.18179999999999999</v>
      </c>
      <c r="C468" s="25">
        <v>0.41</v>
      </c>
      <c r="D468" s="25">
        <v>0.4627</v>
      </c>
      <c r="E468" s="25">
        <v>6</v>
      </c>
      <c r="F468" s="25">
        <v>53</v>
      </c>
      <c r="G468" s="25">
        <v>59</v>
      </c>
      <c r="J468" s="25"/>
    </row>
    <row r="469" spans="1:10" ht="15.75" customHeight="1" x14ac:dyDescent="0.2">
      <c r="A469" s="25">
        <v>468</v>
      </c>
      <c r="B469" s="25">
        <v>0.18179999999999999</v>
      </c>
      <c r="C469" s="25">
        <v>0.27</v>
      </c>
      <c r="D469" s="25">
        <v>0.58209999999999995</v>
      </c>
      <c r="E469" s="25">
        <v>11</v>
      </c>
      <c r="F469" s="25">
        <v>67</v>
      </c>
      <c r="G469" s="25">
        <v>78</v>
      </c>
      <c r="J469" s="25"/>
    </row>
    <row r="470" spans="1:10" ht="15.75" customHeight="1" x14ac:dyDescent="0.2">
      <c r="A470" s="25">
        <v>469</v>
      </c>
      <c r="B470" s="25">
        <v>0.1515</v>
      </c>
      <c r="C470" s="25">
        <v>0.21</v>
      </c>
      <c r="D470" s="25">
        <v>0.58209999999999995</v>
      </c>
      <c r="E470" s="25">
        <v>8</v>
      </c>
      <c r="F470" s="25">
        <v>65</v>
      </c>
      <c r="G470" s="25">
        <v>73</v>
      </c>
      <c r="J470" s="25"/>
    </row>
    <row r="471" spans="1:10" ht="15.75" customHeight="1" x14ac:dyDescent="0.2">
      <c r="A471" s="25">
        <v>470</v>
      </c>
      <c r="B471" s="25">
        <v>0.1515</v>
      </c>
      <c r="C471" s="25">
        <v>0.25</v>
      </c>
      <c r="D471" s="25">
        <v>0.52239999999999998</v>
      </c>
      <c r="E471" s="25">
        <v>6</v>
      </c>
      <c r="F471" s="25">
        <v>56</v>
      </c>
      <c r="G471" s="25">
        <v>62</v>
      </c>
      <c r="J471" s="25"/>
    </row>
    <row r="472" spans="1:10" ht="15.75" customHeight="1" x14ac:dyDescent="0.2">
      <c r="A472" s="25">
        <v>471</v>
      </c>
      <c r="B472" s="25">
        <v>0.1212</v>
      </c>
      <c r="C472" s="25">
        <v>0.26</v>
      </c>
      <c r="D472" s="25">
        <v>0.44779999999999998</v>
      </c>
      <c r="E472" s="25">
        <v>4</v>
      </c>
      <c r="F472" s="25">
        <v>61</v>
      </c>
      <c r="G472" s="25">
        <v>65</v>
      </c>
      <c r="J472" s="25"/>
    </row>
    <row r="473" spans="1:10" ht="15.75" customHeight="1" x14ac:dyDescent="0.2">
      <c r="A473" s="25">
        <v>472</v>
      </c>
      <c r="B473" s="25">
        <v>0.13639999999999999</v>
      </c>
      <c r="C473" s="25">
        <v>0.26</v>
      </c>
      <c r="D473" s="25">
        <v>0.35820000000000002</v>
      </c>
      <c r="E473" s="25">
        <v>0</v>
      </c>
      <c r="F473" s="25">
        <v>97</v>
      </c>
      <c r="G473" s="25">
        <v>97</v>
      </c>
      <c r="J473" s="25"/>
    </row>
    <row r="474" spans="1:10" ht="15.75" customHeight="1" x14ac:dyDescent="0.2">
      <c r="A474" s="25">
        <v>473</v>
      </c>
      <c r="B474" s="25">
        <v>0.1212</v>
      </c>
      <c r="C474" s="25">
        <v>0.28000000000000003</v>
      </c>
      <c r="D474" s="25">
        <v>0.35820000000000002</v>
      </c>
      <c r="E474" s="25">
        <v>10</v>
      </c>
      <c r="F474" s="25">
        <v>151</v>
      </c>
      <c r="G474" s="25">
        <v>161</v>
      </c>
      <c r="J474" s="25"/>
    </row>
    <row r="475" spans="1:10" ht="15.75" customHeight="1" x14ac:dyDescent="0.2">
      <c r="A475" s="25">
        <v>474</v>
      </c>
      <c r="B475" s="25">
        <v>0.1212</v>
      </c>
      <c r="C475" s="25">
        <v>0.3</v>
      </c>
      <c r="D475" s="25">
        <v>0.25369999999999998</v>
      </c>
      <c r="E475" s="25">
        <v>1</v>
      </c>
      <c r="F475" s="25">
        <v>119</v>
      </c>
      <c r="G475" s="25">
        <v>120</v>
      </c>
      <c r="J475" s="25"/>
    </row>
    <row r="476" spans="1:10" ht="15.75" customHeight="1" x14ac:dyDescent="0.2">
      <c r="A476" s="25">
        <v>475</v>
      </c>
      <c r="B476" s="25">
        <v>0.1061</v>
      </c>
      <c r="C476" s="25">
        <v>0.3</v>
      </c>
      <c r="D476" s="25">
        <v>0.32840000000000003</v>
      </c>
      <c r="E476" s="25">
        <v>3</v>
      </c>
      <c r="F476" s="25">
        <v>93</v>
      </c>
      <c r="G476" s="25">
        <v>96</v>
      </c>
      <c r="J476" s="25"/>
    </row>
    <row r="477" spans="1:10" ht="15.75" customHeight="1" x14ac:dyDescent="0.2">
      <c r="A477" s="25">
        <v>476</v>
      </c>
      <c r="B477" s="25">
        <v>7.5800000000000006E-2</v>
      </c>
      <c r="C477" s="25">
        <v>0.33</v>
      </c>
      <c r="D477" s="25">
        <v>0.41789999999999999</v>
      </c>
      <c r="E477" s="25">
        <v>1</v>
      </c>
      <c r="F477" s="25">
        <v>52</v>
      </c>
      <c r="G477" s="25">
        <v>53</v>
      </c>
      <c r="J477" s="25"/>
    </row>
    <row r="478" spans="1:10" ht="15.75" customHeight="1" x14ac:dyDescent="0.2">
      <c r="A478" s="25">
        <v>477</v>
      </c>
      <c r="B478" s="25">
        <v>7.5800000000000006E-2</v>
      </c>
      <c r="C478" s="25">
        <v>0.38</v>
      </c>
      <c r="D478" s="25">
        <v>0.28360000000000002</v>
      </c>
      <c r="E478" s="25">
        <v>0</v>
      </c>
      <c r="F478" s="25">
        <v>41</v>
      </c>
      <c r="G478" s="25">
        <v>41</v>
      </c>
      <c r="J478" s="25"/>
    </row>
    <row r="479" spans="1:10" ht="15.75" customHeight="1" x14ac:dyDescent="0.2">
      <c r="A479" s="25">
        <v>478</v>
      </c>
      <c r="B479" s="25">
        <v>3.0300000000000001E-2</v>
      </c>
      <c r="C479" s="25">
        <v>0.41</v>
      </c>
      <c r="D479" s="25">
        <v>0.3881</v>
      </c>
      <c r="E479" s="25">
        <v>1</v>
      </c>
      <c r="F479" s="25">
        <v>33</v>
      </c>
      <c r="G479" s="25">
        <v>34</v>
      </c>
      <c r="J479" s="25"/>
    </row>
    <row r="480" spans="1:10" ht="15.75" customHeight="1" x14ac:dyDescent="0.2">
      <c r="A480" s="25">
        <v>479</v>
      </c>
      <c r="B480" s="25">
        <v>4.5499999999999999E-2</v>
      </c>
      <c r="C480" s="25">
        <v>0.38</v>
      </c>
      <c r="D480" s="25">
        <v>0.32840000000000003</v>
      </c>
      <c r="E480" s="25">
        <v>0</v>
      </c>
      <c r="F480" s="25">
        <v>27</v>
      </c>
      <c r="G480" s="25">
        <v>27</v>
      </c>
      <c r="J480" s="25"/>
    </row>
    <row r="481" spans="1:10" ht="15.75" customHeight="1" x14ac:dyDescent="0.2">
      <c r="A481" s="25">
        <v>480</v>
      </c>
      <c r="B481" s="25">
        <v>3.0300000000000001E-2</v>
      </c>
      <c r="C481" s="25">
        <v>0.45</v>
      </c>
      <c r="D481" s="25">
        <v>0.25369999999999998</v>
      </c>
      <c r="E481" s="25">
        <v>0</v>
      </c>
      <c r="F481" s="25">
        <v>13</v>
      </c>
      <c r="G481" s="25">
        <v>13</v>
      </c>
      <c r="J481" s="25"/>
    </row>
    <row r="482" spans="1:10" ht="15.75" customHeight="1" x14ac:dyDescent="0.2">
      <c r="A482" s="25">
        <v>481</v>
      </c>
      <c r="B482" s="25">
        <v>0</v>
      </c>
      <c r="C482" s="25">
        <v>0.41</v>
      </c>
      <c r="D482" s="25">
        <v>0.3881</v>
      </c>
      <c r="E482" s="25">
        <v>3</v>
      </c>
      <c r="F482" s="25">
        <v>9</v>
      </c>
      <c r="G482" s="25">
        <v>12</v>
      </c>
      <c r="J482" s="25"/>
    </row>
    <row r="483" spans="1:10" ht="15.75" customHeight="1" x14ac:dyDescent="0.2">
      <c r="A483" s="25">
        <v>482</v>
      </c>
      <c r="B483" s="25">
        <v>3.0300000000000001E-2</v>
      </c>
      <c r="C483" s="25">
        <v>0.41</v>
      </c>
      <c r="D483" s="25">
        <v>0.25369999999999998</v>
      </c>
      <c r="E483" s="25">
        <v>0</v>
      </c>
      <c r="F483" s="25">
        <v>11</v>
      </c>
      <c r="G483" s="25">
        <v>11</v>
      </c>
      <c r="J483" s="25"/>
    </row>
    <row r="484" spans="1:10" ht="15.75" customHeight="1" x14ac:dyDescent="0.2">
      <c r="A484" s="25">
        <v>483</v>
      </c>
      <c r="B484" s="25">
        <v>3.0300000000000001E-2</v>
      </c>
      <c r="C484" s="25">
        <v>0.41</v>
      </c>
      <c r="D484" s="25">
        <v>0.28360000000000002</v>
      </c>
      <c r="E484" s="25">
        <v>1</v>
      </c>
      <c r="F484" s="25">
        <v>6</v>
      </c>
      <c r="G484" s="25">
        <v>7</v>
      </c>
      <c r="J484" s="25"/>
    </row>
    <row r="485" spans="1:10" ht="15.75" customHeight="1" x14ac:dyDescent="0.2">
      <c r="A485" s="25">
        <v>484</v>
      </c>
      <c r="B485" s="25">
        <v>1.52E-2</v>
      </c>
      <c r="C485" s="25">
        <v>0.48</v>
      </c>
      <c r="D485" s="25">
        <v>0.29849999999999999</v>
      </c>
      <c r="E485" s="25">
        <v>0</v>
      </c>
      <c r="F485" s="25">
        <v>3</v>
      </c>
      <c r="G485" s="25">
        <v>3</v>
      </c>
      <c r="J485" s="25"/>
    </row>
    <row r="486" spans="1:10" ht="15.75" customHeight="1" x14ac:dyDescent="0.2">
      <c r="A486" s="25">
        <v>485</v>
      </c>
      <c r="B486" s="25">
        <v>3.0300000000000001E-2</v>
      </c>
      <c r="C486" s="25">
        <v>0.44</v>
      </c>
      <c r="D486" s="25">
        <v>0.22389999999999999</v>
      </c>
      <c r="E486" s="25">
        <v>0</v>
      </c>
      <c r="F486" s="25">
        <v>2</v>
      </c>
      <c r="G486" s="25">
        <v>2</v>
      </c>
      <c r="J486" s="25"/>
    </row>
    <row r="487" spans="1:10" ht="15.75" customHeight="1" x14ac:dyDescent="0.2">
      <c r="A487" s="25">
        <v>486</v>
      </c>
      <c r="B487" s="25">
        <v>1.52E-2</v>
      </c>
      <c r="C487" s="25">
        <v>0.44</v>
      </c>
      <c r="D487" s="25">
        <v>0.28360000000000002</v>
      </c>
      <c r="E487" s="25">
        <v>0</v>
      </c>
      <c r="F487" s="25">
        <v>8</v>
      </c>
      <c r="G487" s="25">
        <v>8</v>
      </c>
      <c r="J487" s="25"/>
    </row>
    <row r="488" spans="1:10" ht="15.75" customHeight="1" x14ac:dyDescent="0.2">
      <c r="A488" s="25">
        <v>487</v>
      </c>
      <c r="B488" s="25">
        <v>0</v>
      </c>
      <c r="C488" s="25">
        <v>0.44</v>
      </c>
      <c r="D488" s="25">
        <v>0.32840000000000003</v>
      </c>
      <c r="E488" s="25">
        <v>1</v>
      </c>
      <c r="F488" s="25">
        <v>26</v>
      </c>
      <c r="G488" s="25">
        <v>27</v>
      </c>
      <c r="J488" s="25"/>
    </row>
    <row r="489" spans="1:10" ht="15.75" customHeight="1" x14ac:dyDescent="0.2">
      <c r="A489" s="25">
        <v>488</v>
      </c>
      <c r="B489" s="25">
        <v>3.0300000000000001E-2</v>
      </c>
      <c r="C489" s="25">
        <v>0.41</v>
      </c>
      <c r="D489" s="25">
        <v>0.25369999999999998</v>
      </c>
      <c r="E489" s="25">
        <v>3</v>
      </c>
      <c r="F489" s="25">
        <v>37</v>
      </c>
      <c r="G489" s="25">
        <v>40</v>
      </c>
      <c r="J489" s="25"/>
    </row>
    <row r="490" spans="1:10" ht="15.75" customHeight="1" x14ac:dyDescent="0.2">
      <c r="A490" s="25">
        <v>489</v>
      </c>
      <c r="B490" s="25">
        <v>6.0600000000000001E-2</v>
      </c>
      <c r="C490" s="25">
        <v>0.41</v>
      </c>
      <c r="D490" s="25">
        <v>0.16420000000000001</v>
      </c>
      <c r="E490" s="25">
        <v>3</v>
      </c>
      <c r="F490" s="25">
        <v>50</v>
      </c>
      <c r="G490" s="25">
        <v>53</v>
      </c>
      <c r="J490" s="25"/>
    </row>
    <row r="491" spans="1:10" ht="15.75" customHeight="1" x14ac:dyDescent="0.2">
      <c r="A491" s="25">
        <v>490</v>
      </c>
      <c r="B491" s="25">
        <v>7.5800000000000006E-2</v>
      </c>
      <c r="C491" s="25">
        <v>0.38</v>
      </c>
      <c r="D491" s="25">
        <v>0.1343</v>
      </c>
      <c r="E491" s="25">
        <v>4</v>
      </c>
      <c r="F491" s="25">
        <v>59</v>
      </c>
      <c r="G491" s="25">
        <v>63</v>
      </c>
      <c r="J491" s="25"/>
    </row>
    <row r="492" spans="1:10" ht="15.75" customHeight="1" x14ac:dyDescent="0.2">
      <c r="A492" s="25">
        <v>491</v>
      </c>
      <c r="B492" s="25">
        <v>0.1061</v>
      </c>
      <c r="C492" s="25">
        <v>0.38</v>
      </c>
      <c r="D492" s="25">
        <v>0.1045</v>
      </c>
      <c r="E492" s="25">
        <v>10</v>
      </c>
      <c r="F492" s="25">
        <v>60</v>
      </c>
      <c r="G492" s="25">
        <v>70</v>
      </c>
      <c r="J492" s="25"/>
    </row>
    <row r="493" spans="1:10" ht="15.75" customHeight="1" x14ac:dyDescent="0.2">
      <c r="A493" s="25">
        <v>492</v>
      </c>
      <c r="B493" s="25">
        <v>0.16669999999999999</v>
      </c>
      <c r="C493" s="25">
        <v>0.35</v>
      </c>
      <c r="D493" s="25">
        <v>0</v>
      </c>
      <c r="E493" s="25">
        <v>12</v>
      </c>
      <c r="F493" s="25">
        <v>72</v>
      </c>
      <c r="G493" s="25">
        <v>84</v>
      </c>
      <c r="J493" s="25"/>
    </row>
    <row r="494" spans="1:10" ht="15.75" customHeight="1" x14ac:dyDescent="0.2">
      <c r="A494" s="25">
        <v>493</v>
      </c>
      <c r="B494" s="25">
        <v>0.13639999999999999</v>
      </c>
      <c r="C494" s="25">
        <v>0.33</v>
      </c>
      <c r="D494" s="25">
        <v>0.1045</v>
      </c>
      <c r="E494" s="25">
        <v>11</v>
      </c>
      <c r="F494" s="25">
        <v>64</v>
      </c>
      <c r="G494" s="25">
        <v>75</v>
      </c>
      <c r="J494" s="25"/>
    </row>
    <row r="495" spans="1:10" ht="15.75" customHeight="1" x14ac:dyDescent="0.2">
      <c r="A495" s="25">
        <v>494</v>
      </c>
      <c r="B495" s="25">
        <v>0.1515</v>
      </c>
      <c r="C495" s="25">
        <v>0.28000000000000003</v>
      </c>
      <c r="D495" s="25">
        <v>0</v>
      </c>
      <c r="E495" s="25">
        <v>10</v>
      </c>
      <c r="F495" s="25">
        <v>93</v>
      </c>
      <c r="G495" s="25">
        <v>103</v>
      </c>
      <c r="J495" s="25"/>
    </row>
    <row r="496" spans="1:10" ht="15.75" customHeight="1" x14ac:dyDescent="0.2">
      <c r="A496" s="25">
        <v>495</v>
      </c>
      <c r="B496" s="25">
        <v>0.13639999999999999</v>
      </c>
      <c r="C496" s="25">
        <v>0.28000000000000003</v>
      </c>
      <c r="D496" s="25">
        <v>0.19400000000000001</v>
      </c>
      <c r="E496" s="25">
        <v>11</v>
      </c>
      <c r="F496" s="25">
        <v>72</v>
      </c>
      <c r="G496" s="25">
        <v>83</v>
      </c>
      <c r="J496" s="25"/>
    </row>
    <row r="497" spans="1:10" ht="15.75" customHeight="1" x14ac:dyDescent="0.2">
      <c r="A497" s="25">
        <v>496</v>
      </c>
      <c r="B497" s="25">
        <v>0.19700000000000001</v>
      </c>
      <c r="C497" s="25">
        <v>0.28000000000000003</v>
      </c>
      <c r="D497" s="25">
        <v>0</v>
      </c>
      <c r="E497" s="25">
        <v>8</v>
      </c>
      <c r="F497" s="25">
        <v>59</v>
      </c>
      <c r="G497" s="25">
        <v>67</v>
      </c>
      <c r="J497" s="25"/>
    </row>
    <row r="498" spans="1:10" ht="15.75" customHeight="1" x14ac:dyDescent="0.2">
      <c r="A498" s="25">
        <v>497</v>
      </c>
      <c r="B498" s="25">
        <v>9.0899999999999995E-2</v>
      </c>
      <c r="C498" s="25">
        <v>0.35</v>
      </c>
      <c r="D498" s="25">
        <v>0.19400000000000001</v>
      </c>
      <c r="E498" s="25">
        <v>0</v>
      </c>
      <c r="F498" s="25">
        <v>54</v>
      </c>
      <c r="G498" s="25">
        <v>54</v>
      </c>
      <c r="J498" s="25"/>
    </row>
    <row r="499" spans="1:10" ht="15.75" customHeight="1" x14ac:dyDescent="0.2">
      <c r="A499" s="25">
        <v>498</v>
      </c>
      <c r="B499" s="25">
        <v>0.1061</v>
      </c>
      <c r="C499" s="25">
        <v>0.35</v>
      </c>
      <c r="D499" s="25">
        <v>0.1343</v>
      </c>
      <c r="E499" s="25">
        <v>6</v>
      </c>
      <c r="F499" s="25">
        <v>53</v>
      </c>
      <c r="G499" s="25">
        <v>59</v>
      </c>
      <c r="J499" s="25"/>
    </row>
    <row r="500" spans="1:10" ht="15.75" customHeight="1" x14ac:dyDescent="0.2">
      <c r="A500" s="25">
        <v>499</v>
      </c>
      <c r="B500" s="25">
        <v>7.5800000000000006E-2</v>
      </c>
      <c r="C500" s="25">
        <v>0.45</v>
      </c>
      <c r="D500" s="25">
        <v>0.16420000000000001</v>
      </c>
      <c r="E500" s="25">
        <v>1</v>
      </c>
      <c r="F500" s="25">
        <v>44</v>
      </c>
      <c r="G500" s="25">
        <v>45</v>
      </c>
      <c r="J500" s="25"/>
    </row>
    <row r="501" spans="1:10" ht="15.75" customHeight="1" x14ac:dyDescent="0.2">
      <c r="A501" s="25">
        <v>500</v>
      </c>
      <c r="B501" s="25">
        <v>0.1061</v>
      </c>
      <c r="C501" s="25">
        <v>0.41</v>
      </c>
      <c r="D501" s="25">
        <v>8.9599999999999999E-2</v>
      </c>
      <c r="E501" s="25">
        <v>0</v>
      </c>
      <c r="F501" s="25">
        <v>39</v>
      </c>
      <c r="G501" s="25">
        <v>39</v>
      </c>
      <c r="J501" s="25"/>
    </row>
    <row r="502" spans="1:10" ht="15.75" customHeight="1" x14ac:dyDescent="0.2">
      <c r="A502" s="25">
        <v>501</v>
      </c>
      <c r="B502" s="25">
        <v>0.1515</v>
      </c>
      <c r="C502" s="25">
        <v>0.49</v>
      </c>
      <c r="D502" s="25">
        <v>0</v>
      </c>
      <c r="E502" s="25">
        <v>7</v>
      </c>
      <c r="F502" s="25">
        <v>23</v>
      </c>
      <c r="G502" s="25">
        <v>30</v>
      </c>
      <c r="J502" s="25"/>
    </row>
    <row r="503" spans="1:10" ht="15.75" customHeight="1" x14ac:dyDescent="0.2">
      <c r="A503" s="25">
        <v>502</v>
      </c>
      <c r="B503" s="25">
        <v>7.5800000000000006E-2</v>
      </c>
      <c r="C503" s="25">
        <v>0.56999999999999995</v>
      </c>
      <c r="D503" s="25">
        <v>0.1045</v>
      </c>
      <c r="E503" s="25">
        <v>2</v>
      </c>
      <c r="F503" s="25">
        <v>31</v>
      </c>
      <c r="G503" s="25">
        <v>33</v>
      </c>
      <c r="J503" s="25"/>
    </row>
    <row r="504" spans="1:10" ht="15.75" customHeight="1" x14ac:dyDescent="0.2">
      <c r="A504" s="25">
        <v>503</v>
      </c>
      <c r="B504" s="25">
        <v>7.5800000000000006E-2</v>
      </c>
      <c r="C504" s="25">
        <v>0.56999999999999995</v>
      </c>
      <c r="D504" s="25">
        <v>0.1045</v>
      </c>
      <c r="E504" s="25">
        <v>2</v>
      </c>
      <c r="F504" s="25">
        <v>20</v>
      </c>
      <c r="G504" s="25">
        <v>22</v>
      </c>
      <c r="J504" s="25"/>
    </row>
    <row r="505" spans="1:10" ht="15.75" customHeight="1" x14ac:dyDescent="0.2">
      <c r="A505" s="25">
        <v>504</v>
      </c>
      <c r="B505" s="25">
        <v>7.5800000000000006E-2</v>
      </c>
      <c r="C505" s="25">
        <v>0.56999999999999995</v>
      </c>
      <c r="D505" s="25">
        <v>0.1045</v>
      </c>
      <c r="E505" s="25">
        <v>1</v>
      </c>
      <c r="F505" s="25">
        <v>12</v>
      </c>
      <c r="G505" s="25">
        <v>13</v>
      </c>
      <c r="J505" s="25"/>
    </row>
    <row r="506" spans="1:10" ht="15.75" customHeight="1" x14ac:dyDescent="0.2">
      <c r="A506" s="25">
        <v>505</v>
      </c>
      <c r="B506" s="25">
        <v>6.0600000000000001E-2</v>
      </c>
      <c r="C506" s="25">
        <v>0.62</v>
      </c>
      <c r="D506" s="25">
        <v>0.1343</v>
      </c>
      <c r="E506" s="25">
        <v>3</v>
      </c>
      <c r="F506" s="25">
        <v>15</v>
      </c>
      <c r="G506" s="25">
        <v>18</v>
      </c>
      <c r="J506" s="25"/>
    </row>
    <row r="507" spans="1:10" ht="15.75" customHeight="1" x14ac:dyDescent="0.2">
      <c r="A507" s="25">
        <v>506</v>
      </c>
      <c r="B507" s="25">
        <v>6.0600000000000001E-2</v>
      </c>
      <c r="C507" s="25">
        <v>0.62</v>
      </c>
      <c r="D507" s="25">
        <v>0.1343</v>
      </c>
      <c r="E507" s="25">
        <v>1</v>
      </c>
      <c r="F507" s="25">
        <v>4</v>
      </c>
      <c r="G507" s="25">
        <v>5</v>
      </c>
      <c r="J507" s="25"/>
    </row>
    <row r="508" spans="1:10" ht="15.75" customHeight="1" x14ac:dyDescent="0.2">
      <c r="A508" s="25">
        <v>507</v>
      </c>
      <c r="B508" s="25">
        <v>7.5800000000000006E-2</v>
      </c>
      <c r="C508" s="25">
        <v>0.56999999999999995</v>
      </c>
      <c r="D508" s="25">
        <v>0.1045</v>
      </c>
      <c r="E508" s="25">
        <v>0</v>
      </c>
      <c r="F508" s="25">
        <v>3</v>
      </c>
      <c r="G508" s="25">
        <v>3</v>
      </c>
      <c r="J508" s="25"/>
    </row>
    <row r="509" spans="1:10" ht="15.75" customHeight="1" x14ac:dyDescent="0.2">
      <c r="A509" s="25">
        <v>508</v>
      </c>
      <c r="B509" s="25">
        <v>7.5800000000000006E-2</v>
      </c>
      <c r="C509" s="25">
        <v>0.56999999999999995</v>
      </c>
      <c r="D509" s="25">
        <v>0.1045</v>
      </c>
      <c r="E509" s="25">
        <v>0</v>
      </c>
      <c r="F509" s="25">
        <v>1</v>
      </c>
      <c r="G509" s="25">
        <v>1</v>
      </c>
      <c r="J509" s="25"/>
    </row>
    <row r="510" spans="1:10" ht="15.75" customHeight="1" x14ac:dyDescent="0.2">
      <c r="A510" s="25">
        <v>509</v>
      </c>
      <c r="B510" s="25">
        <v>0.1061</v>
      </c>
      <c r="C510" s="25">
        <v>0.57999999999999996</v>
      </c>
      <c r="D510" s="25">
        <v>0.16420000000000001</v>
      </c>
      <c r="E510" s="25">
        <v>1</v>
      </c>
      <c r="F510" s="25">
        <v>1</v>
      </c>
      <c r="G510" s="25">
        <v>2</v>
      </c>
      <c r="J510" s="25"/>
    </row>
    <row r="511" spans="1:10" ht="15.75" customHeight="1" x14ac:dyDescent="0.2">
      <c r="A511" s="25">
        <v>510</v>
      </c>
      <c r="B511" s="25">
        <v>7.5800000000000006E-2</v>
      </c>
      <c r="C511" s="25">
        <v>0.62</v>
      </c>
      <c r="D511" s="25">
        <v>0.16420000000000001</v>
      </c>
      <c r="E511" s="25">
        <v>2</v>
      </c>
      <c r="F511" s="25">
        <v>17</v>
      </c>
      <c r="G511" s="25">
        <v>19</v>
      </c>
      <c r="J511" s="25"/>
    </row>
    <row r="512" spans="1:10" ht="15.75" customHeight="1" x14ac:dyDescent="0.2">
      <c r="A512" s="25">
        <v>511</v>
      </c>
      <c r="B512" s="25">
        <v>7.5800000000000006E-2</v>
      </c>
      <c r="C512" s="25">
        <v>0.54</v>
      </c>
      <c r="D512" s="25">
        <v>0.35820000000000002</v>
      </c>
      <c r="E512" s="25">
        <v>3</v>
      </c>
      <c r="F512" s="25">
        <v>25</v>
      </c>
      <c r="G512" s="25">
        <v>28</v>
      </c>
      <c r="J512" s="25"/>
    </row>
    <row r="513" spans="1:10" ht="15.75" customHeight="1" x14ac:dyDescent="0.2">
      <c r="A513" s="25">
        <v>512</v>
      </c>
      <c r="B513" s="25">
        <v>0.1061</v>
      </c>
      <c r="C513" s="25">
        <v>0.46</v>
      </c>
      <c r="D513" s="25">
        <v>0.3881</v>
      </c>
      <c r="E513" s="25">
        <v>7</v>
      </c>
      <c r="F513" s="25">
        <v>51</v>
      </c>
      <c r="G513" s="25">
        <v>58</v>
      </c>
      <c r="J513" s="25"/>
    </row>
    <row r="514" spans="1:10" ht="15.75" customHeight="1" x14ac:dyDescent="0.2">
      <c r="A514" s="25">
        <v>513</v>
      </c>
      <c r="B514" s="25">
        <v>0.13639999999999999</v>
      </c>
      <c r="C514" s="25">
        <v>0.43</v>
      </c>
      <c r="D514" s="25">
        <v>0.22389999999999999</v>
      </c>
      <c r="E514" s="25">
        <v>22</v>
      </c>
      <c r="F514" s="25">
        <v>77</v>
      </c>
      <c r="G514" s="25">
        <v>99</v>
      </c>
      <c r="J514" s="25"/>
    </row>
    <row r="515" spans="1:10" ht="15.75" customHeight="1" x14ac:dyDescent="0.2">
      <c r="A515" s="25">
        <v>514</v>
      </c>
      <c r="B515" s="25">
        <v>0.1212</v>
      </c>
      <c r="C515" s="25">
        <v>0.37</v>
      </c>
      <c r="D515" s="25">
        <v>0.4627</v>
      </c>
      <c r="E515" s="25">
        <v>24</v>
      </c>
      <c r="F515" s="25">
        <v>92</v>
      </c>
      <c r="G515" s="25">
        <v>116</v>
      </c>
      <c r="J515" s="25"/>
    </row>
    <row r="516" spans="1:10" ht="15.75" customHeight="1" x14ac:dyDescent="0.2">
      <c r="A516" s="25">
        <v>515</v>
      </c>
      <c r="B516" s="25">
        <v>0.1061</v>
      </c>
      <c r="C516" s="25">
        <v>0.33</v>
      </c>
      <c r="D516" s="25">
        <v>0.3881</v>
      </c>
      <c r="E516" s="25">
        <v>12</v>
      </c>
      <c r="F516" s="25">
        <v>75</v>
      </c>
      <c r="G516" s="25">
        <v>87</v>
      </c>
      <c r="J516" s="25"/>
    </row>
    <row r="517" spans="1:10" ht="15.75" customHeight="1" x14ac:dyDescent="0.2">
      <c r="A517" s="25">
        <v>516</v>
      </c>
      <c r="B517" s="25">
        <v>0.13639999999999999</v>
      </c>
      <c r="C517" s="25">
        <v>0.28000000000000003</v>
      </c>
      <c r="D517" s="25">
        <v>0.35820000000000002</v>
      </c>
      <c r="E517" s="25">
        <v>17</v>
      </c>
      <c r="F517" s="25">
        <v>93</v>
      </c>
      <c r="G517" s="25">
        <v>110</v>
      </c>
      <c r="J517" s="25"/>
    </row>
    <row r="518" spans="1:10" ht="15.75" customHeight="1" x14ac:dyDescent="0.2">
      <c r="A518" s="25">
        <v>517</v>
      </c>
      <c r="B518" s="25">
        <v>0.13639999999999999</v>
      </c>
      <c r="C518" s="25">
        <v>0.28000000000000003</v>
      </c>
      <c r="D518" s="25">
        <v>0.35820000000000002</v>
      </c>
      <c r="E518" s="25">
        <v>13</v>
      </c>
      <c r="F518" s="25">
        <v>64</v>
      </c>
      <c r="G518" s="25">
        <v>77</v>
      </c>
      <c r="J518" s="25"/>
    </row>
    <row r="519" spans="1:10" ht="15.75" customHeight="1" x14ac:dyDescent="0.2">
      <c r="A519" s="25">
        <v>518</v>
      </c>
      <c r="B519" s="25">
        <v>0.13639999999999999</v>
      </c>
      <c r="C519" s="25">
        <v>0.26</v>
      </c>
      <c r="D519" s="25">
        <v>0.32840000000000003</v>
      </c>
      <c r="E519" s="25">
        <v>9</v>
      </c>
      <c r="F519" s="25">
        <v>56</v>
      </c>
      <c r="G519" s="25">
        <v>65</v>
      </c>
      <c r="J519" s="25"/>
    </row>
    <row r="520" spans="1:10" ht="15.75" customHeight="1" x14ac:dyDescent="0.2">
      <c r="A520" s="25">
        <v>519</v>
      </c>
      <c r="B520" s="25">
        <v>0.1061</v>
      </c>
      <c r="C520" s="25">
        <v>0.26</v>
      </c>
      <c r="D520" s="25">
        <v>0.3881</v>
      </c>
      <c r="E520" s="25">
        <v>5</v>
      </c>
      <c r="F520" s="25">
        <v>50</v>
      </c>
      <c r="G520" s="25">
        <v>55</v>
      </c>
      <c r="J520" s="25"/>
    </row>
    <row r="521" spans="1:10" ht="15.75" customHeight="1" x14ac:dyDescent="0.2">
      <c r="A521" s="25">
        <v>520</v>
      </c>
      <c r="B521" s="25">
        <v>0.1212</v>
      </c>
      <c r="C521" s="25">
        <v>0.3</v>
      </c>
      <c r="D521" s="25">
        <v>0.25369999999999998</v>
      </c>
      <c r="E521" s="25">
        <v>5</v>
      </c>
      <c r="F521" s="25">
        <v>44</v>
      </c>
      <c r="G521" s="25">
        <v>49</v>
      </c>
      <c r="J521" s="25"/>
    </row>
    <row r="522" spans="1:10" ht="15.75" customHeight="1" x14ac:dyDescent="0.2">
      <c r="A522" s="25">
        <v>521</v>
      </c>
      <c r="B522" s="25">
        <v>0.1212</v>
      </c>
      <c r="C522" s="25">
        <v>0.3</v>
      </c>
      <c r="D522" s="25">
        <v>0.28360000000000002</v>
      </c>
      <c r="E522" s="25">
        <v>5</v>
      </c>
      <c r="F522" s="25">
        <v>45</v>
      </c>
      <c r="G522" s="25">
        <v>50</v>
      </c>
      <c r="J522" s="25"/>
    </row>
    <row r="523" spans="1:10" ht="15.75" customHeight="1" x14ac:dyDescent="0.2">
      <c r="A523" s="25">
        <v>522</v>
      </c>
      <c r="B523" s="25">
        <v>0.1061</v>
      </c>
      <c r="C523" s="25">
        <v>0.36</v>
      </c>
      <c r="D523" s="25">
        <v>0.25369999999999998</v>
      </c>
      <c r="E523" s="25">
        <v>4</v>
      </c>
      <c r="F523" s="25">
        <v>31</v>
      </c>
      <c r="G523" s="25">
        <v>35</v>
      </c>
      <c r="J523" s="25"/>
    </row>
    <row r="524" spans="1:10" ht="15.75" customHeight="1" x14ac:dyDescent="0.2">
      <c r="A524" s="25">
        <v>523</v>
      </c>
      <c r="B524" s="25">
        <v>0.1061</v>
      </c>
      <c r="C524" s="25">
        <v>0.36</v>
      </c>
      <c r="D524" s="25">
        <v>0.19400000000000001</v>
      </c>
      <c r="E524" s="25">
        <v>5</v>
      </c>
      <c r="F524" s="25">
        <v>20</v>
      </c>
      <c r="G524" s="25">
        <v>25</v>
      </c>
      <c r="J524" s="25"/>
    </row>
    <row r="525" spans="1:10" ht="15.75" customHeight="1" x14ac:dyDescent="0.2">
      <c r="A525" s="25">
        <v>524</v>
      </c>
      <c r="B525" s="25">
        <v>9.0899999999999995E-2</v>
      </c>
      <c r="C525" s="25">
        <v>0.38</v>
      </c>
      <c r="D525" s="25">
        <v>0.19400000000000001</v>
      </c>
      <c r="E525" s="25">
        <v>5</v>
      </c>
      <c r="F525" s="25">
        <v>23</v>
      </c>
      <c r="G525" s="25">
        <v>28</v>
      </c>
      <c r="J525" s="25"/>
    </row>
    <row r="526" spans="1:10" ht="15.75" customHeight="1" x14ac:dyDescent="0.2">
      <c r="A526" s="25">
        <v>525</v>
      </c>
      <c r="B526" s="25">
        <v>6.0600000000000001E-2</v>
      </c>
      <c r="C526" s="25">
        <v>0.41</v>
      </c>
      <c r="D526" s="25">
        <v>0.22389999999999999</v>
      </c>
      <c r="E526" s="25">
        <v>4</v>
      </c>
      <c r="F526" s="25">
        <v>17</v>
      </c>
      <c r="G526" s="25">
        <v>21</v>
      </c>
      <c r="J526" s="25"/>
    </row>
    <row r="527" spans="1:10" ht="15.75" customHeight="1" x14ac:dyDescent="0.2">
      <c r="A527" s="25">
        <v>526</v>
      </c>
      <c r="B527" s="25">
        <v>6.0600000000000001E-2</v>
      </c>
      <c r="C527" s="25">
        <v>0.41</v>
      </c>
      <c r="D527" s="25">
        <v>0.19400000000000001</v>
      </c>
      <c r="E527" s="25">
        <v>0</v>
      </c>
      <c r="F527" s="25">
        <v>7</v>
      </c>
      <c r="G527" s="25">
        <v>7</v>
      </c>
      <c r="J527" s="25"/>
    </row>
    <row r="528" spans="1:10" ht="15.75" customHeight="1" x14ac:dyDescent="0.2">
      <c r="A528" s="25">
        <v>527</v>
      </c>
      <c r="B528" s="25">
        <v>4.5499999999999999E-2</v>
      </c>
      <c r="C528" s="25">
        <v>0.45</v>
      </c>
      <c r="D528" s="25">
        <v>0.19400000000000001</v>
      </c>
      <c r="E528" s="25">
        <v>0</v>
      </c>
      <c r="F528" s="25">
        <v>1</v>
      </c>
      <c r="G528" s="25">
        <v>1</v>
      </c>
      <c r="J528" s="25"/>
    </row>
    <row r="529" spans="1:10" ht="15.75" customHeight="1" x14ac:dyDescent="0.2">
      <c r="A529" s="25">
        <v>528</v>
      </c>
      <c r="B529" s="25">
        <v>3.0300000000000001E-2</v>
      </c>
      <c r="C529" s="25">
        <v>0.45</v>
      </c>
      <c r="D529" s="25">
        <v>0.25369999999999998</v>
      </c>
      <c r="E529" s="25">
        <v>0</v>
      </c>
      <c r="F529" s="25">
        <v>1</v>
      </c>
      <c r="G529" s="25">
        <v>1</v>
      </c>
      <c r="J529" s="25"/>
    </row>
    <row r="530" spans="1:10" ht="15.75" customHeight="1" x14ac:dyDescent="0.2">
      <c r="A530" s="25">
        <v>529</v>
      </c>
      <c r="B530" s="25">
        <v>6.0600000000000001E-2</v>
      </c>
      <c r="C530" s="25">
        <v>0.48</v>
      </c>
      <c r="D530" s="25">
        <v>0.1343</v>
      </c>
      <c r="E530" s="25">
        <v>0</v>
      </c>
      <c r="F530" s="25">
        <v>1</v>
      </c>
      <c r="G530" s="25">
        <v>1</v>
      </c>
      <c r="J530" s="25"/>
    </row>
    <row r="531" spans="1:10" ht="15.75" customHeight="1" x14ac:dyDescent="0.2">
      <c r="A531" s="25">
        <v>530</v>
      </c>
      <c r="B531" s="25">
        <v>6.0600000000000001E-2</v>
      </c>
      <c r="C531" s="25">
        <v>0.48</v>
      </c>
      <c r="D531" s="25">
        <v>0.1343</v>
      </c>
      <c r="E531" s="25">
        <v>0</v>
      </c>
      <c r="F531" s="25">
        <v>5</v>
      </c>
      <c r="G531" s="25">
        <v>5</v>
      </c>
      <c r="J531" s="25"/>
    </row>
    <row r="532" spans="1:10" ht="15.75" customHeight="1" x14ac:dyDescent="0.2">
      <c r="A532" s="25">
        <v>531</v>
      </c>
      <c r="B532" s="25">
        <v>7.5800000000000006E-2</v>
      </c>
      <c r="C532" s="25">
        <v>0.48</v>
      </c>
      <c r="D532" s="25">
        <v>8.9599999999999999E-2</v>
      </c>
      <c r="E532" s="25">
        <v>0</v>
      </c>
      <c r="F532" s="25">
        <v>15</v>
      </c>
      <c r="G532" s="25">
        <v>15</v>
      </c>
      <c r="J532" s="25"/>
    </row>
    <row r="533" spans="1:10" ht="15.75" customHeight="1" x14ac:dyDescent="0.2">
      <c r="A533" s="25">
        <v>532</v>
      </c>
      <c r="B533" s="25">
        <v>0.1212</v>
      </c>
      <c r="C533" s="25">
        <v>0.48</v>
      </c>
      <c r="D533" s="25">
        <v>0</v>
      </c>
      <c r="E533" s="25">
        <v>5</v>
      </c>
      <c r="F533" s="25">
        <v>79</v>
      </c>
      <c r="G533" s="25">
        <v>84</v>
      </c>
      <c r="J533" s="25"/>
    </row>
    <row r="534" spans="1:10" ht="15.75" customHeight="1" x14ac:dyDescent="0.2">
      <c r="A534" s="25">
        <v>533</v>
      </c>
      <c r="B534" s="25">
        <v>0.13639999999999999</v>
      </c>
      <c r="C534" s="25">
        <v>0.49</v>
      </c>
      <c r="D534" s="25">
        <v>0</v>
      </c>
      <c r="E534" s="25">
        <v>6</v>
      </c>
      <c r="F534" s="25">
        <v>171</v>
      </c>
      <c r="G534" s="25">
        <v>177</v>
      </c>
      <c r="J534" s="25"/>
    </row>
    <row r="535" spans="1:10" ht="15.75" customHeight="1" x14ac:dyDescent="0.2">
      <c r="A535" s="25">
        <v>534</v>
      </c>
      <c r="B535" s="25">
        <v>0.1515</v>
      </c>
      <c r="C535" s="25">
        <v>0.41</v>
      </c>
      <c r="D535" s="25">
        <v>0</v>
      </c>
      <c r="E535" s="25">
        <v>4</v>
      </c>
      <c r="F535" s="25">
        <v>98</v>
      </c>
      <c r="G535" s="25">
        <v>102</v>
      </c>
      <c r="J535" s="25"/>
    </row>
    <row r="536" spans="1:10" ht="15.75" customHeight="1" x14ac:dyDescent="0.2">
      <c r="A536" s="25">
        <v>535</v>
      </c>
      <c r="B536" s="25">
        <v>0.13639999999999999</v>
      </c>
      <c r="C536" s="25">
        <v>0.42</v>
      </c>
      <c r="D536" s="25">
        <v>0</v>
      </c>
      <c r="E536" s="25">
        <v>6</v>
      </c>
      <c r="F536" s="25">
        <v>34</v>
      </c>
      <c r="G536" s="25">
        <v>40</v>
      </c>
      <c r="J536" s="25"/>
    </row>
    <row r="537" spans="1:10" ht="15.75" customHeight="1" x14ac:dyDescent="0.2">
      <c r="A537" s="25">
        <v>536</v>
      </c>
      <c r="B537" s="25">
        <v>0.1212</v>
      </c>
      <c r="C537" s="25">
        <v>0.46</v>
      </c>
      <c r="D537" s="25">
        <v>0.1343</v>
      </c>
      <c r="E537" s="25">
        <v>3</v>
      </c>
      <c r="F537" s="25">
        <v>43</v>
      </c>
      <c r="G537" s="25">
        <v>46</v>
      </c>
      <c r="J537" s="25"/>
    </row>
    <row r="538" spans="1:10" ht="15.75" customHeight="1" x14ac:dyDescent="0.2">
      <c r="A538" s="25">
        <v>537</v>
      </c>
      <c r="B538" s="25">
        <v>0.13639999999999999</v>
      </c>
      <c r="C538" s="25">
        <v>0.42</v>
      </c>
      <c r="D538" s="25">
        <v>0.19400000000000001</v>
      </c>
      <c r="E538" s="25">
        <v>11</v>
      </c>
      <c r="F538" s="25">
        <v>52</v>
      </c>
      <c r="G538" s="25">
        <v>63</v>
      </c>
      <c r="J538" s="25"/>
    </row>
    <row r="539" spans="1:10" ht="15.75" customHeight="1" x14ac:dyDescent="0.2">
      <c r="A539" s="25">
        <v>538</v>
      </c>
      <c r="B539" s="25">
        <v>0.13639999999999999</v>
      </c>
      <c r="C539" s="25">
        <v>0.43</v>
      </c>
      <c r="D539" s="25">
        <v>0.22389999999999999</v>
      </c>
      <c r="E539" s="25">
        <v>6</v>
      </c>
      <c r="F539" s="25">
        <v>54</v>
      </c>
      <c r="G539" s="25">
        <v>60</v>
      </c>
      <c r="J539" s="25"/>
    </row>
    <row r="540" spans="1:10" ht="15.75" customHeight="1" x14ac:dyDescent="0.2">
      <c r="A540" s="25">
        <v>539</v>
      </c>
      <c r="B540" s="25">
        <v>0.13639999999999999</v>
      </c>
      <c r="C540" s="25">
        <v>0.46</v>
      </c>
      <c r="D540" s="25">
        <v>0.22389999999999999</v>
      </c>
      <c r="E540" s="25">
        <v>2</v>
      </c>
      <c r="F540" s="25">
        <v>43</v>
      </c>
      <c r="G540" s="25">
        <v>45</v>
      </c>
      <c r="J540" s="25"/>
    </row>
    <row r="541" spans="1:10" ht="15.75" customHeight="1" x14ac:dyDescent="0.2">
      <c r="A541" s="25">
        <v>540</v>
      </c>
      <c r="B541" s="25">
        <v>0.16669999999999999</v>
      </c>
      <c r="C541" s="25">
        <v>0.4</v>
      </c>
      <c r="D541" s="25">
        <v>0.16420000000000001</v>
      </c>
      <c r="E541" s="25">
        <v>7</v>
      </c>
      <c r="F541" s="25">
        <v>50</v>
      </c>
      <c r="G541" s="25">
        <v>57</v>
      </c>
      <c r="J541" s="25"/>
    </row>
    <row r="542" spans="1:10" ht="15.75" customHeight="1" x14ac:dyDescent="0.2">
      <c r="A542" s="25">
        <v>541</v>
      </c>
      <c r="B542" s="25">
        <v>0.1515</v>
      </c>
      <c r="C542" s="25">
        <v>0.47</v>
      </c>
      <c r="D542" s="25">
        <v>0.25369999999999998</v>
      </c>
      <c r="E542" s="25">
        <v>4</v>
      </c>
      <c r="F542" s="25">
        <v>66</v>
      </c>
      <c r="G542" s="25">
        <v>70</v>
      </c>
      <c r="J542" s="25"/>
    </row>
    <row r="543" spans="1:10" ht="15.75" customHeight="1" x14ac:dyDescent="0.2">
      <c r="A543" s="25">
        <v>542</v>
      </c>
      <c r="B543" s="25">
        <v>0.1212</v>
      </c>
      <c r="C543" s="25">
        <v>0.5</v>
      </c>
      <c r="D543" s="25">
        <v>0.25369999999999998</v>
      </c>
      <c r="E543" s="25">
        <v>6</v>
      </c>
      <c r="F543" s="25">
        <v>178</v>
      </c>
      <c r="G543" s="25">
        <v>184</v>
      </c>
      <c r="J543" s="25"/>
    </row>
    <row r="544" spans="1:10" ht="15.75" customHeight="1" x14ac:dyDescent="0.2">
      <c r="A544" s="25">
        <v>543</v>
      </c>
      <c r="B544" s="25">
        <v>0.13639999999999999</v>
      </c>
      <c r="C544" s="25">
        <v>0.59</v>
      </c>
      <c r="D544" s="25">
        <v>0.19400000000000001</v>
      </c>
      <c r="E544" s="25">
        <v>8</v>
      </c>
      <c r="F544" s="25">
        <v>145</v>
      </c>
      <c r="G544" s="25">
        <v>153</v>
      </c>
      <c r="J544" s="25"/>
    </row>
    <row r="545" spans="1:10" ht="15.75" customHeight="1" x14ac:dyDescent="0.2">
      <c r="A545" s="25">
        <v>544</v>
      </c>
      <c r="B545" s="25">
        <v>0.1515</v>
      </c>
      <c r="C545" s="25">
        <v>0.54</v>
      </c>
      <c r="D545" s="25">
        <v>0.16420000000000001</v>
      </c>
      <c r="E545" s="25">
        <v>5</v>
      </c>
      <c r="F545" s="25">
        <v>101</v>
      </c>
      <c r="G545" s="25">
        <v>106</v>
      </c>
      <c r="J545" s="25"/>
    </row>
    <row r="546" spans="1:10" ht="15.75" customHeight="1" x14ac:dyDescent="0.2">
      <c r="A546" s="25">
        <v>545</v>
      </c>
      <c r="B546" s="25">
        <v>0.13639999999999999</v>
      </c>
      <c r="C546" s="25">
        <v>0.59</v>
      </c>
      <c r="D546" s="25">
        <v>0.19400000000000001</v>
      </c>
      <c r="E546" s="25">
        <v>1</v>
      </c>
      <c r="F546" s="25">
        <v>80</v>
      </c>
      <c r="G546" s="25">
        <v>81</v>
      </c>
      <c r="J546" s="25"/>
    </row>
    <row r="547" spans="1:10" ht="15.75" customHeight="1" x14ac:dyDescent="0.2">
      <c r="A547" s="25">
        <v>546</v>
      </c>
      <c r="B547" s="25">
        <v>0.1515</v>
      </c>
      <c r="C547" s="25">
        <v>0.63</v>
      </c>
      <c r="D547" s="25">
        <v>0.16420000000000001</v>
      </c>
      <c r="E547" s="25">
        <v>6</v>
      </c>
      <c r="F547" s="25">
        <v>53</v>
      </c>
      <c r="G547" s="25">
        <v>59</v>
      </c>
      <c r="J547" s="25"/>
    </row>
    <row r="548" spans="1:10" ht="15.75" customHeight="1" x14ac:dyDescent="0.2">
      <c r="A548" s="25">
        <v>547</v>
      </c>
      <c r="B548" s="25">
        <v>0.13639999999999999</v>
      </c>
      <c r="C548" s="25">
        <v>0.63</v>
      </c>
      <c r="D548" s="25">
        <v>0.22389999999999999</v>
      </c>
      <c r="E548" s="25">
        <v>3</v>
      </c>
      <c r="F548" s="25">
        <v>32</v>
      </c>
      <c r="G548" s="25">
        <v>35</v>
      </c>
      <c r="J548" s="25"/>
    </row>
    <row r="549" spans="1:10" ht="15.75" customHeight="1" x14ac:dyDescent="0.2">
      <c r="A549" s="25">
        <v>548</v>
      </c>
      <c r="B549" s="25">
        <v>0.1515</v>
      </c>
      <c r="C549" s="25">
        <v>0.64</v>
      </c>
      <c r="D549" s="25">
        <v>0.25369999999999998</v>
      </c>
      <c r="E549" s="25">
        <v>3</v>
      </c>
      <c r="F549" s="25">
        <v>21</v>
      </c>
      <c r="G549" s="25">
        <v>24</v>
      </c>
      <c r="J549" s="25"/>
    </row>
    <row r="550" spans="1:10" ht="15.75" customHeight="1" x14ac:dyDescent="0.2">
      <c r="A550" s="25">
        <v>549</v>
      </c>
      <c r="B550" s="25">
        <v>0.13639999999999999</v>
      </c>
      <c r="C550" s="25">
        <v>0.69</v>
      </c>
      <c r="D550" s="25">
        <v>0.28360000000000002</v>
      </c>
      <c r="E550" s="25">
        <v>3</v>
      </c>
      <c r="F550" s="25">
        <v>6</v>
      </c>
      <c r="G550" s="25">
        <v>9</v>
      </c>
      <c r="J550" s="25"/>
    </row>
    <row r="551" spans="1:10" ht="15.75" customHeight="1" x14ac:dyDescent="0.2">
      <c r="A551" s="25">
        <v>550</v>
      </c>
      <c r="B551" s="25">
        <v>0.16669999999999999</v>
      </c>
      <c r="C551" s="25">
        <v>0.69</v>
      </c>
      <c r="D551" s="25">
        <v>0.16420000000000001</v>
      </c>
      <c r="E551" s="25">
        <v>0</v>
      </c>
      <c r="F551" s="25">
        <v>5</v>
      </c>
      <c r="G551" s="25">
        <v>5</v>
      </c>
      <c r="J551" s="25"/>
    </row>
    <row r="552" spans="1:10" ht="15.75" customHeight="1" x14ac:dyDescent="0.2">
      <c r="A552" s="25">
        <v>551</v>
      </c>
      <c r="B552" s="25">
        <v>0.1515</v>
      </c>
      <c r="C552" s="25">
        <v>0.69</v>
      </c>
      <c r="D552" s="25">
        <v>0.22389999999999999</v>
      </c>
      <c r="E552" s="25">
        <v>0</v>
      </c>
      <c r="F552" s="25">
        <v>2</v>
      </c>
      <c r="G552" s="25">
        <v>2</v>
      </c>
      <c r="J552" s="25"/>
    </row>
    <row r="553" spans="1:10" ht="15.75" customHeight="1" x14ac:dyDescent="0.2">
      <c r="A553" s="25">
        <v>552</v>
      </c>
      <c r="B553" s="25">
        <v>0.16669999999999999</v>
      </c>
      <c r="C553" s="25">
        <v>0.74</v>
      </c>
      <c r="D553" s="25">
        <v>0.1045</v>
      </c>
      <c r="E553" s="25">
        <v>0</v>
      </c>
      <c r="F553" s="25">
        <v>1</v>
      </c>
      <c r="G553" s="25">
        <v>1</v>
      </c>
      <c r="J553" s="25"/>
    </row>
    <row r="554" spans="1:10" ht="15.75" customHeight="1" x14ac:dyDescent="0.2">
      <c r="A554" s="25">
        <v>553</v>
      </c>
      <c r="B554" s="25">
        <v>0.13639999999999999</v>
      </c>
      <c r="C554" s="25">
        <v>0.74</v>
      </c>
      <c r="D554" s="25">
        <v>0.22389999999999999</v>
      </c>
      <c r="E554" s="25">
        <v>0</v>
      </c>
      <c r="F554" s="25">
        <v>9</v>
      </c>
      <c r="G554" s="25">
        <v>9</v>
      </c>
      <c r="J554" s="25"/>
    </row>
    <row r="555" spans="1:10" ht="15.75" customHeight="1" x14ac:dyDescent="0.2">
      <c r="A555" s="25">
        <v>554</v>
      </c>
      <c r="B555" s="25">
        <v>0.18179999999999999</v>
      </c>
      <c r="C555" s="25">
        <v>0.74</v>
      </c>
      <c r="D555" s="25">
        <v>0.1045</v>
      </c>
      <c r="E555" s="25">
        <v>1</v>
      </c>
      <c r="F555" s="25">
        <v>35</v>
      </c>
      <c r="G555" s="25">
        <v>36</v>
      </c>
      <c r="J555" s="25"/>
    </row>
    <row r="556" spans="1:10" ht="15.75" customHeight="1" x14ac:dyDescent="0.2">
      <c r="A556" s="25">
        <v>555</v>
      </c>
      <c r="B556" s="25">
        <v>0.1515</v>
      </c>
      <c r="C556" s="25">
        <v>0.74</v>
      </c>
      <c r="D556" s="25">
        <v>0.22389999999999999</v>
      </c>
      <c r="E556" s="25">
        <v>5</v>
      </c>
      <c r="F556" s="25">
        <v>103</v>
      </c>
      <c r="G556" s="25">
        <v>108</v>
      </c>
      <c r="J556" s="25"/>
    </row>
    <row r="557" spans="1:10" ht="15.75" customHeight="1" x14ac:dyDescent="0.2">
      <c r="A557" s="25">
        <v>556</v>
      </c>
      <c r="B557" s="25">
        <v>0.18179999999999999</v>
      </c>
      <c r="C557" s="25">
        <v>0.74</v>
      </c>
      <c r="D557" s="25">
        <v>0.1343</v>
      </c>
      <c r="E557" s="25">
        <v>5</v>
      </c>
      <c r="F557" s="25">
        <v>233</v>
      </c>
      <c r="G557" s="25">
        <v>238</v>
      </c>
      <c r="J557" s="25"/>
    </row>
    <row r="558" spans="1:10" ht="15.75" customHeight="1" x14ac:dyDescent="0.2">
      <c r="A558" s="25">
        <v>557</v>
      </c>
      <c r="B558" s="25">
        <v>0.2273</v>
      </c>
      <c r="C558" s="25">
        <v>0.64</v>
      </c>
      <c r="D558" s="25">
        <v>8.9599999999999999E-2</v>
      </c>
      <c r="E558" s="25">
        <v>10</v>
      </c>
      <c r="F558" s="25">
        <v>134</v>
      </c>
      <c r="G558" s="25">
        <v>144</v>
      </c>
      <c r="J558" s="25"/>
    </row>
    <row r="559" spans="1:10" ht="15.75" customHeight="1" x14ac:dyDescent="0.2">
      <c r="A559" s="25">
        <v>558</v>
      </c>
      <c r="B559" s="25">
        <v>0.2424</v>
      </c>
      <c r="C559" s="25">
        <v>0.6</v>
      </c>
      <c r="D559" s="25">
        <v>0.1045</v>
      </c>
      <c r="E559" s="25">
        <v>6</v>
      </c>
      <c r="F559" s="25">
        <v>49</v>
      </c>
      <c r="G559" s="25">
        <v>55</v>
      </c>
      <c r="J559" s="25"/>
    </row>
    <row r="560" spans="1:10" ht="15.75" customHeight="1" x14ac:dyDescent="0.2">
      <c r="A560" s="25">
        <v>559</v>
      </c>
      <c r="B560" s="25">
        <v>0.2424</v>
      </c>
      <c r="C560" s="25">
        <v>0.6</v>
      </c>
      <c r="D560" s="25">
        <v>0.1343</v>
      </c>
      <c r="E560" s="25">
        <v>6</v>
      </c>
      <c r="F560" s="25">
        <v>55</v>
      </c>
      <c r="G560" s="25">
        <v>61</v>
      </c>
      <c r="J560" s="25"/>
    </row>
    <row r="561" spans="1:10" ht="15.75" customHeight="1" x14ac:dyDescent="0.2">
      <c r="A561" s="25">
        <v>560</v>
      </c>
      <c r="B561" s="25">
        <v>0.28789999999999999</v>
      </c>
      <c r="C561" s="25">
        <v>0.56000000000000005</v>
      </c>
      <c r="D561" s="25">
        <v>8.9599999999999999E-2</v>
      </c>
      <c r="E561" s="25">
        <v>21</v>
      </c>
      <c r="F561" s="25">
        <v>85</v>
      </c>
      <c r="G561" s="25">
        <v>106</v>
      </c>
      <c r="J561" s="25"/>
    </row>
    <row r="562" spans="1:10" ht="15.75" customHeight="1" x14ac:dyDescent="0.2">
      <c r="A562" s="25">
        <v>561</v>
      </c>
      <c r="B562" s="25">
        <v>0.2727</v>
      </c>
      <c r="C562" s="25">
        <v>0.56000000000000005</v>
      </c>
      <c r="D562" s="25">
        <v>0.1343</v>
      </c>
      <c r="E562" s="25">
        <v>21</v>
      </c>
      <c r="F562" s="25">
        <v>72</v>
      </c>
      <c r="G562" s="25">
        <v>93</v>
      </c>
      <c r="J562" s="25"/>
    </row>
    <row r="563" spans="1:10" ht="15.75" customHeight="1" x14ac:dyDescent="0.2">
      <c r="A563" s="25">
        <v>562</v>
      </c>
      <c r="B563" s="25">
        <v>0.33329999999999999</v>
      </c>
      <c r="C563" s="25">
        <v>0.45</v>
      </c>
      <c r="D563" s="25">
        <v>0</v>
      </c>
      <c r="E563" s="25">
        <v>11</v>
      </c>
      <c r="F563" s="25">
        <v>57</v>
      </c>
      <c r="G563" s="25">
        <v>68</v>
      </c>
      <c r="J563" s="25"/>
    </row>
    <row r="564" spans="1:10" ht="15.75" customHeight="1" x14ac:dyDescent="0.2">
      <c r="A564" s="25">
        <v>563</v>
      </c>
      <c r="B564" s="25">
        <v>0.34849999999999998</v>
      </c>
      <c r="C564" s="25">
        <v>0.42</v>
      </c>
      <c r="D564" s="25">
        <v>0</v>
      </c>
      <c r="E564" s="25">
        <v>21</v>
      </c>
      <c r="F564" s="25">
        <v>63</v>
      </c>
      <c r="G564" s="25">
        <v>84</v>
      </c>
      <c r="J564" s="25"/>
    </row>
    <row r="565" spans="1:10" ht="15.75" customHeight="1" x14ac:dyDescent="0.2">
      <c r="A565" s="25">
        <v>564</v>
      </c>
      <c r="B565" s="25">
        <v>0.34849999999999998</v>
      </c>
      <c r="C565" s="25">
        <v>0.42</v>
      </c>
      <c r="D565" s="25">
        <v>0</v>
      </c>
      <c r="E565" s="25">
        <v>14</v>
      </c>
      <c r="F565" s="25">
        <v>102</v>
      </c>
      <c r="G565" s="25">
        <v>116</v>
      </c>
      <c r="J565" s="25"/>
    </row>
    <row r="566" spans="1:10" ht="15.75" customHeight="1" x14ac:dyDescent="0.2">
      <c r="A566" s="25">
        <v>565</v>
      </c>
      <c r="B566" s="25">
        <v>0.33329999999999999</v>
      </c>
      <c r="C566" s="25">
        <v>0.45</v>
      </c>
      <c r="D566" s="25">
        <v>0</v>
      </c>
      <c r="E566" s="25">
        <v>14</v>
      </c>
      <c r="F566" s="25">
        <v>208</v>
      </c>
      <c r="G566" s="25">
        <v>222</v>
      </c>
      <c r="J566" s="25"/>
    </row>
    <row r="567" spans="1:10" ht="15.75" customHeight="1" x14ac:dyDescent="0.2">
      <c r="A567" s="25">
        <v>566</v>
      </c>
      <c r="B567" s="25">
        <v>0.31819999999999998</v>
      </c>
      <c r="C567" s="25">
        <v>0.49</v>
      </c>
      <c r="D567" s="25">
        <v>8.9599999999999999E-2</v>
      </c>
      <c r="E567" s="25">
        <v>7</v>
      </c>
      <c r="F567" s="25">
        <v>218</v>
      </c>
      <c r="G567" s="25">
        <v>225</v>
      </c>
      <c r="J567" s="25"/>
    </row>
    <row r="568" spans="1:10" ht="15.75" customHeight="1" x14ac:dyDescent="0.2">
      <c r="A568" s="25">
        <v>567</v>
      </c>
      <c r="B568" s="25">
        <v>0.2576</v>
      </c>
      <c r="C568" s="25">
        <v>0.65</v>
      </c>
      <c r="D568" s="25">
        <v>0.16420000000000001</v>
      </c>
      <c r="E568" s="25">
        <v>13</v>
      </c>
      <c r="F568" s="25">
        <v>133</v>
      </c>
      <c r="G568" s="25">
        <v>146</v>
      </c>
      <c r="J568" s="25"/>
    </row>
    <row r="569" spans="1:10" ht="15.75" customHeight="1" x14ac:dyDescent="0.2">
      <c r="A569" s="25">
        <v>568</v>
      </c>
      <c r="B569" s="25">
        <v>0.2273</v>
      </c>
      <c r="C569" s="25">
        <v>0.65</v>
      </c>
      <c r="D569" s="25">
        <v>0.19400000000000001</v>
      </c>
      <c r="E569" s="25">
        <v>16</v>
      </c>
      <c r="F569" s="25">
        <v>103</v>
      </c>
      <c r="G569" s="25">
        <v>119</v>
      </c>
      <c r="J569" s="25"/>
    </row>
    <row r="570" spans="1:10" ht="15.75" customHeight="1" x14ac:dyDescent="0.2">
      <c r="A570" s="25">
        <v>569</v>
      </c>
      <c r="B570" s="25">
        <v>0.2273</v>
      </c>
      <c r="C570" s="25">
        <v>0.65</v>
      </c>
      <c r="D570" s="25">
        <v>0.19400000000000001</v>
      </c>
      <c r="E570" s="25">
        <v>5</v>
      </c>
      <c r="F570" s="25">
        <v>40</v>
      </c>
      <c r="G570" s="25">
        <v>45</v>
      </c>
      <c r="J570" s="25"/>
    </row>
    <row r="571" spans="1:10" ht="15.75" customHeight="1" x14ac:dyDescent="0.2">
      <c r="A571" s="25">
        <v>570</v>
      </c>
      <c r="B571" s="25">
        <v>0.2273</v>
      </c>
      <c r="C571" s="25">
        <v>0.64</v>
      </c>
      <c r="D571" s="25">
        <v>0.16420000000000001</v>
      </c>
      <c r="E571" s="25">
        <v>4</v>
      </c>
      <c r="F571" s="25">
        <v>49</v>
      </c>
      <c r="G571" s="25">
        <v>53</v>
      </c>
      <c r="J571" s="25"/>
    </row>
    <row r="572" spans="1:10" ht="15.75" customHeight="1" x14ac:dyDescent="0.2">
      <c r="A572" s="25">
        <v>571</v>
      </c>
      <c r="B572" s="25">
        <v>0.2273</v>
      </c>
      <c r="C572" s="25">
        <v>0.64</v>
      </c>
      <c r="D572" s="25">
        <v>0.16420000000000001</v>
      </c>
      <c r="E572" s="25">
        <v>3</v>
      </c>
      <c r="F572" s="25">
        <v>37</v>
      </c>
      <c r="G572" s="25">
        <v>40</v>
      </c>
      <c r="J572" s="25"/>
    </row>
    <row r="573" spans="1:10" ht="15.75" customHeight="1" x14ac:dyDescent="0.2">
      <c r="A573" s="25">
        <v>572</v>
      </c>
      <c r="B573" s="25">
        <v>0.2273</v>
      </c>
      <c r="C573" s="25">
        <v>0.69</v>
      </c>
      <c r="D573" s="25">
        <v>0.1343</v>
      </c>
      <c r="E573" s="25">
        <v>3</v>
      </c>
      <c r="F573" s="25">
        <v>14</v>
      </c>
      <c r="G573" s="25">
        <v>17</v>
      </c>
      <c r="J573" s="25"/>
    </row>
    <row r="574" spans="1:10" ht="15.75" customHeight="1" x14ac:dyDescent="0.2">
      <c r="A574" s="25">
        <v>573</v>
      </c>
      <c r="B574" s="25">
        <v>0.2424</v>
      </c>
      <c r="C574" s="25">
        <v>0.65</v>
      </c>
      <c r="D574" s="25">
        <v>0.1343</v>
      </c>
      <c r="E574" s="25">
        <v>0</v>
      </c>
      <c r="F574" s="25">
        <v>5</v>
      </c>
      <c r="G574" s="25">
        <v>5</v>
      </c>
      <c r="J574" s="25"/>
    </row>
    <row r="575" spans="1:10" ht="15.75" customHeight="1" x14ac:dyDescent="0.2">
      <c r="A575" s="25">
        <v>574</v>
      </c>
      <c r="B575" s="25">
        <v>0.2273</v>
      </c>
      <c r="C575" s="25">
        <v>0.69</v>
      </c>
      <c r="D575" s="25">
        <v>0.19400000000000001</v>
      </c>
      <c r="E575" s="25">
        <v>3</v>
      </c>
      <c r="F575" s="25">
        <v>7</v>
      </c>
      <c r="G575" s="25">
        <v>10</v>
      </c>
      <c r="J575" s="25"/>
    </row>
    <row r="576" spans="1:10" ht="15.75" customHeight="1" x14ac:dyDescent="0.2">
      <c r="A576" s="25">
        <v>575</v>
      </c>
      <c r="B576" s="25">
        <v>0.18179999999999999</v>
      </c>
      <c r="C576" s="25">
        <v>0.86</v>
      </c>
      <c r="D576" s="25">
        <v>0.28360000000000002</v>
      </c>
      <c r="E576" s="25">
        <v>0</v>
      </c>
      <c r="F576" s="25">
        <v>1</v>
      </c>
      <c r="G576" s="25">
        <v>1</v>
      </c>
      <c r="J576" s="25"/>
    </row>
    <row r="577" spans="1:10" ht="15.75" customHeight="1" x14ac:dyDescent="0.2">
      <c r="A577" s="25">
        <v>576</v>
      </c>
      <c r="B577" s="25">
        <v>0.18179999999999999</v>
      </c>
      <c r="C577" s="25">
        <v>0.86</v>
      </c>
      <c r="D577" s="25">
        <v>0.28360000000000002</v>
      </c>
      <c r="E577" s="25">
        <v>0</v>
      </c>
      <c r="F577" s="25">
        <v>8</v>
      </c>
      <c r="G577" s="25">
        <v>8</v>
      </c>
      <c r="J577" s="25"/>
    </row>
    <row r="578" spans="1:10" ht="15.75" customHeight="1" x14ac:dyDescent="0.2">
      <c r="A578" s="25">
        <v>577</v>
      </c>
      <c r="B578" s="25">
        <v>0.21210000000000001</v>
      </c>
      <c r="C578" s="25">
        <v>0.87</v>
      </c>
      <c r="D578" s="25">
        <v>0.29849999999999999</v>
      </c>
      <c r="E578" s="25">
        <v>1</v>
      </c>
      <c r="F578" s="25">
        <v>29</v>
      </c>
      <c r="G578" s="25">
        <v>30</v>
      </c>
      <c r="J578" s="25"/>
    </row>
    <row r="579" spans="1:10" ht="15.75" customHeight="1" x14ac:dyDescent="0.2">
      <c r="A579" s="25">
        <v>578</v>
      </c>
      <c r="B579" s="25">
        <v>0.21210000000000001</v>
      </c>
      <c r="C579" s="25">
        <v>0.87</v>
      </c>
      <c r="D579" s="25">
        <v>0.29849999999999999</v>
      </c>
      <c r="E579" s="25">
        <v>3</v>
      </c>
      <c r="F579" s="25">
        <v>69</v>
      </c>
      <c r="G579" s="25">
        <v>72</v>
      </c>
      <c r="J579" s="25"/>
    </row>
    <row r="580" spans="1:10" ht="15.75" customHeight="1" x14ac:dyDescent="0.2">
      <c r="A580" s="25">
        <v>579</v>
      </c>
      <c r="B580" s="25">
        <v>0.21210000000000001</v>
      </c>
      <c r="C580" s="25">
        <v>0.87</v>
      </c>
      <c r="D580" s="25">
        <v>0.29849999999999999</v>
      </c>
      <c r="E580" s="25">
        <v>3</v>
      </c>
      <c r="F580" s="25">
        <v>55</v>
      </c>
      <c r="G580" s="25">
        <v>58</v>
      </c>
      <c r="J580" s="25"/>
    </row>
    <row r="581" spans="1:10" ht="15.75" customHeight="1" x14ac:dyDescent="0.2">
      <c r="A581" s="25">
        <v>580</v>
      </c>
      <c r="B581" s="25">
        <v>0.21210000000000001</v>
      </c>
      <c r="C581" s="25">
        <v>0.93</v>
      </c>
      <c r="D581" s="25">
        <v>0.28360000000000002</v>
      </c>
      <c r="E581" s="25">
        <v>2</v>
      </c>
      <c r="F581" s="25">
        <v>26</v>
      </c>
      <c r="G581" s="25">
        <v>28</v>
      </c>
      <c r="J581" s="25"/>
    </row>
    <row r="582" spans="1:10" ht="15.75" customHeight="1" x14ac:dyDescent="0.2">
      <c r="A582" s="25">
        <v>581</v>
      </c>
      <c r="B582" s="25">
        <v>0.19700000000000001</v>
      </c>
      <c r="C582" s="25">
        <v>0.93</v>
      </c>
      <c r="D582" s="25">
        <v>0.32840000000000003</v>
      </c>
      <c r="E582" s="25">
        <v>6</v>
      </c>
      <c r="F582" s="25">
        <v>35</v>
      </c>
      <c r="G582" s="25">
        <v>41</v>
      </c>
      <c r="J582" s="25"/>
    </row>
    <row r="583" spans="1:10" ht="15.75" customHeight="1" x14ac:dyDescent="0.2">
      <c r="A583" s="25">
        <v>582</v>
      </c>
      <c r="B583" s="25">
        <v>0.19700000000000001</v>
      </c>
      <c r="C583" s="25">
        <v>0.93</v>
      </c>
      <c r="D583" s="25">
        <v>0.32840000000000003</v>
      </c>
      <c r="E583" s="25">
        <v>7</v>
      </c>
      <c r="F583" s="25">
        <v>41</v>
      </c>
      <c r="G583" s="25">
        <v>48</v>
      </c>
      <c r="J583" s="25"/>
    </row>
    <row r="584" spans="1:10" ht="15.75" customHeight="1" x14ac:dyDescent="0.2">
      <c r="A584" s="25">
        <v>583</v>
      </c>
      <c r="B584" s="25">
        <v>0.19700000000000001</v>
      </c>
      <c r="C584" s="25">
        <v>0.93</v>
      </c>
      <c r="D584" s="25">
        <v>0.32840000000000003</v>
      </c>
      <c r="E584" s="25">
        <v>4</v>
      </c>
      <c r="F584" s="25">
        <v>43</v>
      </c>
      <c r="G584" s="25">
        <v>47</v>
      </c>
      <c r="J584" s="25"/>
    </row>
    <row r="585" spans="1:10" ht="15.75" customHeight="1" x14ac:dyDescent="0.2">
      <c r="A585" s="25">
        <v>584</v>
      </c>
      <c r="B585" s="25">
        <v>0.19700000000000001</v>
      </c>
      <c r="C585" s="25">
        <v>0.93</v>
      </c>
      <c r="D585" s="25">
        <v>0.35820000000000002</v>
      </c>
      <c r="E585" s="25">
        <v>0</v>
      </c>
      <c r="F585" s="25">
        <v>36</v>
      </c>
      <c r="G585" s="25">
        <v>36</v>
      </c>
      <c r="J585" s="25"/>
    </row>
    <row r="586" spans="1:10" ht="15.75" customHeight="1" x14ac:dyDescent="0.2">
      <c r="A586" s="25">
        <v>585</v>
      </c>
      <c r="B586" s="25">
        <v>0.18179999999999999</v>
      </c>
      <c r="C586" s="25">
        <v>0.93</v>
      </c>
      <c r="D586" s="25">
        <v>0.4627</v>
      </c>
      <c r="E586" s="25">
        <v>1</v>
      </c>
      <c r="F586" s="25">
        <v>42</v>
      </c>
      <c r="G586" s="25">
        <v>43</v>
      </c>
      <c r="J586" s="25"/>
    </row>
    <row r="587" spans="1:10" ht="15.75" customHeight="1" x14ac:dyDescent="0.2">
      <c r="A587" s="25">
        <v>586</v>
      </c>
      <c r="B587" s="25">
        <v>0.19700000000000001</v>
      </c>
      <c r="C587" s="25">
        <v>0.93</v>
      </c>
      <c r="D587" s="25">
        <v>0.32840000000000003</v>
      </c>
      <c r="E587" s="25">
        <v>1</v>
      </c>
      <c r="F587" s="25">
        <v>35</v>
      </c>
      <c r="G587" s="25">
        <v>36</v>
      </c>
      <c r="J587" s="25"/>
    </row>
    <row r="588" spans="1:10" ht="15.75" customHeight="1" x14ac:dyDescent="0.2">
      <c r="A588" s="25">
        <v>587</v>
      </c>
      <c r="B588" s="25">
        <v>0.18179999999999999</v>
      </c>
      <c r="C588" s="25">
        <v>0.93</v>
      </c>
      <c r="D588" s="25">
        <v>0.35820000000000002</v>
      </c>
      <c r="E588" s="25">
        <v>0</v>
      </c>
      <c r="F588" s="25">
        <v>26</v>
      </c>
      <c r="G588" s="25">
        <v>26</v>
      </c>
      <c r="J588" s="25"/>
    </row>
    <row r="589" spans="1:10" ht="15.75" customHeight="1" x14ac:dyDescent="0.2">
      <c r="A589" s="25">
        <v>588</v>
      </c>
      <c r="B589" s="25">
        <v>0.2273</v>
      </c>
      <c r="C589" s="25">
        <v>0.55000000000000004</v>
      </c>
      <c r="D589" s="25">
        <v>0.19400000000000001</v>
      </c>
      <c r="E589" s="25">
        <v>1</v>
      </c>
      <c r="F589" s="25">
        <v>23</v>
      </c>
      <c r="G589" s="25">
        <v>24</v>
      </c>
      <c r="J589" s="25"/>
    </row>
    <row r="590" spans="1:10" ht="15.75" customHeight="1" x14ac:dyDescent="0.2">
      <c r="A590" s="25">
        <v>589</v>
      </c>
      <c r="B590" s="25">
        <v>0.2424</v>
      </c>
      <c r="C590" s="25">
        <v>0.55000000000000004</v>
      </c>
      <c r="D590" s="25">
        <v>0.1045</v>
      </c>
      <c r="E590" s="25">
        <v>2</v>
      </c>
      <c r="F590" s="25">
        <v>82</v>
      </c>
      <c r="G590" s="25">
        <v>84</v>
      </c>
      <c r="J590" s="25"/>
    </row>
    <row r="591" spans="1:10" ht="15.75" customHeight="1" x14ac:dyDescent="0.2">
      <c r="A591" s="25">
        <v>590</v>
      </c>
      <c r="B591" s="25">
        <v>0.2273</v>
      </c>
      <c r="C591" s="25">
        <v>0.69</v>
      </c>
      <c r="D591" s="25">
        <v>8.9599999999999999E-2</v>
      </c>
      <c r="E591" s="25">
        <v>3</v>
      </c>
      <c r="F591" s="25">
        <v>101</v>
      </c>
      <c r="G591" s="25">
        <v>104</v>
      </c>
      <c r="J591" s="25"/>
    </row>
    <row r="592" spans="1:10" ht="15.75" customHeight="1" x14ac:dyDescent="0.2">
      <c r="A592" s="25">
        <v>591</v>
      </c>
      <c r="B592" s="25">
        <v>0.2273</v>
      </c>
      <c r="C592" s="25">
        <v>0.69</v>
      </c>
      <c r="D592" s="25">
        <v>8.9599999999999999E-2</v>
      </c>
      <c r="E592" s="25">
        <v>3</v>
      </c>
      <c r="F592" s="25">
        <v>76</v>
      </c>
      <c r="G592" s="25">
        <v>79</v>
      </c>
      <c r="J592" s="25"/>
    </row>
    <row r="593" spans="1:10" ht="15.75" customHeight="1" x14ac:dyDescent="0.2">
      <c r="A593" s="25">
        <v>592</v>
      </c>
      <c r="B593" s="25">
        <v>0.21210000000000001</v>
      </c>
      <c r="C593" s="25">
        <v>0.74</v>
      </c>
      <c r="D593" s="25">
        <v>8.9599999999999999E-2</v>
      </c>
      <c r="E593" s="25">
        <v>4</v>
      </c>
      <c r="F593" s="25">
        <v>55</v>
      </c>
      <c r="G593" s="25">
        <v>59</v>
      </c>
      <c r="J593" s="25"/>
    </row>
    <row r="594" spans="1:10" ht="15.75" customHeight="1" x14ac:dyDescent="0.2">
      <c r="A594" s="25">
        <v>593</v>
      </c>
      <c r="B594" s="25">
        <v>0.21210000000000001</v>
      </c>
      <c r="C594" s="25">
        <v>0.74</v>
      </c>
      <c r="D594" s="25">
        <v>8.9599999999999999E-2</v>
      </c>
      <c r="E594" s="25">
        <v>2</v>
      </c>
      <c r="F594" s="25">
        <v>36</v>
      </c>
      <c r="G594" s="25">
        <v>38</v>
      </c>
      <c r="J594" s="25"/>
    </row>
    <row r="595" spans="1:10" ht="15.75" customHeight="1" x14ac:dyDescent="0.2">
      <c r="A595" s="25">
        <v>594</v>
      </c>
      <c r="B595" s="25">
        <v>0.21210000000000001</v>
      </c>
      <c r="C595" s="25">
        <v>0.74</v>
      </c>
      <c r="D595" s="25">
        <v>8.9599999999999999E-2</v>
      </c>
      <c r="E595" s="25">
        <v>0</v>
      </c>
      <c r="F595" s="25">
        <v>27</v>
      </c>
      <c r="G595" s="25">
        <v>27</v>
      </c>
      <c r="J595" s="25"/>
    </row>
    <row r="596" spans="1:10" ht="15.75" customHeight="1" x14ac:dyDescent="0.2">
      <c r="A596" s="25">
        <v>595</v>
      </c>
      <c r="B596" s="25">
        <v>0.19700000000000001</v>
      </c>
      <c r="C596" s="25">
        <v>0.8</v>
      </c>
      <c r="D596" s="25">
        <v>0.16420000000000001</v>
      </c>
      <c r="E596" s="25">
        <v>0</v>
      </c>
      <c r="F596" s="25">
        <v>16</v>
      </c>
      <c r="G596" s="25">
        <v>16</v>
      </c>
      <c r="J596" s="25"/>
    </row>
    <row r="597" spans="1:10" ht="15.75" customHeight="1" x14ac:dyDescent="0.2">
      <c r="A597" s="25">
        <v>596</v>
      </c>
      <c r="B597" s="25">
        <v>0.21210000000000001</v>
      </c>
      <c r="C597" s="25">
        <v>0.75</v>
      </c>
      <c r="D597" s="25">
        <v>0.1343</v>
      </c>
      <c r="E597" s="25">
        <v>0</v>
      </c>
      <c r="F597" s="25">
        <v>9</v>
      </c>
      <c r="G597" s="25">
        <v>9</v>
      </c>
      <c r="J597" s="25"/>
    </row>
    <row r="598" spans="1:10" ht="15.75" customHeight="1" x14ac:dyDescent="0.2">
      <c r="A598" s="25">
        <v>597</v>
      </c>
      <c r="B598" s="25">
        <v>0.21210000000000001</v>
      </c>
      <c r="C598" s="25">
        <v>0.75</v>
      </c>
      <c r="D598" s="25">
        <v>0.1343</v>
      </c>
      <c r="E598" s="25">
        <v>1</v>
      </c>
      <c r="F598" s="25">
        <v>2</v>
      </c>
      <c r="G598" s="25">
        <v>3</v>
      </c>
      <c r="J598" s="25"/>
    </row>
    <row r="599" spans="1:10" ht="15.75" customHeight="1" x14ac:dyDescent="0.2">
      <c r="A599" s="25">
        <v>598</v>
      </c>
      <c r="B599" s="25">
        <v>0.21210000000000001</v>
      </c>
      <c r="C599" s="25">
        <v>0.75</v>
      </c>
      <c r="D599" s="25">
        <v>0.16420000000000001</v>
      </c>
      <c r="E599" s="25">
        <v>0</v>
      </c>
      <c r="F599" s="25">
        <v>2</v>
      </c>
      <c r="G599" s="25">
        <v>2</v>
      </c>
      <c r="J599" s="25"/>
    </row>
    <row r="600" spans="1:10" ht="15.75" customHeight="1" x14ac:dyDescent="0.2">
      <c r="A600" s="25">
        <v>599</v>
      </c>
      <c r="B600" s="25">
        <v>0.2273</v>
      </c>
      <c r="C600" s="25">
        <v>0.75</v>
      </c>
      <c r="D600" s="25">
        <v>0.1045</v>
      </c>
      <c r="E600" s="25">
        <v>1</v>
      </c>
      <c r="F600" s="25">
        <v>0</v>
      </c>
      <c r="G600" s="25">
        <v>1</v>
      </c>
      <c r="J600" s="25"/>
    </row>
    <row r="601" spans="1:10" ht="15.75" customHeight="1" x14ac:dyDescent="0.2">
      <c r="A601" s="25">
        <v>600</v>
      </c>
      <c r="B601" s="25">
        <v>0.21210000000000001</v>
      </c>
      <c r="C601" s="25">
        <v>0.8</v>
      </c>
      <c r="D601" s="25">
        <v>0.1045</v>
      </c>
      <c r="E601" s="25">
        <v>0</v>
      </c>
      <c r="F601" s="25">
        <v>4</v>
      </c>
      <c r="G601" s="25">
        <v>4</v>
      </c>
      <c r="J601" s="25"/>
    </row>
    <row r="602" spans="1:10" ht="15.75" customHeight="1" x14ac:dyDescent="0.2">
      <c r="A602" s="25">
        <v>601</v>
      </c>
      <c r="B602" s="25">
        <v>0.19700000000000001</v>
      </c>
      <c r="C602" s="25">
        <v>0.8</v>
      </c>
      <c r="D602" s="25">
        <v>0.1343</v>
      </c>
      <c r="E602" s="25">
        <v>0</v>
      </c>
      <c r="F602" s="25">
        <v>16</v>
      </c>
      <c r="G602" s="25">
        <v>16</v>
      </c>
      <c r="J602" s="25"/>
    </row>
    <row r="603" spans="1:10" ht="15.75" customHeight="1" x14ac:dyDescent="0.2">
      <c r="A603" s="25">
        <v>602</v>
      </c>
      <c r="B603" s="25">
        <v>0.19700000000000001</v>
      </c>
      <c r="C603" s="25">
        <v>0.86</v>
      </c>
      <c r="D603" s="25">
        <v>8.9599999999999999E-2</v>
      </c>
      <c r="E603" s="25">
        <v>2</v>
      </c>
      <c r="F603" s="25">
        <v>58</v>
      </c>
      <c r="G603" s="25">
        <v>60</v>
      </c>
      <c r="J603" s="25"/>
    </row>
    <row r="604" spans="1:10" ht="15.75" customHeight="1" x14ac:dyDescent="0.2">
      <c r="A604" s="25">
        <v>603</v>
      </c>
      <c r="B604" s="25">
        <v>0.19700000000000001</v>
      </c>
      <c r="C604" s="25">
        <v>0.86</v>
      </c>
      <c r="D604" s="25">
        <v>8.9599999999999999E-2</v>
      </c>
      <c r="E604" s="25">
        <v>2</v>
      </c>
      <c r="F604" s="25">
        <v>155</v>
      </c>
      <c r="G604" s="25">
        <v>157</v>
      </c>
      <c r="J604" s="25"/>
    </row>
    <row r="605" spans="1:10" ht="15.75" customHeight="1" x14ac:dyDescent="0.2">
      <c r="A605" s="25">
        <v>604</v>
      </c>
      <c r="B605" s="25">
        <v>0.21210000000000001</v>
      </c>
      <c r="C605" s="25">
        <v>0.86</v>
      </c>
      <c r="D605" s="25">
        <v>8.9599999999999999E-2</v>
      </c>
      <c r="E605" s="25">
        <v>6</v>
      </c>
      <c r="F605" s="25">
        <v>95</v>
      </c>
      <c r="G605" s="25">
        <v>101</v>
      </c>
      <c r="J605" s="25"/>
    </row>
    <row r="606" spans="1:10" ht="15.75" customHeight="1" x14ac:dyDescent="0.2">
      <c r="A606" s="25">
        <v>605</v>
      </c>
      <c r="B606" s="25">
        <v>0.21210000000000001</v>
      </c>
      <c r="C606" s="25">
        <v>0.86</v>
      </c>
      <c r="D606" s="25">
        <v>0.1045</v>
      </c>
      <c r="E606" s="25">
        <v>0</v>
      </c>
      <c r="F606" s="25">
        <v>49</v>
      </c>
      <c r="G606" s="25">
        <v>49</v>
      </c>
      <c r="J606" s="25"/>
    </row>
    <row r="607" spans="1:10" ht="15.75" customHeight="1" x14ac:dyDescent="0.2">
      <c r="A607" s="25">
        <v>606</v>
      </c>
      <c r="B607" s="25">
        <v>0.21210000000000001</v>
      </c>
      <c r="C607" s="25">
        <v>0.93</v>
      </c>
      <c r="D607" s="25">
        <v>0.1045</v>
      </c>
      <c r="E607" s="25">
        <v>0</v>
      </c>
      <c r="F607" s="25">
        <v>30</v>
      </c>
      <c r="G607" s="25">
        <v>30</v>
      </c>
      <c r="J607" s="25"/>
    </row>
    <row r="608" spans="1:10" ht="15.75" customHeight="1" x14ac:dyDescent="0.2">
      <c r="A608" s="25">
        <v>607</v>
      </c>
      <c r="B608" s="25">
        <v>0.21210000000000001</v>
      </c>
      <c r="C608" s="25">
        <v>0.93</v>
      </c>
      <c r="D608" s="25">
        <v>0.1045</v>
      </c>
      <c r="E608" s="25">
        <v>1</v>
      </c>
      <c r="F608" s="25">
        <v>28</v>
      </c>
      <c r="G608" s="25">
        <v>29</v>
      </c>
      <c r="J608" s="25"/>
    </row>
    <row r="609" spans="1:10" ht="15.75" customHeight="1" x14ac:dyDescent="0.2">
      <c r="A609" s="25">
        <v>608</v>
      </c>
      <c r="B609" s="25">
        <v>0.21210000000000001</v>
      </c>
      <c r="C609" s="25">
        <v>0.93</v>
      </c>
      <c r="D609" s="25">
        <v>0.1045</v>
      </c>
      <c r="E609" s="25">
        <v>0</v>
      </c>
      <c r="F609" s="25">
        <v>31</v>
      </c>
      <c r="G609" s="25">
        <v>31</v>
      </c>
      <c r="J609" s="25"/>
    </row>
    <row r="610" spans="1:10" ht="15.75" customHeight="1" x14ac:dyDescent="0.2">
      <c r="A610" s="25">
        <v>609</v>
      </c>
      <c r="B610" s="25">
        <v>0.2727</v>
      </c>
      <c r="C610" s="25">
        <v>0.8</v>
      </c>
      <c r="D610" s="25">
        <v>0</v>
      </c>
      <c r="E610" s="25">
        <v>2</v>
      </c>
      <c r="F610" s="25">
        <v>36</v>
      </c>
      <c r="G610" s="25">
        <v>38</v>
      </c>
      <c r="J610" s="25"/>
    </row>
    <row r="611" spans="1:10" ht="15.75" customHeight="1" x14ac:dyDescent="0.2">
      <c r="A611" s="25">
        <v>610</v>
      </c>
      <c r="B611" s="25">
        <v>0.2576</v>
      </c>
      <c r="C611" s="25">
        <v>0.86</v>
      </c>
      <c r="D611" s="25">
        <v>0</v>
      </c>
      <c r="E611" s="25">
        <v>1</v>
      </c>
      <c r="F611" s="25">
        <v>40</v>
      </c>
      <c r="G611" s="25">
        <v>41</v>
      </c>
      <c r="J611" s="25"/>
    </row>
    <row r="612" spans="1:10" ht="15.75" customHeight="1" x14ac:dyDescent="0.2">
      <c r="J612" s="27"/>
    </row>
    <row r="613" spans="1:10" ht="15.75" customHeight="1" x14ac:dyDescent="0.2">
      <c r="J613" s="27"/>
    </row>
    <row r="614" spans="1:10" ht="15.75" customHeight="1" x14ac:dyDescent="0.2">
      <c r="J614" s="27"/>
    </row>
    <row r="615" spans="1:10" ht="15.75" customHeight="1" x14ac:dyDescent="0.2">
      <c r="J615" s="27"/>
    </row>
    <row r="616" spans="1:10" ht="15.75" customHeight="1" x14ac:dyDescent="0.2">
      <c r="J616" s="27"/>
    </row>
    <row r="617" spans="1:10" ht="15.75" customHeight="1" x14ac:dyDescent="0.2">
      <c r="J617" s="27"/>
    </row>
    <row r="618" spans="1:10" ht="15.75" customHeight="1" x14ac:dyDescent="0.2">
      <c r="J618" s="27"/>
    </row>
    <row r="619" spans="1:10" ht="15.75" customHeight="1" x14ac:dyDescent="0.2">
      <c r="J619" s="27"/>
    </row>
    <row r="620" spans="1:10" ht="15.75" customHeight="1" x14ac:dyDescent="0.2">
      <c r="J620" s="27"/>
    </row>
    <row r="621" spans="1:10" ht="15.75" customHeight="1" x14ac:dyDescent="0.2">
      <c r="J621" s="27"/>
    </row>
    <row r="622" spans="1:10" ht="15.75" customHeight="1" x14ac:dyDescent="0.2">
      <c r="J622" s="27"/>
    </row>
    <row r="623" spans="1:10" ht="15.75" customHeight="1" x14ac:dyDescent="0.2">
      <c r="J623" s="27"/>
    </row>
    <row r="624" spans="1:10" ht="15.75" customHeight="1" x14ac:dyDescent="0.2">
      <c r="J624" s="27"/>
    </row>
    <row r="625" spans="10:10" ht="15.75" customHeight="1" x14ac:dyDescent="0.2">
      <c r="J625" s="27"/>
    </row>
    <row r="626" spans="10:10" ht="15.75" customHeight="1" x14ac:dyDescent="0.2">
      <c r="J626" s="27"/>
    </row>
    <row r="627" spans="10:10" ht="15.75" customHeight="1" x14ac:dyDescent="0.2">
      <c r="J627" s="27"/>
    </row>
    <row r="628" spans="10:10" ht="15.75" customHeight="1" x14ac:dyDescent="0.2">
      <c r="J628" s="27"/>
    </row>
    <row r="629" spans="10:10" ht="15.75" customHeight="1" x14ac:dyDescent="0.2">
      <c r="J629" s="27"/>
    </row>
    <row r="630" spans="10:10" ht="15.75" customHeight="1" x14ac:dyDescent="0.2">
      <c r="J630" s="27"/>
    </row>
    <row r="631" spans="10:10" ht="15.75" customHeight="1" x14ac:dyDescent="0.2">
      <c r="J631" s="27"/>
    </row>
    <row r="632" spans="10:10" ht="15.75" customHeight="1" x14ac:dyDescent="0.2">
      <c r="J632" s="27"/>
    </row>
    <row r="633" spans="10:10" ht="15.75" customHeight="1" x14ac:dyDescent="0.2">
      <c r="J633" s="27"/>
    </row>
    <row r="634" spans="10:10" ht="15.75" customHeight="1" x14ac:dyDescent="0.2">
      <c r="J634" s="27"/>
    </row>
    <row r="635" spans="10:10" ht="15.75" customHeight="1" x14ac:dyDescent="0.2">
      <c r="J635" s="27"/>
    </row>
    <row r="636" spans="10:10" ht="15.75" customHeight="1" x14ac:dyDescent="0.2">
      <c r="J636" s="27"/>
    </row>
    <row r="637" spans="10:10" ht="15.75" customHeight="1" x14ac:dyDescent="0.2">
      <c r="J637" s="27"/>
    </row>
    <row r="638" spans="10:10" ht="15.75" customHeight="1" x14ac:dyDescent="0.2">
      <c r="J638" s="27"/>
    </row>
    <row r="639" spans="10:10" ht="15.75" customHeight="1" x14ac:dyDescent="0.2">
      <c r="J639" s="27"/>
    </row>
    <row r="640" spans="10:10" ht="15.75" customHeight="1" x14ac:dyDescent="0.2">
      <c r="J640" s="27"/>
    </row>
    <row r="641" spans="10:10" ht="15.75" customHeight="1" x14ac:dyDescent="0.2">
      <c r="J641" s="27"/>
    </row>
    <row r="642" spans="10:10" ht="15.75" customHeight="1" x14ac:dyDescent="0.2">
      <c r="J642" s="27"/>
    </row>
    <row r="643" spans="10:10" ht="15.75" customHeight="1" x14ac:dyDescent="0.2">
      <c r="J643" s="27"/>
    </row>
    <row r="644" spans="10:10" ht="15.75" customHeight="1" x14ac:dyDescent="0.2">
      <c r="J644" s="27"/>
    </row>
    <row r="645" spans="10:10" ht="15.75" customHeight="1" x14ac:dyDescent="0.2">
      <c r="J645" s="27"/>
    </row>
    <row r="646" spans="10:10" ht="15.75" customHeight="1" x14ac:dyDescent="0.2">
      <c r="J646" s="27"/>
    </row>
    <row r="647" spans="10:10" ht="15.75" customHeight="1" x14ac:dyDescent="0.2">
      <c r="J647" s="27"/>
    </row>
    <row r="648" spans="10:10" ht="15.75" customHeight="1" x14ac:dyDescent="0.2">
      <c r="J648" s="27"/>
    </row>
    <row r="649" spans="10:10" ht="15.75" customHeight="1" x14ac:dyDescent="0.2">
      <c r="J649" s="27"/>
    </row>
    <row r="650" spans="10:10" ht="15.75" customHeight="1" x14ac:dyDescent="0.2">
      <c r="J650" s="27"/>
    </row>
    <row r="651" spans="10:10" ht="15.75" customHeight="1" x14ac:dyDescent="0.2">
      <c r="J651" s="27"/>
    </row>
    <row r="652" spans="10:10" ht="15.75" customHeight="1" x14ac:dyDescent="0.2">
      <c r="J652" s="27"/>
    </row>
    <row r="653" spans="10:10" ht="15.75" customHeight="1" x14ac:dyDescent="0.2">
      <c r="J653" s="27"/>
    </row>
    <row r="654" spans="10:10" ht="15.75" customHeight="1" x14ac:dyDescent="0.2">
      <c r="J654" s="27"/>
    </row>
    <row r="655" spans="10:10" ht="15.75" customHeight="1" x14ac:dyDescent="0.2">
      <c r="J655" s="27"/>
    </row>
    <row r="656" spans="10:10" ht="15.75" customHeight="1" x14ac:dyDescent="0.2">
      <c r="J656" s="27"/>
    </row>
    <row r="657" spans="10:10" ht="15.75" customHeight="1" x14ac:dyDescent="0.2">
      <c r="J657" s="27"/>
    </row>
    <row r="658" spans="10:10" ht="15.75" customHeight="1" x14ac:dyDescent="0.2">
      <c r="J658" s="27"/>
    </row>
    <row r="659" spans="10:10" ht="15.75" customHeight="1" x14ac:dyDescent="0.2">
      <c r="J659" s="27"/>
    </row>
    <row r="660" spans="10:10" ht="15.75" customHeight="1" x14ac:dyDescent="0.2">
      <c r="J660" s="27"/>
    </row>
    <row r="661" spans="10:10" ht="15.75" customHeight="1" x14ac:dyDescent="0.2">
      <c r="J661" s="27"/>
    </row>
    <row r="662" spans="10:10" ht="15.75" customHeight="1" x14ac:dyDescent="0.2">
      <c r="J662" s="27"/>
    </row>
    <row r="663" spans="10:10" ht="15.75" customHeight="1" x14ac:dyDescent="0.2">
      <c r="J663" s="27"/>
    </row>
    <row r="664" spans="10:10" ht="15.75" customHeight="1" x14ac:dyDescent="0.2">
      <c r="J664" s="27"/>
    </row>
    <row r="665" spans="10:10" ht="15.75" customHeight="1" x14ac:dyDescent="0.2">
      <c r="J665" s="27"/>
    </row>
    <row r="666" spans="10:10" ht="15.75" customHeight="1" x14ac:dyDescent="0.2">
      <c r="J666" s="27"/>
    </row>
    <row r="667" spans="10:10" ht="15.75" customHeight="1" x14ac:dyDescent="0.2">
      <c r="J667" s="27"/>
    </row>
    <row r="668" spans="10:10" ht="15.75" customHeight="1" x14ac:dyDescent="0.2">
      <c r="J668" s="27"/>
    </row>
    <row r="669" spans="10:10" ht="15.75" customHeight="1" x14ac:dyDescent="0.2">
      <c r="J669" s="27"/>
    </row>
    <row r="670" spans="10:10" ht="15.75" customHeight="1" x14ac:dyDescent="0.2">
      <c r="J670" s="27"/>
    </row>
    <row r="671" spans="10:10" ht="15.75" customHeight="1" x14ac:dyDescent="0.2">
      <c r="J671" s="27"/>
    </row>
    <row r="672" spans="10:10" ht="15.75" customHeight="1" x14ac:dyDescent="0.2">
      <c r="J672" s="27"/>
    </row>
    <row r="673" spans="10:10" ht="15.75" customHeight="1" x14ac:dyDescent="0.2">
      <c r="J673" s="27"/>
    </row>
    <row r="674" spans="10:10" ht="15.75" customHeight="1" x14ac:dyDescent="0.2">
      <c r="J674" s="27"/>
    </row>
    <row r="675" spans="10:10" ht="15.75" customHeight="1" x14ac:dyDescent="0.2">
      <c r="J675" s="27"/>
    </row>
    <row r="676" spans="10:10" ht="15.75" customHeight="1" x14ac:dyDescent="0.2">
      <c r="J676" s="27"/>
    </row>
    <row r="677" spans="10:10" ht="15.75" customHeight="1" x14ac:dyDescent="0.2">
      <c r="J677" s="27"/>
    </row>
    <row r="678" spans="10:10" ht="15.75" customHeight="1" x14ac:dyDescent="0.2">
      <c r="J678" s="27"/>
    </row>
    <row r="679" spans="10:10" ht="15.75" customHeight="1" x14ac:dyDescent="0.2">
      <c r="J679" s="27"/>
    </row>
    <row r="680" spans="10:10" ht="15.75" customHeight="1" x14ac:dyDescent="0.2">
      <c r="J680" s="27"/>
    </row>
    <row r="681" spans="10:10" ht="15.75" customHeight="1" x14ac:dyDescent="0.2">
      <c r="J681" s="27"/>
    </row>
    <row r="682" spans="10:10" ht="15.75" customHeight="1" x14ac:dyDescent="0.2">
      <c r="J682" s="27"/>
    </row>
    <row r="683" spans="10:10" ht="15.75" customHeight="1" x14ac:dyDescent="0.2">
      <c r="J683" s="27"/>
    </row>
    <row r="684" spans="10:10" ht="15.75" customHeight="1" x14ac:dyDescent="0.2">
      <c r="J684" s="27"/>
    </row>
    <row r="685" spans="10:10" ht="15.75" customHeight="1" x14ac:dyDescent="0.2">
      <c r="J685" s="27"/>
    </row>
    <row r="686" spans="10:10" ht="15.75" customHeight="1" x14ac:dyDescent="0.2">
      <c r="J686" s="27"/>
    </row>
    <row r="687" spans="10:10" ht="15.75" customHeight="1" x14ac:dyDescent="0.2">
      <c r="J687" s="27"/>
    </row>
    <row r="688" spans="10:10" ht="15.75" customHeight="1" x14ac:dyDescent="0.2">
      <c r="J688" s="27"/>
    </row>
    <row r="689" spans="10:10" ht="15.75" customHeight="1" x14ac:dyDescent="0.2">
      <c r="J689" s="27"/>
    </row>
    <row r="690" spans="10:10" ht="15.75" customHeight="1" x14ac:dyDescent="0.2">
      <c r="J690" s="27"/>
    </row>
    <row r="691" spans="10:10" ht="15.75" customHeight="1" x14ac:dyDescent="0.2">
      <c r="J691" s="27"/>
    </row>
    <row r="692" spans="10:10" ht="15.75" customHeight="1" x14ac:dyDescent="0.2">
      <c r="J692" s="27"/>
    </row>
    <row r="693" spans="10:10" ht="15.75" customHeight="1" x14ac:dyDescent="0.2">
      <c r="J693" s="27"/>
    </row>
    <row r="694" spans="10:10" ht="15.75" customHeight="1" x14ac:dyDescent="0.2">
      <c r="J694" s="27"/>
    </row>
    <row r="695" spans="10:10" ht="15.75" customHeight="1" x14ac:dyDescent="0.2">
      <c r="J695" s="27"/>
    </row>
    <row r="696" spans="10:10" ht="15.75" customHeight="1" x14ac:dyDescent="0.2">
      <c r="J696" s="27"/>
    </row>
    <row r="697" spans="10:10" ht="15.75" customHeight="1" x14ac:dyDescent="0.2">
      <c r="J697" s="27"/>
    </row>
    <row r="698" spans="10:10" ht="15.75" customHeight="1" x14ac:dyDescent="0.2">
      <c r="J698" s="27"/>
    </row>
    <row r="699" spans="10:10" ht="15.75" customHeight="1" x14ac:dyDescent="0.2">
      <c r="J699" s="27"/>
    </row>
    <row r="700" spans="10:10" ht="15.75" customHeight="1" x14ac:dyDescent="0.2">
      <c r="J700" s="27"/>
    </row>
    <row r="701" spans="10:10" ht="15.75" customHeight="1" x14ac:dyDescent="0.2">
      <c r="J701" s="27"/>
    </row>
    <row r="702" spans="10:10" ht="15.75" customHeight="1" x14ac:dyDescent="0.2">
      <c r="J702" s="27"/>
    </row>
    <row r="703" spans="10:10" ht="15.75" customHeight="1" x14ac:dyDescent="0.2">
      <c r="J703" s="27"/>
    </row>
    <row r="704" spans="10:10" ht="15.75" customHeight="1" x14ac:dyDescent="0.2">
      <c r="J704" s="27"/>
    </row>
    <row r="705" spans="10:10" ht="15.75" customHeight="1" x14ac:dyDescent="0.2">
      <c r="J705" s="27"/>
    </row>
    <row r="706" spans="10:10" ht="15.75" customHeight="1" x14ac:dyDescent="0.2">
      <c r="J706" s="27"/>
    </row>
    <row r="707" spans="10:10" ht="15.75" customHeight="1" x14ac:dyDescent="0.2">
      <c r="J707" s="27"/>
    </row>
    <row r="708" spans="10:10" ht="15.75" customHeight="1" x14ac:dyDescent="0.2">
      <c r="J708" s="27"/>
    </row>
    <row r="709" spans="10:10" ht="15.75" customHeight="1" x14ac:dyDescent="0.2">
      <c r="J709" s="27"/>
    </row>
    <row r="710" spans="10:10" ht="15.75" customHeight="1" x14ac:dyDescent="0.2">
      <c r="J710" s="27"/>
    </row>
    <row r="711" spans="10:10" ht="15.75" customHeight="1" x14ac:dyDescent="0.2">
      <c r="J711" s="27"/>
    </row>
    <row r="712" spans="10:10" ht="15.75" customHeight="1" x14ac:dyDescent="0.2">
      <c r="J712" s="27"/>
    </row>
    <row r="713" spans="10:10" ht="15.75" customHeight="1" x14ac:dyDescent="0.2">
      <c r="J713" s="27"/>
    </row>
    <row r="714" spans="10:10" ht="15.75" customHeight="1" x14ac:dyDescent="0.2">
      <c r="J714" s="27"/>
    </row>
    <row r="715" spans="10:10" ht="15.75" customHeight="1" x14ac:dyDescent="0.2">
      <c r="J715" s="27"/>
    </row>
    <row r="716" spans="10:10" ht="15.75" customHeight="1" x14ac:dyDescent="0.2">
      <c r="J716" s="27"/>
    </row>
    <row r="717" spans="10:10" ht="15.75" customHeight="1" x14ac:dyDescent="0.2">
      <c r="J717" s="27"/>
    </row>
    <row r="718" spans="10:10" ht="15.75" customHeight="1" x14ac:dyDescent="0.2">
      <c r="J718" s="27"/>
    </row>
    <row r="719" spans="10:10" ht="15.75" customHeight="1" x14ac:dyDescent="0.2">
      <c r="J719" s="27"/>
    </row>
    <row r="720" spans="10:10" ht="15.75" customHeight="1" x14ac:dyDescent="0.2">
      <c r="J720" s="27"/>
    </row>
    <row r="721" spans="10:10" ht="15.75" customHeight="1" x14ac:dyDescent="0.2">
      <c r="J721" s="27"/>
    </row>
    <row r="722" spans="10:10" ht="15.75" customHeight="1" x14ac:dyDescent="0.2">
      <c r="J722" s="27"/>
    </row>
    <row r="723" spans="10:10" ht="15.75" customHeight="1" x14ac:dyDescent="0.2">
      <c r="J723" s="27"/>
    </row>
    <row r="724" spans="10:10" ht="15.75" customHeight="1" x14ac:dyDescent="0.2">
      <c r="J724" s="27"/>
    </row>
    <row r="725" spans="10:10" ht="15.75" customHeight="1" x14ac:dyDescent="0.2">
      <c r="J725" s="27"/>
    </row>
    <row r="726" spans="10:10" ht="15.75" customHeight="1" x14ac:dyDescent="0.2">
      <c r="J726" s="27"/>
    </row>
    <row r="727" spans="10:10" ht="15.75" customHeight="1" x14ac:dyDescent="0.2">
      <c r="J727" s="27"/>
    </row>
    <row r="728" spans="10:10" ht="15.75" customHeight="1" x14ac:dyDescent="0.2">
      <c r="J728" s="27"/>
    </row>
    <row r="729" spans="10:10" ht="15.75" customHeight="1" x14ac:dyDescent="0.2">
      <c r="J729" s="27"/>
    </row>
    <row r="730" spans="10:10" ht="15.75" customHeight="1" x14ac:dyDescent="0.2">
      <c r="J730" s="27"/>
    </row>
    <row r="731" spans="10:10" ht="15.75" customHeight="1" x14ac:dyDescent="0.2">
      <c r="J731" s="27"/>
    </row>
    <row r="732" spans="10:10" ht="15.75" customHeight="1" x14ac:dyDescent="0.2">
      <c r="J732" s="27"/>
    </row>
    <row r="733" spans="10:10" ht="15.75" customHeight="1" x14ac:dyDescent="0.2">
      <c r="J733" s="27"/>
    </row>
    <row r="734" spans="10:10" ht="15.75" customHeight="1" x14ac:dyDescent="0.2">
      <c r="J734" s="27"/>
    </row>
    <row r="735" spans="10:10" ht="15.75" customHeight="1" x14ac:dyDescent="0.2">
      <c r="J735" s="27"/>
    </row>
    <row r="736" spans="10:10" ht="15.75" customHeight="1" x14ac:dyDescent="0.2">
      <c r="J736" s="27"/>
    </row>
    <row r="737" spans="10:10" ht="15.75" customHeight="1" x14ac:dyDescent="0.2">
      <c r="J737" s="27"/>
    </row>
    <row r="738" spans="10:10" ht="15.75" customHeight="1" x14ac:dyDescent="0.2">
      <c r="J738" s="27"/>
    </row>
    <row r="739" spans="10:10" ht="15.75" customHeight="1" x14ac:dyDescent="0.2">
      <c r="J739" s="27"/>
    </row>
    <row r="740" spans="10:10" ht="15.75" customHeight="1" x14ac:dyDescent="0.2">
      <c r="J740" s="27"/>
    </row>
    <row r="741" spans="10:10" ht="15.75" customHeight="1" x14ac:dyDescent="0.2">
      <c r="J741" s="27"/>
    </row>
    <row r="742" spans="10:10" ht="15.75" customHeight="1" x14ac:dyDescent="0.2">
      <c r="J742" s="27"/>
    </row>
    <row r="743" spans="10:10" ht="15.75" customHeight="1" x14ac:dyDescent="0.2">
      <c r="J743" s="27"/>
    </row>
    <row r="744" spans="10:10" ht="15.75" customHeight="1" x14ac:dyDescent="0.2">
      <c r="J744" s="27"/>
    </row>
    <row r="745" spans="10:10" ht="15.75" customHeight="1" x14ac:dyDescent="0.2">
      <c r="J745" s="27"/>
    </row>
    <row r="746" spans="10:10" ht="15.75" customHeight="1" x14ac:dyDescent="0.2">
      <c r="J746" s="27"/>
    </row>
    <row r="747" spans="10:10" ht="15.75" customHeight="1" x14ac:dyDescent="0.2">
      <c r="J747" s="27"/>
    </row>
    <row r="748" spans="10:10" ht="15.75" customHeight="1" x14ac:dyDescent="0.2">
      <c r="J748" s="27"/>
    </row>
    <row r="749" spans="10:10" ht="15.75" customHeight="1" x14ac:dyDescent="0.2">
      <c r="J749" s="27"/>
    </row>
    <row r="750" spans="10:10" ht="15.75" customHeight="1" x14ac:dyDescent="0.2">
      <c r="J750" s="27"/>
    </row>
    <row r="751" spans="10:10" ht="15.75" customHeight="1" x14ac:dyDescent="0.2">
      <c r="J751" s="27"/>
    </row>
    <row r="752" spans="10:10" ht="15.75" customHeight="1" x14ac:dyDescent="0.2">
      <c r="J752" s="27"/>
    </row>
    <row r="753" spans="10:10" ht="15.75" customHeight="1" x14ac:dyDescent="0.2">
      <c r="J753" s="27"/>
    </row>
    <row r="754" spans="10:10" ht="15.75" customHeight="1" x14ac:dyDescent="0.2">
      <c r="J754" s="27"/>
    </row>
    <row r="755" spans="10:10" ht="15.75" customHeight="1" x14ac:dyDescent="0.2">
      <c r="J755" s="27"/>
    </row>
    <row r="756" spans="10:10" ht="15.75" customHeight="1" x14ac:dyDescent="0.2">
      <c r="J756" s="27"/>
    </row>
    <row r="757" spans="10:10" ht="15.75" customHeight="1" x14ac:dyDescent="0.2">
      <c r="J757" s="27"/>
    </row>
    <row r="758" spans="10:10" ht="15.75" customHeight="1" x14ac:dyDescent="0.2">
      <c r="J758" s="27"/>
    </row>
    <row r="759" spans="10:10" ht="15.75" customHeight="1" x14ac:dyDescent="0.2">
      <c r="J759" s="27"/>
    </row>
    <row r="760" spans="10:10" ht="15.75" customHeight="1" x14ac:dyDescent="0.2">
      <c r="J760" s="27"/>
    </row>
    <row r="761" spans="10:10" ht="15.75" customHeight="1" x14ac:dyDescent="0.2">
      <c r="J761" s="27"/>
    </row>
    <row r="762" spans="10:10" ht="15.75" customHeight="1" x14ac:dyDescent="0.2">
      <c r="J762" s="27"/>
    </row>
    <row r="763" spans="10:10" ht="15.75" customHeight="1" x14ac:dyDescent="0.2">
      <c r="J763" s="27"/>
    </row>
    <row r="764" spans="10:10" ht="15.75" customHeight="1" x14ac:dyDescent="0.2">
      <c r="J764" s="27"/>
    </row>
    <row r="765" spans="10:10" ht="15.75" customHeight="1" x14ac:dyDescent="0.2">
      <c r="J765" s="27"/>
    </row>
    <row r="766" spans="10:10" ht="15.75" customHeight="1" x14ac:dyDescent="0.2">
      <c r="J766" s="27"/>
    </row>
    <row r="767" spans="10:10" ht="15.75" customHeight="1" x14ac:dyDescent="0.2">
      <c r="J767" s="27"/>
    </row>
    <row r="768" spans="10:10" ht="15.75" customHeight="1" x14ac:dyDescent="0.2">
      <c r="J768" s="27"/>
    </row>
    <row r="769" spans="10:10" ht="15.75" customHeight="1" x14ac:dyDescent="0.2">
      <c r="J769" s="27"/>
    </row>
    <row r="770" spans="10:10" ht="15.75" customHeight="1" x14ac:dyDescent="0.2">
      <c r="J770" s="27"/>
    </row>
    <row r="771" spans="10:10" ht="15.75" customHeight="1" x14ac:dyDescent="0.2">
      <c r="J771" s="27"/>
    </row>
    <row r="772" spans="10:10" ht="15.75" customHeight="1" x14ac:dyDescent="0.2">
      <c r="J772" s="27"/>
    </row>
    <row r="773" spans="10:10" ht="15.75" customHeight="1" x14ac:dyDescent="0.2">
      <c r="J773" s="27"/>
    </row>
    <row r="774" spans="10:10" ht="15.75" customHeight="1" x14ac:dyDescent="0.2">
      <c r="J774" s="27"/>
    </row>
    <row r="775" spans="10:10" ht="15.75" customHeight="1" x14ac:dyDescent="0.2">
      <c r="J775" s="27"/>
    </row>
    <row r="776" spans="10:10" ht="15.75" customHeight="1" x14ac:dyDescent="0.2">
      <c r="J776" s="27"/>
    </row>
    <row r="777" spans="10:10" ht="15.75" customHeight="1" x14ac:dyDescent="0.2">
      <c r="J777" s="27"/>
    </row>
    <row r="778" spans="10:10" ht="15.75" customHeight="1" x14ac:dyDescent="0.2">
      <c r="J778" s="27"/>
    </row>
    <row r="779" spans="10:10" ht="15.75" customHeight="1" x14ac:dyDescent="0.2">
      <c r="J779" s="27"/>
    </row>
    <row r="780" spans="10:10" ht="15.75" customHeight="1" x14ac:dyDescent="0.2">
      <c r="J780" s="27"/>
    </row>
    <row r="781" spans="10:10" ht="15.75" customHeight="1" x14ac:dyDescent="0.2">
      <c r="J781" s="27"/>
    </row>
    <row r="782" spans="10:10" ht="15.75" customHeight="1" x14ac:dyDescent="0.2">
      <c r="J782" s="27"/>
    </row>
    <row r="783" spans="10:10" ht="15.75" customHeight="1" x14ac:dyDescent="0.2">
      <c r="J783" s="27"/>
    </row>
    <row r="784" spans="10:10" ht="15.75" customHeight="1" x14ac:dyDescent="0.2">
      <c r="J784" s="27"/>
    </row>
    <row r="785" spans="10:10" ht="15.75" customHeight="1" x14ac:dyDescent="0.2">
      <c r="J785" s="27"/>
    </row>
    <row r="786" spans="10:10" ht="15.75" customHeight="1" x14ac:dyDescent="0.2">
      <c r="J786" s="27"/>
    </row>
    <row r="787" spans="10:10" ht="15.75" customHeight="1" x14ac:dyDescent="0.2">
      <c r="J787" s="27"/>
    </row>
    <row r="788" spans="10:10" ht="15.75" customHeight="1" x14ac:dyDescent="0.2">
      <c r="J788" s="27"/>
    </row>
    <row r="789" spans="10:10" ht="15.75" customHeight="1" x14ac:dyDescent="0.2">
      <c r="J789" s="27"/>
    </row>
    <row r="790" spans="10:10" ht="15.75" customHeight="1" x14ac:dyDescent="0.2">
      <c r="J790" s="27"/>
    </row>
    <row r="791" spans="10:10" ht="15.75" customHeight="1" x14ac:dyDescent="0.2">
      <c r="J791" s="27"/>
    </row>
    <row r="792" spans="10:10" ht="15.75" customHeight="1" x14ac:dyDescent="0.2">
      <c r="J792" s="27"/>
    </row>
    <row r="793" spans="10:10" ht="15.75" customHeight="1" x14ac:dyDescent="0.2">
      <c r="J793" s="27"/>
    </row>
    <row r="794" spans="10:10" ht="15.75" customHeight="1" x14ac:dyDescent="0.2">
      <c r="J794" s="27"/>
    </row>
    <row r="795" spans="10:10" ht="15.75" customHeight="1" x14ac:dyDescent="0.2">
      <c r="J795" s="27"/>
    </row>
    <row r="796" spans="10:10" ht="15.75" customHeight="1" x14ac:dyDescent="0.2">
      <c r="J796" s="27"/>
    </row>
    <row r="797" spans="10:10" ht="15.75" customHeight="1" x14ac:dyDescent="0.2">
      <c r="J797" s="27"/>
    </row>
    <row r="798" spans="10:10" ht="15.75" customHeight="1" x14ac:dyDescent="0.2">
      <c r="J798" s="27"/>
    </row>
    <row r="799" spans="10:10" ht="15.75" customHeight="1" x14ac:dyDescent="0.2">
      <c r="J799" s="27"/>
    </row>
    <row r="800" spans="10:10" ht="15.75" customHeight="1" x14ac:dyDescent="0.2">
      <c r="J800" s="27"/>
    </row>
    <row r="801" spans="10:10" ht="15.75" customHeight="1" x14ac:dyDescent="0.2">
      <c r="J801" s="27"/>
    </row>
    <row r="802" spans="10:10" ht="15.75" customHeight="1" x14ac:dyDescent="0.2">
      <c r="J802" s="27"/>
    </row>
    <row r="803" spans="10:10" ht="15.75" customHeight="1" x14ac:dyDescent="0.2">
      <c r="J803" s="27"/>
    </row>
    <row r="804" spans="10:10" ht="15.75" customHeight="1" x14ac:dyDescent="0.2">
      <c r="J804" s="27"/>
    </row>
    <row r="805" spans="10:10" ht="15.75" customHeight="1" x14ac:dyDescent="0.2">
      <c r="J805" s="27"/>
    </row>
    <row r="806" spans="10:10" ht="15.75" customHeight="1" x14ac:dyDescent="0.2">
      <c r="J806" s="27"/>
    </row>
    <row r="807" spans="10:10" ht="15.75" customHeight="1" x14ac:dyDescent="0.2">
      <c r="J807" s="27"/>
    </row>
    <row r="808" spans="10:10" ht="15.75" customHeight="1" x14ac:dyDescent="0.2">
      <c r="J808" s="27"/>
    </row>
    <row r="809" spans="10:10" ht="15.75" customHeight="1" x14ac:dyDescent="0.2">
      <c r="J809" s="27"/>
    </row>
    <row r="810" spans="10:10" ht="15.75" customHeight="1" x14ac:dyDescent="0.2">
      <c r="J810" s="27"/>
    </row>
    <row r="811" spans="10:10" ht="15.75" customHeight="1" x14ac:dyDescent="0.2">
      <c r="J811" s="27"/>
    </row>
    <row r="812" spans="10:10" ht="15.75" customHeight="1" x14ac:dyDescent="0.2">
      <c r="J812" s="27"/>
    </row>
    <row r="813" spans="10:10" ht="15.75" customHeight="1" x14ac:dyDescent="0.2">
      <c r="J813" s="27"/>
    </row>
    <row r="814" spans="10:10" ht="15.75" customHeight="1" x14ac:dyDescent="0.2">
      <c r="J814" s="27"/>
    </row>
    <row r="815" spans="10:10" ht="15.75" customHeight="1" x14ac:dyDescent="0.2">
      <c r="J815" s="27"/>
    </row>
    <row r="816" spans="10:10" ht="15.75" customHeight="1" x14ac:dyDescent="0.2">
      <c r="J816" s="27"/>
    </row>
    <row r="817" spans="10:10" ht="15.75" customHeight="1" x14ac:dyDescent="0.2">
      <c r="J817" s="27"/>
    </row>
    <row r="818" spans="10:10" ht="15.75" customHeight="1" x14ac:dyDescent="0.2">
      <c r="J818" s="27"/>
    </row>
    <row r="819" spans="10:10" ht="15.75" customHeight="1" x14ac:dyDescent="0.2">
      <c r="J819" s="27"/>
    </row>
    <row r="820" spans="10:10" ht="15.75" customHeight="1" x14ac:dyDescent="0.2">
      <c r="J820" s="27"/>
    </row>
    <row r="821" spans="10:10" ht="15.75" customHeight="1" x14ac:dyDescent="0.2">
      <c r="J821" s="27"/>
    </row>
    <row r="822" spans="10:10" ht="15.75" customHeight="1" x14ac:dyDescent="0.2">
      <c r="J822" s="27"/>
    </row>
    <row r="823" spans="10:10" ht="15.75" customHeight="1" x14ac:dyDescent="0.2">
      <c r="J823" s="27"/>
    </row>
    <row r="824" spans="10:10" ht="15.75" customHeight="1" x14ac:dyDescent="0.2">
      <c r="J824" s="27"/>
    </row>
    <row r="825" spans="10:10" ht="15.75" customHeight="1" x14ac:dyDescent="0.2">
      <c r="J825" s="27"/>
    </row>
    <row r="826" spans="10:10" ht="15.75" customHeight="1" x14ac:dyDescent="0.2">
      <c r="J826" s="27"/>
    </row>
    <row r="827" spans="10:10" ht="15.75" customHeight="1" x14ac:dyDescent="0.2">
      <c r="J827" s="27"/>
    </row>
    <row r="828" spans="10:10" ht="15.75" customHeight="1" x14ac:dyDescent="0.2">
      <c r="J828" s="27"/>
    </row>
    <row r="829" spans="10:10" ht="15.75" customHeight="1" x14ac:dyDescent="0.2">
      <c r="J829" s="27"/>
    </row>
    <row r="830" spans="10:10" ht="15.75" customHeight="1" x14ac:dyDescent="0.2">
      <c r="J830" s="27"/>
    </row>
    <row r="831" spans="10:10" ht="15.75" customHeight="1" x14ac:dyDescent="0.2">
      <c r="J831" s="27"/>
    </row>
    <row r="832" spans="10:10" ht="15.75" customHeight="1" x14ac:dyDescent="0.2">
      <c r="J832" s="27"/>
    </row>
    <row r="833" spans="10:10" ht="15.75" customHeight="1" x14ac:dyDescent="0.2">
      <c r="J833" s="27"/>
    </row>
    <row r="834" spans="10:10" ht="15.75" customHeight="1" x14ac:dyDescent="0.2">
      <c r="J834" s="27"/>
    </row>
    <row r="835" spans="10:10" ht="15.75" customHeight="1" x14ac:dyDescent="0.2">
      <c r="J835" s="27"/>
    </row>
    <row r="836" spans="10:10" ht="15.75" customHeight="1" x14ac:dyDescent="0.2">
      <c r="J836" s="27"/>
    </row>
    <row r="837" spans="10:10" ht="15.75" customHeight="1" x14ac:dyDescent="0.2">
      <c r="J837" s="27"/>
    </row>
    <row r="838" spans="10:10" ht="15.75" customHeight="1" x14ac:dyDescent="0.2">
      <c r="J838" s="27"/>
    </row>
    <row r="839" spans="10:10" ht="15.75" customHeight="1" x14ac:dyDescent="0.2">
      <c r="J839" s="27"/>
    </row>
    <row r="840" spans="10:10" ht="15.75" customHeight="1" x14ac:dyDescent="0.2">
      <c r="J840" s="27"/>
    </row>
    <row r="841" spans="10:10" ht="15.75" customHeight="1" x14ac:dyDescent="0.2">
      <c r="J841" s="27"/>
    </row>
    <row r="842" spans="10:10" ht="15.75" customHeight="1" x14ac:dyDescent="0.2">
      <c r="J842" s="27"/>
    </row>
    <row r="843" spans="10:10" ht="15.75" customHeight="1" x14ac:dyDescent="0.2">
      <c r="J843" s="27"/>
    </row>
    <row r="844" spans="10:10" ht="15.75" customHeight="1" x14ac:dyDescent="0.2">
      <c r="J844" s="27"/>
    </row>
    <row r="845" spans="10:10" ht="15.75" customHeight="1" x14ac:dyDescent="0.2">
      <c r="J845" s="27"/>
    </row>
    <row r="846" spans="10:10" ht="15.75" customHeight="1" x14ac:dyDescent="0.2">
      <c r="J846" s="27"/>
    </row>
    <row r="847" spans="10:10" ht="15.75" customHeight="1" x14ac:dyDescent="0.2">
      <c r="J847" s="27"/>
    </row>
    <row r="848" spans="10:10" ht="15.75" customHeight="1" x14ac:dyDescent="0.2">
      <c r="J848" s="27"/>
    </row>
    <row r="849" spans="10:10" ht="15.75" customHeight="1" x14ac:dyDescent="0.2">
      <c r="J849" s="27"/>
    </row>
    <row r="850" spans="10:10" ht="15.75" customHeight="1" x14ac:dyDescent="0.2">
      <c r="J850" s="27"/>
    </row>
    <row r="851" spans="10:10" ht="15.75" customHeight="1" x14ac:dyDescent="0.2">
      <c r="J851" s="27"/>
    </row>
    <row r="852" spans="10:10" ht="15.75" customHeight="1" x14ac:dyDescent="0.2">
      <c r="J852" s="27"/>
    </row>
    <row r="853" spans="10:10" ht="15.75" customHeight="1" x14ac:dyDescent="0.2">
      <c r="J853" s="27"/>
    </row>
    <row r="854" spans="10:10" ht="15.75" customHeight="1" x14ac:dyDescent="0.2">
      <c r="J854" s="27"/>
    </row>
    <row r="855" spans="10:10" ht="15.75" customHeight="1" x14ac:dyDescent="0.2">
      <c r="J855" s="27"/>
    </row>
    <row r="856" spans="10:10" ht="15.75" customHeight="1" x14ac:dyDescent="0.2">
      <c r="J856" s="27"/>
    </row>
    <row r="857" spans="10:10" ht="15.75" customHeight="1" x14ac:dyDescent="0.2">
      <c r="J857" s="27"/>
    </row>
    <row r="858" spans="10:10" ht="15.75" customHeight="1" x14ac:dyDescent="0.2">
      <c r="J858" s="27"/>
    </row>
    <row r="859" spans="10:10" ht="15.75" customHeight="1" x14ac:dyDescent="0.2">
      <c r="J859" s="27"/>
    </row>
    <row r="860" spans="10:10" ht="15.75" customHeight="1" x14ac:dyDescent="0.2">
      <c r="J860" s="27"/>
    </row>
    <row r="861" spans="10:10" ht="15.75" customHeight="1" x14ac:dyDescent="0.2">
      <c r="J861" s="27"/>
    </row>
    <row r="862" spans="10:10" ht="15.75" customHeight="1" x14ac:dyDescent="0.2">
      <c r="J862" s="27"/>
    </row>
    <row r="863" spans="10:10" ht="15.75" customHeight="1" x14ac:dyDescent="0.2">
      <c r="J863" s="27"/>
    </row>
    <row r="864" spans="10:10" ht="15.75" customHeight="1" x14ac:dyDescent="0.2">
      <c r="J864" s="27"/>
    </row>
    <row r="865" spans="10:10" ht="15.75" customHeight="1" x14ac:dyDescent="0.2">
      <c r="J865" s="27"/>
    </row>
    <row r="866" spans="10:10" ht="15.75" customHeight="1" x14ac:dyDescent="0.2">
      <c r="J866" s="27"/>
    </row>
    <row r="867" spans="10:10" ht="15.75" customHeight="1" x14ac:dyDescent="0.2">
      <c r="J867" s="27"/>
    </row>
    <row r="868" spans="10:10" ht="15.75" customHeight="1" x14ac:dyDescent="0.2">
      <c r="J868" s="27"/>
    </row>
    <row r="869" spans="10:10" ht="15.75" customHeight="1" x14ac:dyDescent="0.2">
      <c r="J869" s="27"/>
    </row>
    <row r="870" spans="10:10" ht="15.75" customHeight="1" x14ac:dyDescent="0.2">
      <c r="J870" s="27"/>
    </row>
    <row r="871" spans="10:10" ht="15.75" customHeight="1" x14ac:dyDescent="0.2">
      <c r="J871" s="27"/>
    </row>
    <row r="872" spans="10:10" ht="15.75" customHeight="1" x14ac:dyDescent="0.2">
      <c r="J872" s="27"/>
    </row>
    <row r="873" spans="10:10" ht="15.75" customHeight="1" x14ac:dyDescent="0.2">
      <c r="J873" s="27"/>
    </row>
    <row r="874" spans="10:10" ht="15.75" customHeight="1" x14ac:dyDescent="0.2">
      <c r="J874" s="27"/>
    </row>
    <row r="875" spans="10:10" ht="15.75" customHeight="1" x14ac:dyDescent="0.2">
      <c r="J875" s="27"/>
    </row>
    <row r="876" spans="10:10" ht="15.75" customHeight="1" x14ac:dyDescent="0.2">
      <c r="J876" s="27"/>
    </row>
    <row r="877" spans="10:10" ht="15.75" customHeight="1" x14ac:dyDescent="0.2">
      <c r="J877" s="27"/>
    </row>
    <row r="878" spans="10:10" ht="15.75" customHeight="1" x14ac:dyDescent="0.2">
      <c r="J878" s="27"/>
    </row>
    <row r="879" spans="10:10" ht="15.75" customHeight="1" x14ac:dyDescent="0.2">
      <c r="J879" s="27"/>
    </row>
    <row r="880" spans="10:10" ht="15.75" customHeight="1" x14ac:dyDescent="0.2">
      <c r="J880" s="27"/>
    </row>
    <row r="881" spans="10:10" ht="15.75" customHeight="1" x14ac:dyDescent="0.2">
      <c r="J881" s="27"/>
    </row>
    <row r="882" spans="10:10" ht="15.75" customHeight="1" x14ac:dyDescent="0.2">
      <c r="J882" s="27"/>
    </row>
    <row r="883" spans="10:10" ht="15.75" customHeight="1" x14ac:dyDescent="0.2">
      <c r="J883" s="27"/>
    </row>
    <row r="884" spans="10:10" ht="15.75" customHeight="1" x14ac:dyDescent="0.2">
      <c r="J884" s="27"/>
    </row>
    <row r="885" spans="10:10" ht="15.75" customHeight="1" x14ac:dyDescent="0.2">
      <c r="J885" s="27"/>
    </row>
    <row r="886" spans="10:10" ht="15.75" customHeight="1" x14ac:dyDescent="0.2">
      <c r="J886" s="27"/>
    </row>
    <row r="887" spans="10:10" ht="15.75" customHeight="1" x14ac:dyDescent="0.2">
      <c r="J887" s="27"/>
    </row>
    <row r="888" spans="10:10" ht="15.75" customHeight="1" x14ac:dyDescent="0.2">
      <c r="J888" s="27"/>
    </row>
    <row r="889" spans="10:10" ht="15.75" customHeight="1" x14ac:dyDescent="0.2">
      <c r="J889" s="27"/>
    </row>
    <row r="890" spans="10:10" ht="15.75" customHeight="1" x14ac:dyDescent="0.2">
      <c r="J890" s="27"/>
    </row>
    <row r="891" spans="10:10" ht="15.75" customHeight="1" x14ac:dyDescent="0.2">
      <c r="J891" s="27"/>
    </row>
    <row r="892" spans="10:10" ht="15.75" customHeight="1" x14ac:dyDescent="0.2">
      <c r="J892" s="27"/>
    </row>
    <row r="893" spans="10:10" ht="15.75" customHeight="1" x14ac:dyDescent="0.2">
      <c r="J893" s="27"/>
    </row>
    <row r="894" spans="10:10" ht="15.75" customHeight="1" x14ac:dyDescent="0.2">
      <c r="J894" s="27"/>
    </row>
    <row r="895" spans="10:10" ht="15.75" customHeight="1" x14ac:dyDescent="0.2">
      <c r="J895" s="27"/>
    </row>
    <row r="896" spans="10:10" ht="15.75" customHeight="1" x14ac:dyDescent="0.2">
      <c r="J896" s="27"/>
    </row>
    <row r="897" spans="10:10" ht="15.75" customHeight="1" x14ac:dyDescent="0.2">
      <c r="J897" s="27"/>
    </row>
    <row r="898" spans="10:10" ht="15.75" customHeight="1" x14ac:dyDescent="0.2">
      <c r="J898" s="27"/>
    </row>
    <row r="899" spans="10:10" ht="15.75" customHeight="1" x14ac:dyDescent="0.2">
      <c r="J899" s="27"/>
    </row>
    <row r="900" spans="10:10" ht="15.75" customHeight="1" x14ac:dyDescent="0.2">
      <c r="J900" s="27"/>
    </row>
    <row r="901" spans="10:10" ht="15.75" customHeight="1" x14ac:dyDescent="0.2">
      <c r="J901" s="27"/>
    </row>
    <row r="902" spans="10:10" ht="15.75" customHeight="1" x14ac:dyDescent="0.2">
      <c r="J902" s="27"/>
    </row>
    <row r="903" spans="10:10" ht="15.75" customHeight="1" x14ac:dyDescent="0.2">
      <c r="J903" s="27"/>
    </row>
    <row r="904" spans="10:10" ht="15.75" customHeight="1" x14ac:dyDescent="0.2">
      <c r="J904" s="27"/>
    </row>
    <row r="905" spans="10:10" ht="15.75" customHeight="1" x14ac:dyDescent="0.2">
      <c r="J905" s="27"/>
    </row>
    <row r="906" spans="10:10" ht="15.75" customHeight="1" x14ac:dyDescent="0.2">
      <c r="J906" s="27"/>
    </row>
    <row r="907" spans="10:10" ht="15.75" customHeight="1" x14ac:dyDescent="0.2">
      <c r="J907" s="27"/>
    </row>
    <row r="908" spans="10:10" ht="15.75" customHeight="1" x14ac:dyDescent="0.2">
      <c r="J908" s="27"/>
    </row>
    <row r="909" spans="10:10" ht="15.75" customHeight="1" x14ac:dyDescent="0.2">
      <c r="J909" s="27"/>
    </row>
    <row r="910" spans="10:10" ht="15.75" customHeight="1" x14ac:dyDescent="0.2">
      <c r="J910" s="27"/>
    </row>
    <row r="911" spans="10:10" ht="15.75" customHeight="1" x14ac:dyDescent="0.2">
      <c r="J911" s="27"/>
    </row>
    <row r="912" spans="10:10" ht="15.75" customHeight="1" x14ac:dyDescent="0.2">
      <c r="J912" s="27"/>
    </row>
    <row r="913" spans="10:10" ht="15.75" customHeight="1" x14ac:dyDescent="0.2">
      <c r="J913" s="27"/>
    </row>
    <row r="914" spans="10:10" ht="15.75" customHeight="1" x14ac:dyDescent="0.2">
      <c r="J914" s="27"/>
    </row>
    <row r="915" spans="10:10" ht="15.75" customHeight="1" x14ac:dyDescent="0.2">
      <c r="J915" s="27"/>
    </row>
    <row r="916" spans="10:10" ht="15.75" customHeight="1" x14ac:dyDescent="0.2">
      <c r="J916" s="27"/>
    </row>
    <row r="917" spans="10:10" ht="15.75" customHeight="1" x14ac:dyDescent="0.2">
      <c r="J917" s="27"/>
    </row>
    <row r="918" spans="10:10" ht="15.75" customHeight="1" x14ac:dyDescent="0.2">
      <c r="J918" s="27"/>
    </row>
    <row r="919" spans="10:10" ht="15.75" customHeight="1" x14ac:dyDescent="0.2">
      <c r="J919" s="27"/>
    </row>
    <row r="920" spans="10:10" ht="15.75" customHeight="1" x14ac:dyDescent="0.2">
      <c r="J920" s="27"/>
    </row>
    <row r="921" spans="10:10" ht="15.75" customHeight="1" x14ac:dyDescent="0.2">
      <c r="J921" s="27"/>
    </row>
    <row r="922" spans="10:10" ht="15.75" customHeight="1" x14ac:dyDescent="0.2">
      <c r="J922" s="27"/>
    </row>
    <row r="923" spans="10:10" ht="15.75" customHeight="1" x14ac:dyDescent="0.2">
      <c r="J923" s="27"/>
    </row>
    <row r="924" spans="10:10" ht="15.75" customHeight="1" x14ac:dyDescent="0.2">
      <c r="J924" s="27"/>
    </row>
    <row r="925" spans="10:10" ht="15.75" customHeight="1" x14ac:dyDescent="0.2">
      <c r="J925" s="27"/>
    </row>
    <row r="926" spans="10:10" ht="15.75" customHeight="1" x14ac:dyDescent="0.2">
      <c r="J926" s="27"/>
    </row>
    <row r="927" spans="10:10" ht="15.75" customHeight="1" x14ac:dyDescent="0.2">
      <c r="J927" s="27"/>
    </row>
    <row r="928" spans="10:10" ht="15.75" customHeight="1" x14ac:dyDescent="0.2">
      <c r="J928" s="27"/>
    </row>
    <row r="929" spans="10:10" ht="15.75" customHeight="1" x14ac:dyDescent="0.2">
      <c r="J929" s="27"/>
    </row>
    <row r="930" spans="10:10" ht="15.75" customHeight="1" x14ac:dyDescent="0.2">
      <c r="J930" s="27"/>
    </row>
    <row r="931" spans="10:10" ht="15.75" customHeight="1" x14ac:dyDescent="0.2">
      <c r="J931" s="27"/>
    </row>
    <row r="932" spans="10:10" ht="15.75" customHeight="1" x14ac:dyDescent="0.2">
      <c r="J932" s="27"/>
    </row>
    <row r="933" spans="10:10" ht="15.75" customHeight="1" x14ac:dyDescent="0.2">
      <c r="J933" s="27"/>
    </row>
    <row r="934" spans="10:10" ht="15.75" customHeight="1" x14ac:dyDescent="0.2">
      <c r="J934" s="27"/>
    </row>
    <row r="935" spans="10:10" ht="15.75" customHeight="1" x14ac:dyDescent="0.2">
      <c r="J935" s="27"/>
    </row>
    <row r="936" spans="10:10" ht="15.75" customHeight="1" x14ac:dyDescent="0.2">
      <c r="J936" s="27"/>
    </row>
    <row r="937" spans="10:10" ht="15.75" customHeight="1" x14ac:dyDescent="0.2">
      <c r="J937" s="27"/>
    </row>
    <row r="938" spans="10:10" ht="15.75" customHeight="1" x14ac:dyDescent="0.2">
      <c r="J938" s="27"/>
    </row>
    <row r="939" spans="10:10" ht="15.75" customHeight="1" x14ac:dyDescent="0.2">
      <c r="J939" s="27"/>
    </row>
    <row r="940" spans="10:10" ht="15.75" customHeight="1" x14ac:dyDescent="0.2">
      <c r="J940" s="27"/>
    </row>
    <row r="941" spans="10:10" ht="15.75" customHeight="1" x14ac:dyDescent="0.2">
      <c r="J941" s="27"/>
    </row>
    <row r="942" spans="10:10" ht="15.75" customHeight="1" x14ac:dyDescent="0.2">
      <c r="J942" s="27"/>
    </row>
    <row r="943" spans="10:10" ht="15.75" customHeight="1" x14ac:dyDescent="0.2">
      <c r="J943" s="27"/>
    </row>
    <row r="944" spans="10:10" ht="15.75" customHeight="1" x14ac:dyDescent="0.2">
      <c r="J944" s="27"/>
    </row>
    <row r="945" spans="10:10" ht="15.75" customHeight="1" x14ac:dyDescent="0.2">
      <c r="J945" s="27"/>
    </row>
    <row r="946" spans="10:10" ht="15.75" customHeight="1" x14ac:dyDescent="0.2">
      <c r="J946" s="27"/>
    </row>
    <row r="947" spans="10:10" ht="15.75" customHeight="1" x14ac:dyDescent="0.2">
      <c r="J947" s="27"/>
    </row>
    <row r="948" spans="10:10" ht="15.75" customHeight="1" x14ac:dyDescent="0.2">
      <c r="J948" s="27"/>
    </row>
    <row r="949" spans="10:10" ht="15.75" customHeight="1" x14ac:dyDescent="0.2">
      <c r="J949" s="27"/>
    </row>
    <row r="950" spans="10:10" ht="15.75" customHeight="1" x14ac:dyDescent="0.2">
      <c r="J950" s="27"/>
    </row>
    <row r="951" spans="10:10" ht="15.75" customHeight="1" x14ac:dyDescent="0.2">
      <c r="J951" s="27"/>
    </row>
    <row r="952" spans="10:10" ht="15.75" customHeight="1" x14ac:dyDescent="0.2">
      <c r="J952" s="27"/>
    </row>
    <row r="953" spans="10:10" ht="15.75" customHeight="1" x14ac:dyDescent="0.2">
      <c r="J953" s="27"/>
    </row>
    <row r="954" spans="10:10" ht="15.75" customHeight="1" x14ac:dyDescent="0.2">
      <c r="J954" s="27"/>
    </row>
    <row r="955" spans="10:10" ht="15.75" customHeight="1" x14ac:dyDescent="0.2">
      <c r="J955" s="27"/>
    </row>
    <row r="956" spans="10:10" ht="15.75" customHeight="1" x14ac:dyDescent="0.2">
      <c r="J956" s="27"/>
    </row>
    <row r="957" spans="10:10" ht="15.75" customHeight="1" x14ac:dyDescent="0.2">
      <c r="J957" s="27"/>
    </row>
    <row r="958" spans="10:10" ht="15.75" customHeight="1" x14ac:dyDescent="0.2">
      <c r="J958" s="27"/>
    </row>
    <row r="959" spans="10:10" ht="15.75" customHeight="1" x14ac:dyDescent="0.2">
      <c r="J959" s="27"/>
    </row>
    <row r="960" spans="10:10" ht="15.75" customHeight="1" x14ac:dyDescent="0.2">
      <c r="J960" s="27"/>
    </row>
    <row r="961" spans="10:17" ht="15.75" customHeight="1" x14ac:dyDescent="0.2">
      <c r="J961" s="27"/>
    </row>
    <row r="962" spans="10:17" ht="15.75" customHeight="1" x14ac:dyDescent="0.2">
      <c r="J962" s="27"/>
    </row>
    <row r="963" spans="10:17" ht="15.75" customHeight="1" x14ac:dyDescent="0.2">
      <c r="J963" s="27"/>
    </row>
    <row r="964" spans="10:17" ht="15.75" customHeight="1" x14ac:dyDescent="0.2">
      <c r="J964" s="27"/>
    </row>
    <row r="965" spans="10:17" ht="15.75" customHeight="1" x14ac:dyDescent="0.2">
      <c r="J965" s="27"/>
    </row>
    <row r="966" spans="10:17" ht="15.75" customHeight="1" x14ac:dyDescent="0.2">
      <c r="J966" s="27"/>
    </row>
    <row r="967" spans="10:17" ht="15.75" customHeight="1" x14ac:dyDescent="0.2">
      <c r="J967" s="27"/>
    </row>
    <row r="968" spans="10:17" ht="15.75" customHeight="1" x14ac:dyDescent="0.2">
      <c r="J968" s="27"/>
    </row>
    <row r="969" spans="10:17" ht="15.75" customHeight="1" x14ac:dyDescent="0.2">
      <c r="J969" s="27"/>
    </row>
    <row r="970" spans="10:17" ht="15.75" customHeight="1" x14ac:dyDescent="0.2">
      <c r="J970" s="27"/>
    </row>
    <row r="971" spans="10:17" ht="15.75" customHeight="1" x14ac:dyDescent="0.2">
      <c r="J971" s="27"/>
    </row>
    <row r="972" spans="10:17" ht="15.75" customHeight="1" x14ac:dyDescent="0.2">
      <c r="J972" s="27"/>
    </row>
    <row r="973" spans="10:17" ht="15.75" customHeight="1" x14ac:dyDescent="0.2">
      <c r="J973" s="27"/>
    </row>
    <row r="974" spans="10:17" ht="15.75" customHeight="1" x14ac:dyDescent="0.2">
      <c r="J974" s="27"/>
    </row>
    <row r="975" spans="10:17" ht="15.75" customHeight="1" x14ac:dyDescent="0.2">
      <c r="J975" s="27"/>
      <c r="Q975" s="25" t="s">
        <v>24</v>
      </c>
    </row>
    <row r="976" spans="10:17" ht="15.75" customHeight="1" x14ac:dyDescent="0.2">
      <c r="J976" s="27"/>
    </row>
    <row r="977" spans="10:10" ht="15.75" customHeight="1" x14ac:dyDescent="0.2">
      <c r="J977" s="27"/>
    </row>
    <row r="978" spans="10:10" ht="15.75" customHeight="1" x14ac:dyDescent="0.2">
      <c r="J978" s="27"/>
    </row>
    <row r="979" spans="10:10" ht="15.75" customHeight="1" x14ac:dyDescent="0.2">
      <c r="J979" s="27"/>
    </row>
    <row r="980" spans="10:10" ht="15.75" customHeight="1" x14ac:dyDescent="0.2">
      <c r="J980" s="27"/>
    </row>
    <row r="981" spans="10:10" ht="15.75" customHeight="1" x14ac:dyDescent="0.2">
      <c r="J981" s="27"/>
    </row>
    <row r="982" spans="10:10" ht="15.75" customHeight="1" x14ac:dyDescent="0.2">
      <c r="J982" s="27"/>
    </row>
    <row r="983" spans="10:10" ht="15.75" customHeight="1" x14ac:dyDescent="0.2">
      <c r="J983" s="27"/>
    </row>
    <row r="984" spans="10:10" ht="15.75" customHeight="1" x14ac:dyDescent="0.2">
      <c r="J984" s="27"/>
    </row>
    <row r="985" spans="10:10" ht="15.75" customHeight="1" x14ac:dyDescent="0.2">
      <c r="J985" s="27"/>
    </row>
    <row r="986" spans="10:10" ht="15.75" customHeight="1" x14ac:dyDescent="0.2">
      <c r="J986" s="27"/>
    </row>
    <row r="987" spans="10:10" ht="15.75" customHeight="1" x14ac:dyDescent="0.2">
      <c r="J987" s="27"/>
    </row>
    <row r="988" spans="10:10" ht="15.75" customHeight="1" x14ac:dyDescent="0.2">
      <c r="J988" s="27"/>
    </row>
    <row r="989" spans="10:10" ht="15.75" customHeight="1" x14ac:dyDescent="0.2">
      <c r="J989" s="27"/>
    </row>
    <row r="990" spans="10:10" ht="15.75" customHeight="1" x14ac:dyDescent="0.2">
      <c r="J990" s="27"/>
    </row>
    <row r="991" spans="10:10" ht="15.75" customHeight="1" x14ac:dyDescent="0.2">
      <c r="J991" s="27"/>
    </row>
    <row r="992" spans="10:10" ht="15.75" customHeight="1" x14ac:dyDescent="0.2">
      <c r="J992" s="27"/>
    </row>
    <row r="993" spans="10:10" ht="15.75" customHeight="1" x14ac:dyDescent="0.2">
      <c r="J993" s="27"/>
    </row>
    <row r="994" spans="10:10" ht="15.75" customHeight="1" x14ac:dyDescent="0.2">
      <c r="J994" s="27"/>
    </row>
    <row r="995" spans="10:10" ht="15.75" customHeight="1" x14ac:dyDescent="0.2">
      <c r="J995" s="27"/>
    </row>
    <row r="996" spans="10:10" ht="15.75" customHeight="1" x14ac:dyDescent="0.2">
      <c r="J996" s="27"/>
    </row>
    <row r="997" spans="10:10" ht="15.75" customHeight="1" x14ac:dyDescent="0.2">
      <c r="J997" s="27"/>
    </row>
    <row r="998" spans="10:10" ht="15.75" customHeight="1" x14ac:dyDescent="0.2">
      <c r="J998" s="27"/>
    </row>
    <row r="999" spans="10:10" ht="15.75" customHeight="1" x14ac:dyDescent="0.2">
      <c r="J999" s="27"/>
    </row>
    <row r="1000" spans="10:10" ht="15.75" customHeight="1" x14ac:dyDescent="0.2">
      <c r="J1000" s="27"/>
    </row>
  </sheetData>
  <autoFilter ref="A1:G1" xr:uid="{00000000-0001-0000-0000-000000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D23-3C28-4802-8A42-0539E657DAA6}">
  <sheetPr>
    <outlinePr summaryBelow="0" summaryRight="0"/>
  </sheetPr>
  <dimension ref="A1:S391"/>
  <sheetViews>
    <sheetView workbookViewId="0">
      <selection activeCell="K16" sqref="K16"/>
    </sheetView>
  </sheetViews>
  <sheetFormatPr defaultColWidth="12.5703125" defaultRowHeight="15.75" customHeight="1" x14ac:dyDescent="0.2"/>
  <sheetData>
    <row r="1" spans="1:19" x14ac:dyDescent="0.2">
      <c r="A1" s="1" t="s">
        <v>8</v>
      </c>
      <c r="B1" s="1" t="s">
        <v>9</v>
      </c>
      <c r="C1" s="1" t="s">
        <v>0</v>
      </c>
      <c r="D1" s="1" t="s">
        <v>1</v>
      </c>
      <c r="E1" s="1" t="s">
        <v>2</v>
      </c>
      <c r="F1" s="1" t="s">
        <v>3</v>
      </c>
      <c r="G1" s="1" t="s">
        <v>4</v>
      </c>
      <c r="H1" s="1" t="s">
        <v>5</v>
      </c>
      <c r="I1" s="1" t="s">
        <v>6</v>
      </c>
      <c r="J1" s="1" t="s">
        <v>7</v>
      </c>
      <c r="K1" s="1" t="s">
        <v>18</v>
      </c>
      <c r="L1" s="1" t="s">
        <v>19</v>
      </c>
      <c r="M1" s="1" t="s">
        <v>20</v>
      </c>
      <c r="N1" s="1" t="s">
        <v>21</v>
      </c>
      <c r="O1" s="1" t="s">
        <v>22</v>
      </c>
      <c r="P1" s="1" t="s">
        <v>23</v>
      </c>
    </row>
    <row r="2" spans="1:19" x14ac:dyDescent="0.2">
      <c r="A2" s="1">
        <v>611</v>
      </c>
      <c r="B2" s="2">
        <v>40572</v>
      </c>
      <c r="C2" s="1">
        <v>1</v>
      </c>
      <c r="D2" s="1">
        <f>YEAR(B2)</f>
        <v>2011</v>
      </c>
      <c r="E2" s="1" t="str">
        <f>TEXT(B2,"mmmm")</f>
        <v>January</v>
      </c>
      <c r="F2" s="1">
        <v>1</v>
      </c>
      <c r="G2" s="1" t="b">
        <f>IF(H2="Sunday",TRUE,FALSE)</f>
        <v>0</v>
      </c>
      <c r="H2" s="1" t="str">
        <f>TEXT(B2,"dddd")</f>
        <v>Saturday</v>
      </c>
      <c r="I2" s="1">
        <v>1</v>
      </c>
      <c r="J2" s="1">
        <v>0.22</v>
      </c>
      <c r="K2" s="1">
        <v>0.2273</v>
      </c>
      <c r="L2" s="1">
        <v>0.64</v>
      </c>
      <c r="M2" s="1">
        <v>0.19400000000000001</v>
      </c>
      <c r="N2" s="1">
        <v>0</v>
      </c>
      <c r="O2" s="1">
        <v>20</v>
      </c>
      <c r="P2" s="1">
        <v>20</v>
      </c>
    </row>
    <row r="3" spans="1:19" x14ac:dyDescent="0.2">
      <c r="A3" s="1">
        <v>612</v>
      </c>
      <c r="B3" s="2">
        <v>40572</v>
      </c>
      <c r="C3" s="1">
        <v>1</v>
      </c>
      <c r="D3" s="1">
        <f t="shared" ref="D3:D66" si="0">YEAR(B3)</f>
        <v>2011</v>
      </c>
      <c r="E3" s="1" t="str">
        <f t="shared" ref="E3:E66" si="1">TEXT(B3,"mmmm")</f>
        <v>January</v>
      </c>
      <c r="F3" s="1">
        <v>2</v>
      </c>
      <c r="G3" s="1" t="b">
        <f t="shared" ref="G3:G66" si="2">IF(H3="Sunday",TRUE,FALSE)</f>
        <v>0</v>
      </c>
      <c r="H3" s="1" t="str">
        <f t="shared" ref="H3:H66" si="3">TEXT(B3,"dddd")</f>
        <v>Saturday</v>
      </c>
      <c r="I3" s="1">
        <v>1</v>
      </c>
      <c r="J3" s="1">
        <v>0.22</v>
      </c>
      <c r="K3" s="1">
        <v>0.2273</v>
      </c>
      <c r="L3" s="1">
        <v>0.64</v>
      </c>
      <c r="M3" s="1">
        <v>0.16420000000000001</v>
      </c>
      <c r="N3" s="1">
        <v>0</v>
      </c>
      <c r="O3" s="1">
        <v>15</v>
      </c>
      <c r="P3" s="1">
        <v>15</v>
      </c>
    </row>
    <row r="4" spans="1:19" x14ac:dyDescent="0.2">
      <c r="A4" s="1">
        <v>613</v>
      </c>
      <c r="B4" s="2">
        <v>40572</v>
      </c>
      <c r="C4" s="1">
        <v>1</v>
      </c>
      <c r="D4" s="1">
        <f t="shared" si="0"/>
        <v>2011</v>
      </c>
      <c r="E4" s="1" t="str">
        <f t="shared" si="1"/>
        <v>January</v>
      </c>
      <c r="F4" s="1">
        <v>3</v>
      </c>
      <c r="G4" s="1" t="b">
        <f t="shared" si="2"/>
        <v>0</v>
      </c>
      <c r="H4" s="1" t="str">
        <f t="shared" si="3"/>
        <v>Saturday</v>
      </c>
      <c r="I4" s="1">
        <v>1</v>
      </c>
      <c r="J4" s="1">
        <v>0.2</v>
      </c>
      <c r="K4" s="1">
        <v>0.21210000000000001</v>
      </c>
      <c r="L4" s="1">
        <v>0.64</v>
      </c>
      <c r="M4" s="1">
        <v>0.1343</v>
      </c>
      <c r="N4" s="1">
        <v>3</v>
      </c>
      <c r="O4" s="1">
        <v>5</v>
      </c>
      <c r="P4" s="1">
        <v>8</v>
      </c>
    </row>
    <row r="5" spans="1:19" x14ac:dyDescent="0.2">
      <c r="A5" s="1">
        <v>614</v>
      </c>
      <c r="B5" s="2">
        <v>40572</v>
      </c>
      <c r="C5" s="1">
        <v>1</v>
      </c>
      <c r="D5" s="1">
        <f t="shared" si="0"/>
        <v>2011</v>
      </c>
      <c r="E5" s="1" t="str">
        <f t="shared" si="1"/>
        <v>January</v>
      </c>
      <c r="F5" s="1">
        <v>4</v>
      </c>
      <c r="G5" s="1" t="b">
        <f t="shared" si="2"/>
        <v>0</v>
      </c>
      <c r="H5" s="1" t="str">
        <f t="shared" si="3"/>
        <v>Saturday</v>
      </c>
      <c r="I5" s="1">
        <v>1</v>
      </c>
      <c r="J5" s="1">
        <v>0.16</v>
      </c>
      <c r="K5" s="1">
        <v>0.18179999999999999</v>
      </c>
      <c r="L5" s="1">
        <v>0.69</v>
      </c>
      <c r="M5" s="1">
        <v>0.1045</v>
      </c>
      <c r="N5" s="1">
        <v>1</v>
      </c>
      <c r="O5" s="1">
        <v>2</v>
      </c>
      <c r="P5" s="1">
        <v>3</v>
      </c>
    </row>
    <row r="6" spans="1:19" x14ac:dyDescent="0.2">
      <c r="A6" s="1">
        <v>615</v>
      </c>
      <c r="B6" s="2">
        <v>40572</v>
      </c>
      <c r="C6" s="1">
        <v>1</v>
      </c>
      <c r="D6" s="1">
        <f t="shared" si="0"/>
        <v>2011</v>
      </c>
      <c r="E6" s="1" t="str">
        <f t="shared" si="1"/>
        <v>January</v>
      </c>
      <c r="F6" s="1">
        <v>6</v>
      </c>
      <c r="G6" s="1" t="b">
        <f t="shared" si="2"/>
        <v>0</v>
      </c>
      <c r="H6" s="1" t="str">
        <f t="shared" si="3"/>
        <v>Saturday</v>
      </c>
      <c r="I6" s="1">
        <v>1</v>
      </c>
      <c r="J6" s="1">
        <v>0.16</v>
      </c>
      <c r="K6" s="1">
        <v>0.18179999999999999</v>
      </c>
      <c r="L6" s="1">
        <v>0.64</v>
      </c>
      <c r="M6" s="1">
        <v>0.1343</v>
      </c>
      <c r="N6" s="1">
        <v>0</v>
      </c>
      <c r="O6" s="1">
        <v>2</v>
      </c>
      <c r="P6" s="1">
        <v>2</v>
      </c>
    </row>
    <row r="7" spans="1:19" x14ac:dyDescent="0.2">
      <c r="A7" s="1">
        <v>616</v>
      </c>
      <c r="B7" s="2">
        <v>40572</v>
      </c>
      <c r="C7" s="1">
        <v>1</v>
      </c>
      <c r="D7" s="1">
        <f t="shared" si="0"/>
        <v>2011</v>
      </c>
      <c r="E7" s="1" t="str">
        <f t="shared" si="1"/>
        <v>January</v>
      </c>
      <c r="F7" s="1">
        <v>7</v>
      </c>
      <c r="G7" s="1" t="b">
        <f t="shared" si="2"/>
        <v>0</v>
      </c>
      <c r="H7" s="1" t="str">
        <f t="shared" si="3"/>
        <v>Saturday</v>
      </c>
      <c r="I7" s="1">
        <v>1</v>
      </c>
      <c r="J7" s="1">
        <v>0.16</v>
      </c>
      <c r="K7" s="1">
        <v>0.18179999999999999</v>
      </c>
      <c r="L7" s="1">
        <v>0.59</v>
      </c>
      <c r="M7" s="1">
        <v>0.1045</v>
      </c>
      <c r="N7" s="1">
        <v>1</v>
      </c>
      <c r="O7" s="1">
        <v>4</v>
      </c>
      <c r="P7" s="1">
        <v>5</v>
      </c>
    </row>
    <row r="8" spans="1:19" x14ac:dyDescent="0.2">
      <c r="A8" s="1">
        <v>617</v>
      </c>
      <c r="B8" s="2">
        <v>40572</v>
      </c>
      <c r="C8" s="1">
        <v>1</v>
      </c>
      <c r="D8" s="1">
        <f t="shared" si="0"/>
        <v>2011</v>
      </c>
      <c r="E8" s="1" t="str">
        <f t="shared" si="1"/>
        <v>January</v>
      </c>
      <c r="F8" s="1">
        <v>8</v>
      </c>
      <c r="G8" s="1" t="b">
        <f t="shared" si="2"/>
        <v>0</v>
      </c>
      <c r="H8" s="1" t="str">
        <f t="shared" si="3"/>
        <v>Saturday</v>
      </c>
      <c r="I8" s="1">
        <v>1</v>
      </c>
      <c r="J8" s="1">
        <v>0.18</v>
      </c>
      <c r="K8" s="1">
        <v>0.19700000000000001</v>
      </c>
      <c r="L8" s="1">
        <v>0.55000000000000004</v>
      </c>
      <c r="M8" s="1">
        <v>0.16420000000000001</v>
      </c>
      <c r="N8" s="1">
        <v>3</v>
      </c>
      <c r="O8" s="1">
        <v>31</v>
      </c>
      <c r="P8" s="1">
        <v>34</v>
      </c>
    </row>
    <row r="9" spans="1:19" x14ac:dyDescent="0.2">
      <c r="A9" s="1">
        <v>618</v>
      </c>
      <c r="B9" s="2">
        <v>40572</v>
      </c>
      <c r="C9" s="1">
        <v>1</v>
      </c>
      <c r="D9" s="1">
        <f t="shared" si="0"/>
        <v>2011</v>
      </c>
      <c r="E9" s="1" t="str">
        <f t="shared" si="1"/>
        <v>January</v>
      </c>
      <c r="F9" s="1">
        <v>9</v>
      </c>
      <c r="G9" s="1" t="b">
        <f t="shared" si="2"/>
        <v>0</v>
      </c>
      <c r="H9" s="1" t="str">
        <f t="shared" si="3"/>
        <v>Saturday</v>
      </c>
      <c r="I9" s="1">
        <v>1</v>
      </c>
      <c r="J9" s="1">
        <v>0.18</v>
      </c>
      <c r="K9" s="1">
        <v>0.21210000000000001</v>
      </c>
      <c r="L9" s="1">
        <v>0.59</v>
      </c>
      <c r="M9" s="1">
        <v>8.9599999999999999E-2</v>
      </c>
      <c r="N9" s="1">
        <v>0</v>
      </c>
      <c r="O9" s="1">
        <v>34</v>
      </c>
      <c r="P9" s="1">
        <v>34</v>
      </c>
    </row>
    <row r="10" spans="1:19" x14ac:dyDescent="0.2">
      <c r="A10" s="1">
        <v>619</v>
      </c>
      <c r="B10" s="2">
        <v>40572</v>
      </c>
      <c r="C10" s="1">
        <v>1</v>
      </c>
      <c r="D10" s="1">
        <f t="shared" si="0"/>
        <v>2011</v>
      </c>
      <c r="E10" s="1" t="str">
        <f t="shared" si="1"/>
        <v>January</v>
      </c>
      <c r="F10" s="1">
        <v>10</v>
      </c>
      <c r="G10" s="1" t="b">
        <f t="shared" si="2"/>
        <v>0</v>
      </c>
      <c r="H10" s="1" t="str">
        <f t="shared" si="3"/>
        <v>Saturday</v>
      </c>
      <c r="I10" s="1">
        <v>2</v>
      </c>
      <c r="J10" s="1">
        <v>0.18</v>
      </c>
      <c r="K10" s="1">
        <v>0.21210000000000001</v>
      </c>
      <c r="L10" s="1">
        <v>0.64</v>
      </c>
      <c r="M10" s="1">
        <v>0.1045</v>
      </c>
      <c r="N10" s="1">
        <v>4</v>
      </c>
      <c r="O10" s="1">
        <v>51</v>
      </c>
      <c r="P10" s="1">
        <v>55</v>
      </c>
      <c r="S10" s="1"/>
    </row>
    <row r="11" spans="1:19" x14ac:dyDescent="0.2">
      <c r="A11" s="1">
        <v>620</v>
      </c>
      <c r="B11" s="2">
        <v>40572</v>
      </c>
      <c r="C11" s="1">
        <v>1</v>
      </c>
      <c r="D11" s="1">
        <f t="shared" si="0"/>
        <v>2011</v>
      </c>
      <c r="E11" s="1" t="str">
        <f t="shared" si="1"/>
        <v>January</v>
      </c>
      <c r="F11" s="1">
        <v>11</v>
      </c>
      <c r="G11" s="1" t="b">
        <f t="shared" si="2"/>
        <v>0</v>
      </c>
      <c r="H11" s="1" t="str">
        <f t="shared" si="3"/>
        <v>Saturday</v>
      </c>
      <c r="I11" s="1">
        <v>2</v>
      </c>
      <c r="J11" s="1">
        <v>0.18</v>
      </c>
      <c r="K11" s="1">
        <v>0.19700000000000001</v>
      </c>
      <c r="L11" s="1">
        <v>0.64</v>
      </c>
      <c r="M11" s="1">
        <v>0.1343</v>
      </c>
      <c r="N11" s="1">
        <v>4</v>
      </c>
      <c r="O11" s="1">
        <v>60</v>
      </c>
      <c r="P11" s="1">
        <v>64</v>
      </c>
      <c r="S11" s="1"/>
    </row>
    <row r="12" spans="1:19" x14ac:dyDescent="0.2">
      <c r="A12" s="1">
        <v>621</v>
      </c>
      <c r="B12" s="2">
        <v>40572</v>
      </c>
      <c r="C12" s="1">
        <v>1</v>
      </c>
      <c r="D12" s="1">
        <f t="shared" si="0"/>
        <v>2011</v>
      </c>
      <c r="E12" s="1" t="str">
        <f t="shared" si="1"/>
        <v>January</v>
      </c>
      <c r="F12" s="1">
        <v>12</v>
      </c>
      <c r="G12" s="1" t="b">
        <f t="shared" si="2"/>
        <v>0</v>
      </c>
      <c r="H12" s="1" t="str">
        <f t="shared" si="3"/>
        <v>Saturday</v>
      </c>
      <c r="I12" s="1">
        <v>2</v>
      </c>
      <c r="J12" s="1">
        <v>0.2</v>
      </c>
      <c r="K12" s="1">
        <v>0.19700000000000001</v>
      </c>
      <c r="L12" s="1">
        <v>0.59</v>
      </c>
      <c r="M12" s="1">
        <v>0.19400000000000001</v>
      </c>
      <c r="N12" s="1">
        <v>12</v>
      </c>
      <c r="O12" s="1">
        <v>66</v>
      </c>
      <c r="P12" s="1">
        <v>78</v>
      </c>
      <c r="S12" s="1"/>
    </row>
    <row r="13" spans="1:19" x14ac:dyDescent="0.2">
      <c r="A13" s="1">
        <v>622</v>
      </c>
      <c r="B13" s="2">
        <v>40572</v>
      </c>
      <c r="C13" s="1">
        <v>1</v>
      </c>
      <c r="D13" s="1">
        <f t="shared" si="0"/>
        <v>2011</v>
      </c>
      <c r="E13" s="1" t="str">
        <f t="shared" si="1"/>
        <v>January</v>
      </c>
      <c r="F13" s="1">
        <v>13</v>
      </c>
      <c r="G13" s="1" t="b">
        <f t="shared" si="2"/>
        <v>0</v>
      </c>
      <c r="H13" s="1" t="str">
        <f t="shared" si="3"/>
        <v>Saturday</v>
      </c>
      <c r="I13" s="1">
        <v>2</v>
      </c>
      <c r="J13" s="1">
        <v>0.22</v>
      </c>
      <c r="K13" s="1">
        <v>0.2273</v>
      </c>
      <c r="L13" s="1">
        <v>0.55000000000000004</v>
      </c>
      <c r="M13" s="1">
        <v>0.16420000000000001</v>
      </c>
      <c r="N13" s="1">
        <v>9</v>
      </c>
      <c r="O13" s="1">
        <v>56</v>
      </c>
      <c r="P13" s="1">
        <v>65</v>
      </c>
      <c r="S13" s="1"/>
    </row>
    <row r="14" spans="1:19" x14ac:dyDescent="0.2">
      <c r="A14" s="1">
        <v>623</v>
      </c>
      <c r="B14" s="2">
        <v>40572</v>
      </c>
      <c r="C14" s="1">
        <v>1</v>
      </c>
      <c r="D14" s="1">
        <f t="shared" si="0"/>
        <v>2011</v>
      </c>
      <c r="E14" s="1" t="str">
        <f t="shared" si="1"/>
        <v>January</v>
      </c>
      <c r="F14" s="1">
        <v>14</v>
      </c>
      <c r="G14" s="1" t="b">
        <f t="shared" si="2"/>
        <v>0</v>
      </c>
      <c r="H14" s="1" t="str">
        <f t="shared" si="3"/>
        <v>Saturday</v>
      </c>
      <c r="I14" s="1">
        <v>2</v>
      </c>
      <c r="J14" s="1">
        <v>0.22</v>
      </c>
      <c r="K14" s="1">
        <v>0.2273</v>
      </c>
      <c r="L14" s="1">
        <v>0.6</v>
      </c>
      <c r="M14" s="1">
        <v>0.1343</v>
      </c>
      <c r="N14" s="1">
        <v>10</v>
      </c>
      <c r="O14" s="1">
        <v>89</v>
      </c>
      <c r="P14" s="1">
        <v>99</v>
      </c>
    </row>
    <row r="15" spans="1:19" x14ac:dyDescent="0.2">
      <c r="A15" s="1">
        <v>624</v>
      </c>
      <c r="B15" s="2">
        <v>40572</v>
      </c>
      <c r="C15" s="1">
        <v>1</v>
      </c>
      <c r="D15" s="1">
        <f t="shared" si="0"/>
        <v>2011</v>
      </c>
      <c r="E15" s="1" t="str">
        <f t="shared" si="1"/>
        <v>January</v>
      </c>
      <c r="F15" s="1">
        <v>15</v>
      </c>
      <c r="G15" s="1" t="b">
        <f t="shared" si="2"/>
        <v>0</v>
      </c>
      <c r="H15" s="1" t="str">
        <f t="shared" si="3"/>
        <v>Saturday</v>
      </c>
      <c r="I15" s="1">
        <v>1</v>
      </c>
      <c r="J15" s="1">
        <v>0.22</v>
      </c>
      <c r="K15" s="1">
        <v>0.21210000000000001</v>
      </c>
      <c r="L15" s="1">
        <v>0.69</v>
      </c>
      <c r="M15" s="1">
        <v>0.25369999999999998</v>
      </c>
      <c r="N15" s="1">
        <v>22</v>
      </c>
      <c r="O15" s="1">
        <v>98</v>
      </c>
      <c r="P15" s="1">
        <v>120</v>
      </c>
    </row>
    <row r="16" spans="1:19" x14ac:dyDescent="0.2">
      <c r="A16" s="1">
        <v>625</v>
      </c>
      <c r="B16" s="2">
        <v>40572</v>
      </c>
      <c r="C16" s="1">
        <v>1</v>
      </c>
      <c r="D16" s="1">
        <f t="shared" si="0"/>
        <v>2011</v>
      </c>
      <c r="E16" s="1" t="str">
        <f t="shared" si="1"/>
        <v>January</v>
      </c>
      <c r="F16" s="1">
        <v>16</v>
      </c>
      <c r="G16" s="1" t="b">
        <f t="shared" si="2"/>
        <v>0</v>
      </c>
      <c r="H16" s="1" t="str">
        <f t="shared" si="3"/>
        <v>Saturday</v>
      </c>
      <c r="I16" s="1">
        <v>1</v>
      </c>
      <c r="J16" s="1">
        <v>0.24</v>
      </c>
      <c r="K16" s="1">
        <v>0.2424</v>
      </c>
      <c r="L16" s="1">
        <v>0.6</v>
      </c>
      <c r="M16" s="1">
        <v>0.16420000000000001</v>
      </c>
      <c r="N16" s="1">
        <v>19</v>
      </c>
      <c r="O16" s="1">
        <v>88</v>
      </c>
      <c r="P16" s="1">
        <v>107</v>
      </c>
    </row>
    <row r="17" spans="1:17" x14ac:dyDescent="0.2">
      <c r="A17" s="1">
        <v>626</v>
      </c>
      <c r="B17" s="2">
        <v>40572</v>
      </c>
      <c r="C17" s="1">
        <v>1</v>
      </c>
      <c r="D17" s="1">
        <f t="shared" si="0"/>
        <v>2011</v>
      </c>
      <c r="E17" s="1" t="str">
        <f t="shared" si="1"/>
        <v>January</v>
      </c>
      <c r="F17" s="1">
        <v>17</v>
      </c>
      <c r="G17" s="1" t="b">
        <f t="shared" si="2"/>
        <v>0</v>
      </c>
      <c r="H17" s="1" t="str">
        <f t="shared" si="3"/>
        <v>Saturday</v>
      </c>
      <c r="I17" s="1">
        <v>1</v>
      </c>
      <c r="J17" s="1">
        <v>0.24</v>
      </c>
      <c r="K17" s="1">
        <v>0.28789999999999999</v>
      </c>
      <c r="L17" s="1">
        <v>0.6</v>
      </c>
      <c r="M17" s="1">
        <v>0</v>
      </c>
      <c r="N17" s="1">
        <v>9</v>
      </c>
      <c r="O17" s="1">
        <v>82</v>
      </c>
      <c r="P17" s="1">
        <v>91</v>
      </c>
    </row>
    <row r="18" spans="1:17" x14ac:dyDescent="0.2">
      <c r="A18" s="1">
        <v>627</v>
      </c>
      <c r="B18" s="2">
        <v>40572</v>
      </c>
      <c r="C18" s="1">
        <v>1</v>
      </c>
      <c r="D18" s="1">
        <f t="shared" si="0"/>
        <v>2011</v>
      </c>
      <c r="E18" s="1" t="str">
        <f t="shared" si="1"/>
        <v>January</v>
      </c>
      <c r="F18" s="1">
        <v>18</v>
      </c>
      <c r="G18" s="1" t="b">
        <f t="shared" si="2"/>
        <v>0</v>
      </c>
      <c r="H18" s="1" t="str">
        <f t="shared" si="3"/>
        <v>Saturday</v>
      </c>
      <c r="I18" s="1">
        <v>1</v>
      </c>
      <c r="J18" s="1">
        <v>0.22</v>
      </c>
      <c r="K18" s="1">
        <v>0.2273</v>
      </c>
      <c r="L18" s="1">
        <v>0.69</v>
      </c>
      <c r="M18" s="1">
        <v>0.1343</v>
      </c>
      <c r="N18" s="1">
        <v>9</v>
      </c>
      <c r="O18" s="1">
        <v>59</v>
      </c>
      <c r="P18" s="1">
        <v>68</v>
      </c>
    </row>
    <row r="19" spans="1:17" x14ac:dyDescent="0.2">
      <c r="A19" s="1">
        <v>628</v>
      </c>
      <c r="B19" s="2">
        <v>40572</v>
      </c>
      <c r="C19" s="1">
        <v>1</v>
      </c>
      <c r="D19" s="1">
        <f t="shared" si="0"/>
        <v>2011</v>
      </c>
      <c r="E19" s="1" t="str">
        <f t="shared" si="1"/>
        <v>January</v>
      </c>
      <c r="F19" s="1">
        <v>19</v>
      </c>
      <c r="G19" s="1" t="b">
        <f t="shared" si="2"/>
        <v>0</v>
      </c>
      <c r="H19" s="1" t="str">
        <f t="shared" si="3"/>
        <v>Saturday</v>
      </c>
      <c r="I19" s="1">
        <v>2</v>
      </c>
      <c r="J19" s="1">
        <v>0.22</v>
      </c>
      <c r="K19" s="1">
        <v>0.21210000000000001</v>
      </c>
      <c r="L19" s="1">
        <v>0.69</v>
      </c>
      <c r="M19" s="1">
        <v>0.25369999999999998</v>
      </c>
      <c r="N19" s="1">
        <v>6</v>
      </c>
      <c r="O19" s="1">
        <v>52</v>
      </c>
      <c r="P19" s="1">
        <v>58</v>
      </c>
      <c r="Q19" t="s">
        <v>24</v>
      </c>
    </row>
    <row r="20" spans="1:17" x14ac:dyDescent="0.2">
      <c r="A20" s="1">
        <v>629</v>
      </c>
      <c r="B20" s="2">
        <v>40572</v>
      </c>
      <c r="C20" s="1">
        <v>1</v>
      </c>
      <c r="D20" s="1">
        <f t="shared" si="0"/>
        <v>2011</v>
      </c>
      <c r="E20" s="1" t="str">
        <f t="shared" si="1"/>
        <v>January</v>
      </c>
      <c r="F20" s="1">
        <v>20</v>
      </c>
      <c r="G20" s="1" t="b">
        <f t="shared" si="2"/>
        <v>0</v>
      </c>
      <c r="H20" s="1" t="str">
        <f t="shared" si="3"/>
        <v>Saturday</v>
      </c>
      <c r="I20" s="1">
        <v>1</v>
      </c>
      <c r="J20" s="1">
        <v>0.18</v>
      </c>
      <c r="K20" s="1">
        <v>0.21210000000000001</v>
      </c>
      <c r="L20" s="1">
        <v>0.74</v>
      </c>
      <c r="M20" s="1">
        <v>8.9599999999999999E-2</v>
      </c>
      <c r="N20" s="1">
        <v>1</v>
      </c>
      <c r="O20" s="1">
        <v>42</v>
      </c>
      <c r="P20" s="1">
        <v>43</v>
      </c>
    </row>
    <row r="21" spans="1:17" x14ac:dyDescent="0.2">
      <c r="A21" s="1">
        <v>630</v>
      </c>
      <c r="B21" s="2">
        <v>40572</v>
      </c>
      <c r="C21" s="1">
        <v>1</v>
      </c>
      <c r="D21" s="1">
        <f t="shared" si="0"/>
        <v>2011</v>
      </c>
      <c r="E21" s="1" t="str">
        <f t="shared" si="1"/>
        <v>January</v>
      </c>
      <c r="F21" s="1">
        <v>21</v>
      </c>
      <c r="G21" s="1" t="b">
        <f t="shared" si="2"/>
        <v>0</v>
      </c>
      <c r="H21" s="1" t="str">
        <f t="shared" si="3"/>
        <v>Saturday</v>
      </c>
      <c r="I21" s="1">
        <v>1</v>
      </c>
      <c r="J21" s="1">
        <v>0.18</v>
      </c>
      <c r="K21" s="1">
        <v>0.21210000000000001</v>
      </c>
      <c r="L21" s="1">
        <v>0.74</v>
      </c>
      <c r="M21" s="1">
        <v>8.9599999999999999E-2</v>
      </c>
      <c r="N21" s="1">
        <v>1</v>
      </c>
      <c r="O21" s="1">
        <v>35</v>
      </c>
      <c r="P21" s="1">
        <v>36</v>
      </c>
    </row>
    <row r="22" spans="1:17" x14ac:dyDescent="0.2">
      <c r="A22" s="1">
        <v>631</v>
      </c>
      <c r="B22" s="2">
        <v>40572</v>
      </c>
      <c r="C22" s="1">
        <v>1</v>
      </c>
      <c r="D22" s="1">
        <f t="shared" si="0"/>
        <v>2011</v>
      </c>
      <c r="E22" s="1" t="str">
        <f t="shared" si="1"/>
        <v>January</v>
      </c>
      <c r="F22" s="1">
        <v>22</v>
      </c>
      <c r="G22" s="1" t="b">
        <f t="shared" si="2"/>
        <v>0</v>
      </c>
      <c r="H22" s="1" t="str">
        <f t="shared" si="3"/>
        <v>Saturday</v>
      </c>
      <c r="I22" s="1">
        <v>1</v>
      </c>
      <c r="J22" s="1">
        <v>0.16</v>
      </c>
      <c r="K22" s="1">
        <v>0.19700000000000001</v>
      </c>
      <c r="L22" s="1">
        <v>0.8</v>
      </c>
      <c r="M22" s="1">
        <v>8.9599999999999999E-2</v>
      </c>
      <c r="N22" s="1">
        <v>4</v>
      </c>
      <c r="O22" s="1">
        <v>28</v>
      </c>
      <c r="P22" s="1">
        <v>32</v>
      </c>
    </row>
    <row r="23" spans="1:17" x14ac:dyDescent="0.2">
      <c r="A23" s="1">
        <v>632</v>
      </c>
      <c r="B23" s="2">
        <v>40572</v>
      </c>
      <c r="C23" s="1">
        <v>1</v>
      </c>
      <c r="D23" s="1">
        <f t="shared" si="0"/>
        <v>2011</v>
      </c>
      <c r="E23" s="1" t="str">
        <f t="shared" si="1"/>
        <v>January</v>
      </c>
      <c r="F23" s="1">
        <v>23</v>
      </c>
      <c r="G23" s="1" t="b">
        <f t="shared" si="2"/>
        <v>0</v>
      </c>
      <c r="H23" s="1" t="str">
        <f t="shared" si="3"/>
        <v>Saturday</v>
      </c>
      <c r="I23" s="1">
        <v>1</v>
      </c>
      <c r="J23" s="1">
        <v>0.16</v>
      </c>
      <c r="K23" s="1">
        <v>0.19700000000000001</v>
      </c>
      <c r="L23" s="1">
        <v>0.8</v>
      </c>
      <c r="M23" s="1">
        <v>8.9599999999999999E-2</v>
      </c>
      <c r="N23" s="1">
        <v>3</v>
      </c>
      <c r="O23" s="1">
        <v>30</v>
      </c>
      <c r="P23" s="1">
        <v>33</v>
      </c>
    </row>
    <row r="24" spans="1:17" x14ac:dyDescent="0.2">
      <c r="A24" s="1">
        <v>633</v>
      </c>
      <c r="B24" s="2">
        <v>40573</v>
      </c>
      <c r="C24" s="1">
        <v>1</v>
      </c>
      <c r="D24" s="1">
        <f t="shared" si="0"/>
        <v>2011</v>
      </c>
      <c r="E24" s="1" t="str">
        <f t="shared" si="1"/>
        <v>January</v>
      </c>
      <c r="F24" s="1">
        <v>0</v>
      </c>
      <c r="G24" s="1" t="b">
        <f t="shared" si="2"/>
        <v>1</v>
      </c>
      <c r="H24" s="1" t="str">
        <f t="shared" si="3"/>
        <v>Sunday</v>
      </c>
      <c r="I24" s="1">
        <v>1</v>
      </c>
      <c r="J24" s="1">
        <v>0.16</v>
      </c>
      <c r="K24" s="1">
        <v>0.18179999999999999</v>
      </c>
      <c r="L24" s="1">
        <v>0.8</v>
      </c>
      <c r="M24" s="1">
        <v>0.1045</v>
      </c>
      <c r="N24" s="1">
        <v>0</v>
      </c>
      <c r="O24" s="1">
        <v>33</v>
      </c>
      <c r="P24" s="1">
        <v>33</v>
      </c>
    </row>
    <row r="25" spans="1:17" x14ac:dyDescent="0.2">
      <c r="A25" s="1">
        <v>634</v>
      </c>
      <c r="B25" s="2">
        <v>40573</v>
      </c>
      <c r="C25" s="1">
        <v>1</v>
      </c>
      <c r="D25" s="1">
        <f t="shared" si="0"/>
        <v>2011</v>
      </c>
      <c r="E25" s="1" t="str">
        <f t="shared" si="1"/>
        <v>January</v>
      </c>
      <c r="F25" s="1">
        <v>1</v>
      </c>
      <c r="G25" s="1" t="b">
        <f t="shared" si="2"/>
        <v>1</v>
      </c>
      <c r="H25" s="1" t="str">
        <f t="shared" si="3"/>
        <v>Sunday</v>
      </c>
      <c r="I25" s="1">
        <v>1</v>
      </c>
      <c r="J25" s="1">
        <v>0.14000000000000001</v>
      </c>
      <c r="K25" s="1">
        <v>0.21210000000000001</v>
      </c>
      <c r="L25" s="1">
        <v>0.8</v>
      </c>
      <c r="M25" s="1">
        <v>0</v>
      </c>
      <c r="N25" s="1">
        <v>7</v>
      </c>
      <c r="O25" s="1">
        <v>22</v>
      </c>
      <c r="P25" s="1">
        <v>29</v>
      </c>
    </row>
    <row r="26" spans="1:17" x14ac:dyDescent="0.2">
      <c r="A26" s="1">
        <v>635</v>
      </c>
      <c r="B26" s="2">
        <v>40573</v>
      </c>
      <c r="C26" s="1">
        <v>1</v>
      </c>
      <c r="D26" s="1">
        <f t="shared" si="0"/>
        <v>2011</v>
      </c>
      <c r="E26" s="1" t="str">
        <f t="shared" si="1"/>
        <v>January</v>
      </c>
      <c r="F26" s="1">
        <v>2</v>
      </c>
      <c r="G26" s="1" t="b">
        <f t="shared" si="2"/>
        <v>1</v>
      </c>
      <c r="H26" s="1" t="str">
        <f t="shared" si="3"/>
        <v>Sunday</v>
      </c>
      <c r="I26" s="1">
        <v>1</v>
      </c>
      <c r="J26" s="1">
        <v>0.16</v>
      </c>
      <c r="K26" s="1">
        <v>0.2273</v>
      </c>
      <c r="L26" s="1">
        <v>0.8</v>
      </c>
      <c r="M26" s="1">
        <v>0</v>
      </c>
      <c r="N26" s="1">
        <v>1</v>
      </c>
      <c r="O26" s="1">
        <v>10</v>
      </c>
      <c r="P26" s="1">
        <v>11</v>
      </c>
    </row>
    <row r="27" spans="1:17" x14ac:dyDescent="0.2">
      <c r="A27" s="1">
        <v>636</v>
      </c>
      <c r="B27" s="2">
        <v>40573</v>
      </c>
      <c r="C27" s="1">
        <v>1</v>
      </c>
      <c r="D27" s="1">
        <f t="shared" si="0"/>
        <v>2011</v>
      </c>
      <c r="E27" s="1" t="str">
        <f t="shared" si="1"/>
        <v>January</v>
      </c>
      <c r="F27" s="1">
        <v>3</v>
      </c>
      <c r="G27" s="1" t="b">
        <f t="shared" si="2"/>
        <v>1</v>
      </c>
      <c r="H27" s="1" t="str">
        <f t="shared" si="3"/>
        <v>Sunday</v>
      </c>
      <c r="I27" s="1">
        <v>1</v>
      </c>
      <c r="J27" s="1">
        <v>0.14000000000000001</v>
      </c>
      <c r="K27" s="1">
        <v>0.21210000000000001</v>
      </c>
      <c r="L27" s="1">
        <v>0.93</v>
      </c>
      <c r="M27" s="1">
        <v>0</v>
      </c>
      <c r="N27" s="1">
        <v>1</v>
      </c>
      <c r="O27" s="1">
        <v>7</v>
      </c>
      <c r="P27" s="1">
        <v>8</v>
      </c>
    </row>
    <row r="28" spans="1:17" x14ac:dyDescent="0.2">
      <c r="A28" s="1">
        <v>637</v>
      </c>
      <c r="B28" s="2">
        <v>40573</v>
      </c>
      <c r="C28" s="1">
        <v>1</v>
      </c>
      <c r="D28" s="1">
        <f t="shared" si="0"/>
        <v>2011</v>
      </c>
      <c r="E28" s="1" t="str">
        <f t="shared" si="1"/>
        <v>January</v>
      </c>
      <c r="F28" s="1">
        <v>4</v>
      </c>
      <c r="G28" s="1" t="b">
        <f t="shared" si="2"/>
        <v>1</v>
      </c>
      <c r="H28" s="1" t="str">
        <f t="shared" si="3"/>
        <v>Sunday</v>
      </c>
      <c r="I28" s="1">
        <v>1</v>
      </c>
      <c r="J28" s="1">
        <v>0.14000000000000001</v>
      </c>
      <c r="K28" s="1">
        <v>0.21210000000000001</v>
      </c>
      <c r="L28" s="1">
        <v>0.93</v>
      </c>
      <c r="M28" s="1">
        <v>0</v>
      </c>
      <c r="N28" s="1">
        <v>0</v>
      </c>
      <c r="O28" s="1">
        <v>1</v>
      </c>
      <c r="P28" s="1">
        <v>1</v>
      </c>
    </row>
    <row r="29" spans="1:17" x14ac:dyDescent="0.2">
      <c r="A29" s="1">
        <v>638</v>
      </c>
      <c r="B29" s="2">
        <v>40573</v>
      </c>
      <c r="C29" s="1">
        <v>1</v>
      </c>
      <c r="D29" s="1">
        <f t="shared" si="0"/>
        <v>2011</v>
      </c>
      <c r="E29" s="1" t="str">
        <f t="shared" si="1"/>
        <v>January</v>
      </c>
      <c r="F29" s="1">
        <v>5</v>
      </c>
      <c r="G29" s="1" t="b">
        <f t="shared" si="2"/>
        <v>1</v>
      </c>
      <c r="H29" s="1" t="str">
        <f t="shared" si="3"/>
        <v>Sunday</v>
      </c>
      <c r="I29" s="1">
        <v>1</v>
      </c>
      <c r="J29" s="1">
        <v>0.14000000000000001</v>
      </c>
      <c r="K29" s="1">
        <v>0.21210000000000001</v>
      </c>
      <c r="L29" s="1">
        <v>0.86</v>
      </c>
      <c r="M29" s="1">
        <v>0</v>
      </c>
      <c r="N29" s="1">
        <v>0</v>
      </c>
      <c r="O29" s="1">
        <v>3</v>
      </c>
      <c r="P29" s="1">
        <v>3</v>
      </c>
    </row>
    <row r="30" spans="1:17" x14ac:dyDescent="0.2">
      <c r="A30" s="1">
        <v>639</v>
      </c>
      <c r="B30" s="2">
        <v>40573</v>
      </c>
      <c r="C30" s="1">
        <v>1</v>
      </c>
      <c r="D30" s="1">
        <f t="shared" si="0"/>
        <v>2011</v>
      </c>
      <c r="E30" s="1" t="str">
        <f t="shared" si="1"/>
        <v>January</v>
      </c>
      <c r="F30" s="1">
        <v>7</v>
      </c>
      <c r="G30" s="1" t="b">
        <f t="shared" si="2"/>
        <v>1</v>
      </c>
      <c r="H30" s="1" t="str">
        <f t="shared" si="3"/>
        <v>Sunday</v>
      </c>
      <c r="I30" s="1">
        <v>1</v>
      </c>
      <c r="J30" s="1">
        <v>0.14000000000000001</v>
      </c>
      <c r="K30" s="1">
        <v>0.21210000000000001</v>
      </c>
      <c r="L30" s="1">
        <v>0.86</v>
      </c>
      <c r="M30" s="1">
        <v>0</v>
      </c>
      <c r="N30" s="1">
        <v>0</v>
      </c>
      <c r="O30" s="1">
        <v>3</v>
      </c>
      <c r="P30" s="1">
        <v>3</v>
      </c>
    </row>
    <row r="31" spans="1:17" x14ac:dyDescent="0.2">
      <c r="A31" s="1">
        <v>640</v>
      </c>
      <c r="B31" s="2">
        <v>40573</v>
      </c>
      <c r="C31" s="1">
        <v>1</v>
      </c>
      <c r="D31" s="1">
        <f t="shared" si="0"/>
        <v>2011</v>
      </c>
      <c r="E31" s="1" t="str">
        <f t="shared" si="1"/>
        <v>January</v>
      </c>
      <c r="F31" s="1">
        <v>8</v>
      </c>
      <c r="G31" s="1" t="b">
        <f t="shared" si="2"/>
        <v>1</v>
      </c>
      <c r="H31" s="1" t="str">
        <f t="shared" si="3"/>
        <v>Sunday</v>
      </c>
      <c r="I31" s="1">
        <v>2</v>
      </c>
      <c r="J31" s="1">
        <v>0.14000000000000001</v>
      </c>
      <c r="K31" s="1">
        <v>0.21210000000000001</v>
      </c>
      <c r="L31" s="1">
        <v>0.86</v>
      </c>
      <c r="M31" s="1">
        <v>0</v>
      </c>
      <c r="N31" s="1">
        <v>1</v>
      </c>
      <c r="O31" s="1">
        <v>11</v>
      </c>
      <c r="P31" s="1">
        <v>12</v>
      </c>
    </row>
    <row r="32" spans="1:17" x14ac:dyDescent="0.2">
      <c r="A32" s="1">
        <v>641</v>
      </c>
      <c r="B32" s="2">
        <v>40573</v>
      </c>
      <c r="C32" s="1">
        <v>1</v>
      </c>
      <c r="D32" s="1">
        <f t="shared" si="0"/>
        <v>2011</v>
      </c>
      <c r="E32" s="1" t="str">
        <f t="shared" si="1"/>
        <v>January</v>
      </c>
      <c r="F32" s="1">
        <v>9</v>
      </c>
      <c r="G32" s="1" t="b">
        <f t="shared" si="2"/>
        <v>1</v>
      </c>
      <c r="H32" s="1" t="str">
        <f t="shared" si="3"/>
        <v>Sunday</v>
      </c>
      <c r="I32" s="1">
        <v>2</v>
      </c>
      <c r="J32" s="1">
        <v>0.16</v>
      </c>
      <c r="K32" s="1">
        <v>0.2273</v>
      </c>
      <c r="L32" s="1">
        <v>0.8</v>
      </c>
      <c r="M32" s="1">
        <v>0</v>
      </c>
      <c r="N32" s="1">
        <v>4</v>
      </c>
      <c r="O32" s="1">
        <v>34</v>
      </c>
      <c r="P32" s="1">
        <v>38</v>
      </c>
    </row>
    <row r="33" spans="1:16" x14ac:dyDescent="0.2">
      <c r="A33" s="1">
        <v>642</v>
      </c>
      <c r="B33" s="2">
        <v>40573</v>
      </c>
      <c r="C33" s="1">
        <v>1</v>
      </c>
      <c r="D33" s="1">
        <f t="shared" si="0"/>
        <v>2011</v>
      </c>
      <c r="E33" s="1" t="str">
        <f t="shared" si="1"/>
        <v>January</v>
      </c>
      <c r="F33" s="1">
        <v>10</v>
      </c>
      <c r="G33" s="1" t="b">
        <f t="shared" si="2"/>
        <v>1</v>
      </c>
      <c r="H33" s="1" t="str">
        <f t="shared" si="3"/>
        <v>Sunday</v>
      </c>
      <c r="I33" s="1">
        <v>2</v>
      </c>
      <c r="J33" s="1">
        <v>0.18</v>
      </c>
      <c r="K33" s="1">
        <v>0.2424</v>
      </c>
      <c r="L33" s="1">
        <v>0.8</v>
      </c>
      <c r="M33" s="1">
        <v>0</v>
      </c>
      <c r="N33" s="1">
        <v>7</v>
      </c>
      <c r="O33" s="1">
        <v>57</v>
      </c>
      <c r="P33" s="1">
        <v>64</v>
      </c>
    </row>
    <row r="34" spans="1:16" x14ac:dyDescent="0.2">
      <c r="A34" s="1">
        <v>643</v>
      </c>
      <c r="B34" s="2">
        <v>40573</v>
      </c>
      <c r="C34" s="1">
        <v>1</v>
      </c>
      <c r="D34" s="1">
        <f t="shared" si="0"/>
        <v>2011</v>
      </c>
      <c r="E34" s="1" t="str">
        <f t="shared" si="1"/>
        <v>January</v>
      </c>
      <c r="F34" s="1">
        <v>11</v>
      </c>
      <c r="G34" s="1" t="b">
        <f t="shared" si="2"/>
        <v>1</v>
      </c>
      <c r="H34" s="1" t="str">
        <f t="shared" si="3"/>
        <v>Sunday</v>
      </c>
      <c r="I34" s="1">
        <v>1</v>
      </c>
      <c r="J34" s="1">
        <v>0.22</v>
      </c>
      <c r="K34" s="1">
        <v>0.2727</v>
      </c>
      <c r="L34" s="1">
        <v>0.75</v>
      </c>
      <c r="M34" s="1">
        <v>0</v>
      </c>
      <c r="N34" s="1">
        <v>9</v>
      </c>
      <c r="O34" s="1">
        <v>50</v>
      </c>
      <c r="P34" s="1">
        <v>59</v>
      </c>
    </row>
    <row r="35" spans="1:16" x14ac:dyDescent="0.2">
      <c r="A35" s="1">
        <v>644</v>
      </c>
      <c r="B35" s="2">
        <v>40573</v>
      </c>
      <c r="C35" s="1">
        <v>1</v>
      </c>
      <c r="D35" s="1">
        <f t="shared" si="0"/>
        <v>2011</v>
      </c>
      <c r="E35" s="1" t="str">
        <f t="shared" si="1"/>
        <v>January</v>
      </c>
      <c r="F35" s="1">
        <v>12</v>
      </c>
      <c r="G35" s="1" t="b">
        <f t="shared" si="2"/>
        <v>1</v>
      </c>
      <c r="H35" s="1" t="str">
        <f t="shared" si="3"/>
        <v>Sunday</v>
      </c>
      <c r="I35" s="1">
        <v>1</v>
      </c>
      <c r="J35" s="1">
        <v>0.3</v>
      </c>
      <c r="K35" s="1">
        <v>0.31819999999999998</v>
      </c>
      <c r="L35" s="1">
        <v>0.52</v>
      </c>
      <c r="M35" s="1">
        <v>0.1045</v>
      </c>
      <c r="N35" s="1">
        <v>10</v>
      </c>
      <c r="O35" s="1">
        <v>87</v>
      </c>
      <c r="P35" s="1">
        <v>97</v>
      </c>
    </row>
    <row r="36" spans="1:16" x14ac:dyDescent="0.2">
      <c r="A36" s="1">
        <v>645</v>
      </c>
      <c r="B36" s="2">
        <v>40573</v>
      </c>
      <c r="C36" s="1">
        <v>1</v>
      </c>
      <c r="D36" s="1">
        <f t="shared" si="0"/>
        <v>2011</v>
      </c>
      <c r="E36" s="1" t="str">
        <f t="shared" si="1"/>
        <v>January</v>
      </c>
      <c r="F36" s="1">
        <v>13</v>
      </c>
      <c r="G36" s="1" t="b">
        <f t="shared" si="2"/>
        <v>1</v>
      </c>
      <c r="H36" s="1" t="str">
        <f t="shared" si="3"/>
        <v>Sunday</v>
      </c>
      <c r="I36" s="1">
        <v>1</v>
      </c>
      <c r="J36" s="1">
        <v>0.28000000000000003</v>
      </c>
      <c r="K36" s="1">
        <v>0.28789999999999999</v>
      </c>
      <c r="L36" s="1">
        <v>0.61</v>
      </c>
      <c r="M36" s="1">
        <v>0.1045</v>
      </c>
      <c r="N36" s="1">
        <v>13</v>
      </c>
      <c r="O36" s="1">
        <v>71</v>
      </c>
      <c r="P36" s="1">
        <v>84</v>
      </c>
    </row>
    <row r="37" spans="1:16" x14ac:dyDescent="0.2">
      <c r="A37" s="1">
        <v>646</v>
      </c>
      <c r="B37" s="2">
        <v>40573</v>
      </c>
      <c r="C37" s="1">
        <v>1</v>
      </c>
      <c r="D37" s="1">
        <f t="shared" si="0"/>
        <v>2011</v>
      </c>
      <c r="E37" s="1" t="str">
        <f t="shared" si="1"/>
        <v>January</v>
      </c>
      <c r="F37" s="1">
        <v>14</v>
      </c>
      <c r="G37" s="1" t="b">
        <f t="shared" si="2"/>
        <v>1</v>
      </c>
      <c r="H37" s="1" t="str">
        <f t="shared" si="3"/>
        <v>Sunday</v>
      </c>
      <c r="I37" s="1">
        <v>1</v>
      </c>
      <c r="J37" s="1">
        <v>0.28000000000000003</v>
      </c>
      <c r="K37" s="1">
        <v>0.30299999999999999</v>
      </c>
      <c r="L37" s="1">
        <v>0.61</v>
      </c>
      <c r="M37" s="1">
        <v>8.9599999999999999E-2</v>
      </c>
      <c r="N37" s="1">
        <v>18</v>
      </c>
      <c r="O37" s="1">
        <v>104</v>
      </c>
      <c r="P37" s="1">
        <v>122</v>
      </c>
    </row>
    <row r="38" spans="1:16" x14ac:dyDescent="0.2">
      <c r="A38" s="1">
        <v>647</v>
      </c>
      <c r="B38" s="2">
        <v>40573</v>
      </c>
      <c r="C38" s="1">
        <v>1</v>
      </c>
      <c r="D38" s="1">
        <f t="shared" si="0"/>
        <v>2011</v>
      </c>
      <c r="E38" s="1" t="str">
        <f t="shared" si="1"/>
        <v>January</v>
      </c>
      <c r="F38" s="1">
        <v>15</v>
      </c>
      <c r="G38" s="1" t="b">
        <f t="shared" si="2"/>
        <v>1</v>
      </c>
      <c r="H38" s="1" t="str">
        <f t="shared" si="3"/>
        <v>Sunday</v>
      </c>
      <c r="I38" s="1">
        <v>1</v>
      </c>
      <c r="J38" s="1">
        <v>0.3</v>
      </c>
      <c r="K38" s="1">
        <v>0.33329999999999999</v>
      </c>
      <c r="L38" s="1">
        <v>0.56000000000000005</v>
      </c>
      <c r="M38" s="1">
        <v>0</v>
      </c>
      <c r="N38" s="1">
        <v>14</v>
      </c>
      <c r="O38" s="1">
        <v>95</v>
      </c>
      <c r="P38" s="1">
        <v>109</v>
      </c>
    </row>
    <row r="39" spans="1:16" x14ac:dyDescent="0.2">
      <c r="A39" s="1">
        <v>648</v>
      </c>
      <c r="B39" s="2">
        <v>40573</v>
      </c>
      <c r="C39" s="1">
        <v>1</v>
      </c>
      <c r="D39" s="1">
        <f t="shared" si="0"/>
        <v>2011</v>
      </c>
      <c r="E39" s="1" t="str">
        <f t="shared" si="1"/>
        <v>January</v>
      </c>
      <c r="F39" s="1">
        <v>16</v>
      </c>
      <c r="G39" s="1" t="b">
        <f t="shared" si="2"/>
        <v>1</v>
      </c>
      <c r="H39" s="1" t="str">
        <f t="shared" si="3"/>
        <v>Sunday</v>
      </c>
      <c r="I39" s="1">
        <v>1</v>
      </c>
      <c r="J39" s="1">
        <v>0.3</v>
      </c>
      <c r="K39" s="1">
        <v>0.33329999999999999</v>
      </c>
      <c r="L39" s="1">
        <v>0.56000000000000005</v>
      </c>
      <c r="M39" s="1">
        <v>0</v>
      </c>
      <c r="N39" s="1">
        <v>19</v>
      </c>
      <c r="O39" s="1">
        <v>104</v>
      </c>
      <c r="P39" s="1">
        <v>123</v>
      </c>
    </row>
    <row r="40" spans="1:16" x14ac:dyDescent="0.2">
      <c r="A40" s="1">
        <v>649</v>
      </c>
      <c r="B40" s="2">
        <v>40573</v>
      </c>
      <c r="C40" s="1">
        <v>1</v>
      </c>
      <c r="D40" s="1">
        <f t="shared" si="0"/>
        <v>2011</v>
      </c>
      <c r="E40" s="1" t="str">
        <f t="shared" si="1"/>
        <v>January</v>
      </c>
      <c r="F40" s="1">
        <v>17</v>
      </c>
      <c r="G40" s="1" t="b">
        <f t="shared" si="2"/>
        <v>1</v>
      </c>
      <c r="H40" s="1" t="str">
        <f t="shared" si="3"/>
        <v>Sunday</v>
      </c>
      <c r="I40" s="1">
        <v>1</v>
      </c>
      <c r="J40" s="1">
        <v>0.3</v>
      </c>
      <c r="K40" s="1">
        <v>0.28789999999999999</v>
      </c>
      <c r="L40" s="1">
        <v>0.56000000000000005</v>
      </c>
      <c r="M40" s="1">
        <v>0.19400000000000001</v>
      </c>
      <c r="N40" s="1">
        <v>6</v>
      </c>
      <c r="O40" s="1">
        <v>71</v>
      </c>
      <c r="P40" s="1">
        <v>77</v>
      </c>
    </row>
    <row r="41" spans="1:16" x14ac:dyDescent="0.2">
      <c r="A41" s="1">
        <v>650</v>
      </c>
      <c r="B41" s="2">
        <v>40573</v>
      </c>
      <c r="C41" s="1">
        <v>1</v>
      </c>
      <c r="D41" s="1">
        <f t="shared" si="0"/>
        <v>2011</v>
      </c>
      <c r="E41" s="1" t="str">
        <f t="shared" si="1"/>
        <v>January</v>
      </c>
      <c r="F41" s="1">
        <v>18</v>
      </c>
      <c r="G41" s="1" t="b">
        <f t="shared" si="2"/>
        <v>1</v>
      </c>
      <c r="H41" s="1" t="str">
        <f t="shared" si="3"/>
        <v>Sunday</v>
      </c>
      <c r="I41" s="1">
        <v>1</v>
      </c>
      <c r="J41" s="1">
        <v>0.26</v>
      </c>
      <c r="K41" s="1">
        <v>0.2576</v>
      </c>
      <c r="L41" s="1">
        <v>0.65</v>
      </c>
      <c r="M41" s="1">
        <v>0.16420000000000001</v>
      </c>
      <c r="N41" s="1">
        <v>8</v>
      </c>
      <c r="O41" s="1">
        <v>57</v>
      </c>
      <c r="P41" s="1">
        <v>65</v>
      </c>
    </row>
    <row r="42" spans="1:16" x14ac:dyDescent="0.2">
      <c r="A42" s="1">
        <v>651</v>
      </c>
      <c r="B42" s="2">
        <v>40573</v>
      </c>
      <c r="C42" s="1">
        <v>1</v>
      </c>
      <c r="D42" s="1">
        <f t="shared" si="0"/>
        <v>2011</v>
      </c>
      <c r="E42" s="1" t="str">
        <f t="shared" si="1"/>
        <v>January</v>
      </c>
      <c r="F42" s="1">
        <v>19</v>
      </c>
      <c r="G42" s="1" t="b">
        <f t="shared" si="2"/>
        <v>1</v>
      </c>
      <c r="H42" s="1" t="str">
        <f t="shared" si="3"/>
        <v>Sunday</v>
      </c>
      <c r="I42" s="1">
        <v>1</v>
      </c>
      <c r="J42" s="1">
        <v>0.26</v>
      </c>
      <c r="K42" s="1">
        <v>0.2576</v>
      </c>
      <c r="L42" s="1">
        <v>0.65</v>
      </c>
      <c r="M42" s="1">
        <v>0.19400000000000001</v>
      </c>
      <c r="N42" s="1">
        <v>9</v>
      </c>
      <c r="O42" s="1">
        <v>46</v>
      </c>
      <c r="P42" s="1">
        <v>55</v>
      </c>
    </row>
    <row r="43" spans="1:16" x14ac:dyDescent="0.2">
      <c r="A43" s="1">
        <v>652</v>
      </c>
      <c r="B43" s="2">
        <v>40573</v>
      </c>
      <c r="C43" s="1">
        <v>1</v>
      </c>
      <c r="D43" s="1">
        <f t="shared" si="0"/>
        <v>2011</v>
      </c>
      <c r="E43" s="1" t="str">
        <f t="shared" si="1"/>
        <v>January</v>
      </c>
      <c r="F43" s="1">
        <v>20</v>
      </c>
      <c r="G43" s="1" t="b">
        <f t="shared" si="2"/>
        <v>1</v>
      </c>
      <c r="H43" s="1" t="str">
        <f t="shared" si="3"/>
        <v>Sunday</v>
      </c>
      <c r="I43" s="1">
        <v>2</v>
      </c>
      <c r="J43" s="1">
        <v>0.26</v>
      </c>
      <c r="K43" s="1">
        <v>0.2727</v>
      </c>
      <c r="L43" s="1">
        <v>0.65</v>
      </c>
      <c r="M43" s="1">
        <v>0.1045</v>
      </c>
      <c r="N43" s="1">
        <v>3</v>
      </c>
      <c r="O43" s="1">
        <v>30</v>
      </c>
      <c r="P43" s="1">
        <v>33</v>
      </c>
    </row>
    <row r="44" spans="1:16" x14ac:dyDescent="0.2">
      <c r="A44" s="1">
        <v>653</v>
      </c>
      <c r="B44" s="2">
        <v>40573</v>
      </c>
      <c r="C44" s="1">
        <v>1</v>
      </c>
      <c r="D44" s="1">
        <f t="shared" si="0"/>
        <v>2011</v>
      </c>
      <c r="E44" s="1" t="str">
        <f t="shared" si="1"/>
        <v>January</v>
      </c>
      <c r="F44" s="1">
        <v>21</v>
      </c>
      <c r="G44" s="1" t="b">
        <f t="shared" si="2"/>
        <v>1</v>
      </c>
      <c r="H44" s="1" t="str">
        <f t="shared" si="3"/>
        <v>Sunday</v>
      </c>
      <c r="I44" s="1">
        <v>2</v>
      </c>
      <c r="J44" s="1">
        <v>0.24</v>
      </c>
      <c r="K44" s="1">
        <v>0.2424</v>
      </c>
      <c r="L44" s="1">
        <v>0.7</v>
      </c>
      <c r="M44" s="1">
        <v>0.16420000000000001</v>
      </c>
      <c r="N44" s="1">
        <v>3</v>
      </c>
      <c r="O44" s="1">
        <v>25</v>
      </c>
      <c r="P44" s="1">
        <v>28</v>
      </c>
    </row>
    <row r="45" spans="1:16" x14ac:dyDescent="0.2">
      <c r="A45" s="1">
        <v>654</v>
      </c>
      <c r="B45" s="2">
        <v>40573</v>
      </c>
      <c r="C45" s="1">
        <v>1</v>
      </c>
      <c r="D45" s="1">
        <f t="shared" si="0"/>
        <v>2011</v>
      </c>
      <c r="E45" s="1" t="str">
        <f t="shared" si="1"/>
        <v>January</v>
      </c>
      <c r="F45" s="1">
        <v>22</v>
      </c>
      <c r="G45" s="1" t="b">
        <f t="shared" si="2"/>
        <v>1</v>
      </c>
      <c r="H45" s="1" t="str">
        <f t="shared" si="3"/>
        <v>Sunday</v>
      </c>
      <c r="I45" s="1">
        <v>2</v>
      </c>
      <c r="J45" s="1">
        <v>0.24</v>
      </c>
      <c r="K45" s="1">
        <v>0.2273</v>
      </c>
      <c r="L45" s="1">
        <v>0.7</v>
      </c>
      <c r="M45" s="1">
        <v>0.19400000000000001</v>
      </c>
      <c r="N45" s="1">
        <v>2</v>
      </c>
      <c r="O45" s="1">
        <v>19</v>
      </c>
      <c r="P45" s="1">
        <v>21</v>
      </c>
    </row>
    <row r="46" spans="1:16" x14ac:dyDescent="0.2">
      <c r="A46" s="1">
        <v>655</v>
      </c>
      <c r="B46" s="2">
        <v>40573</v>
      </c>
      <c r="C46" s="1">
        <v>1</v>
      </c>
      <c r="D46" s="1">
        <f t="shared" si="0"/>
        <v>2011</v>
      </c>
      <c r="E46" s="1" t="str">
        <f t="shared" si="1"/>
        <v>January</v>
      </c>
      <c r="F46" s="1">
        <v>23</v>
      </c>
      <c r="G46" s="1" t="b">
        <f t="shared" si="2"/>
        <v>1</v>
      </c>
      <c r="H46" s="1" t="str">
        <f t="shared" si="3"/>
        <v>Sunday</v>
      </c>
      <c r="I46" s="1">
        <v>2</v>
      </c>
      <c r="J46" s="1">
        <v>0.24</v>
      </c>
      <c r="K46" s="1">
        <v>0.21210000000000001</v>
      </c>
      <c r="L46" s="1">
        <v>0.65</v>
      </c>
      <c r="M46" s="1">
        <v>0.28360000000000002</v>
      </c>
      <c r="N46" s="1">
        <v>5</v>
      </c>
      <c r="O46" s="1">
        <v>16</v>
      </c>
      <c r="P46" s="1">
        <v>21</v>
      </c>
    </row>
    <row r="47" spans="1:16" x14ac:dyDescent="0.2">
      <c r="A47" s="1">
        <v>656</v>
      </c>
      <c r="B47" s="2">
        <v>40574</v>
      </c>
      <c r="C47" s="1">
        <v>1</v>
      </c>
      <c r="D47" s="1">
        <f t="shared" si="0"/>
        <v>2011</v>
      </c>
      <c r="E47" s="1" t="str">
        <f t="shared" si="1"/>
        <v>January</v>
      </c>
      <c r="F47" s="1">
        <v>0</v>
      </c>
      <c r="G47" s="1" t="b">
        <f t="shared" si="2"/>
        <v>0</v>
      </c>
      <c r="H47" s="1" t="str">
        <f t="shared" si="3"/>
        <v>Monday</v>
      </c>
      <c r="I47" s="1">
        <v>2</v>
      </c>
      <c r="J47" s="1">
        <v>0.24</v>
      </c>
      <c r="K47" s="1">
        <v>0.2273</v>
      </c>
      <c r="L47" s="1">
        <v>0.65</v>
      </c>
      <c r="M47" s="1">
        <v>0.22389999999999999</v>
      </c>
      <c r="N47" s="1">
        <v>1</v>
      </c>
      <c r="O47" s="1">
        <v>6</v>
      </c>
      <c r="P47" s="1">
        <v>7</v>
      </c>
    </row>
    <row r="48" spans="1:16" x14ac:dyDescent="0.2">
      <c r="A48" s="1">
        <v>657</v>
      </c>
      <c r="B48" s="2">
        <v>40574</v>
      </c>
      <c r="C48" s="1">
        <v>1</v>
      </c>
      <c r="D48" s="1">
        <f t="shared" si="0"/>
        <v>2011</v>
      </c>
      <c r="E48" s="1" t="str">
        <f t="shared" si="1"/>
        <v>January</v>
      </c>
      <c r="F48" s="1">
        <v>1</v>
      </c>
      <c r="G48" s="1" t="b">
        <f t="shared" si="2"/>
        <v>0</v>
      </c>
      <c r="H48" s="1" t="str">
        <f t="shared" si="3"/>
        <v>Monday</v>
      </c>
      <c r="I48" s="1">
        <v>1</v>
      </c>
      <c r="J48" s="1">
        <v>0.22</v>
      </c>
      <c r="K48" s="1">
        <v>0.21210000000000001</v>
      </c>
      <c r="L48" s="1">
        <v>0.64</v>
      </c>
      <c r="M48" s="1">
        <v>0.25369999999999998</v>
      </c>
      <c r="N48" s="1">
        <v>2</v>
      </c>
      <c r="O48" s="1">
        <v>5</v>
      </c>
      <c r="P48" s="1">
        <v>7</v>
      </c>
    </row>
    <row r="49" spans="1:16" x14ac:dyDescent="0.2">
      <c r="A49" s="1">
        <v>658</v>
      </c>
      <c r="B49" s="2">
        <v>40574</v>
      </c>
      <c r="C49" s="1">
        <v>1</v>
      </c>
      <c r="D49" s="1">
        <f t="shared" si="0"/>
        <v>2011</v>
      </c>
      <c r="E49" s="1" t="str">
        <f t="shared" si="1"/>
        <v>January</v>
      </c>
      <c r="F49" s="1">
        <v>2</v>
      </c>
      <c r="G49" s="1" t="b">
        <f t="shared" si="2"/>
        <v>0</v>
      </c>
      <c r="H49" s="1" t="str">
        <f t="shared" si="3"/>
        <v>Monday</v>
      </c>
      <c r="I49" s="1">
        <v>1</v>
      </c>
      <c r="J49" s="1">
        <v>0.22</v>
      </c>
      <c r="K49" s="1">
        <v>0.2273</v>
      </c>
      <c r="L49" s="1">
        <v>0.64</v>
      </c>
      <c r="M49" s="1">
        <v>0.19400000000000001</v>
      </c>
      <c r="N49" s="1">
        <v>0</v>
      </c>
      <c r="O49" s="1">
        <v>1</v>
      </c>
      <c r="P49" s="1">
        <v>1</v>
      </c>
    </row>
    <row r="50" spans="1:16" x14ac:dyDescent="0.2">
      <c r="A50" s="1">
        <v>659</v>
      </c>
      <c r="B50" s="2">
        <v>40574</v>
      </c>
      <c r="C50" s="1">
        <v>1</v>
      </c>
      <c r="D50" s="1">
        <f t="shared" si="0"/>
        <v>2011</v>
      </c>
      <c r="E50" s="1" t="str">
        <f t="shared" si="1"/>
        <v>January</v>
      </c>
      <c r="F50" s="1">
        <v>3</v>
      </c>
      <c r="G50" s="1" t="b">
        <f t="shared" si="2"/>
        <v>0</v>
      </c>
      <c r="H50" s="1" t="str">
        <f t="shared" si="3"/>
        <v>Monday</v>
      </c>
      <c r="I50" s="1">
        <v>1</v>
      </c>
      <c r="J50" s="1">
        <v>0.22</v>
      </c>
      <c r="K50" s="1">
        <v>0.2273</v>
      </c>
      <c r="L50" s="1">
        <v>0.64</v>
      </c>
      <c r="M50" s="1">
        <v>0.19400000000000001</v>
      </c>
      <c r="N50" s="1">
        <v>0</v>
      </c>
      <c r="O50" s="1">
        <v>2</v>
      </c>
      <c r="P50" s="1">
        <v>2</v>
      </c>
    </row>
    <row r="51" spans="1:16" x14ac:dyDescent="0.2">
      <c r="A51" s="1">
        <v>660</v>
      </c>
      <c r="B51" s="2">
        <v>40574</v>
      </c>
      <c r="C51" s="1">
        <v>1</v>
      </c>
      <c r="D51" s="1">
        <f t="shared" si="0"/>
        <v>2011</v>
      </c>
      <c r="E51" s="1" t="str">
        <f t="shared" si="1"/>
        <v>January</v>
      </c>
      <c r="F51" s="1">
        <v>4</v>
      </c>
      <c r="G51" s="1" t="b">
        <f t="shared" si="2"/>
        <v>0</v>
      </c>
      <c r="H51" s="1" t="str">
        <f t="shared" si="3"/>
        <v>Monday</v>
      </c>
      <c r="I51" s="1">
        <v>1</v>
      </c>
      <c r="J51" s="1">
        <v>0.2</v>
      </c>
      <c r="K51" s="1">
        <v>0.19700000000000001</v>
      </c>
      <c r="L51" s="1">
        <v>0.59</v>
      </c>
      <c r="M51" s="1">
        <v>0.22389999999999999</v>
      </c>
      <c r="N51" s="1">
        <v>0</v>
      </c>
      <c r="O51" s="1">
        <v>2</v>
      </c>
      <c r="P51" s="1">
        <v>2</v>
      </c>
    </row>
    <row r="52" spans="1:16" x14ac:dyDescent="0.2">
      <c r="A52" s="1">
        <v>661</v>
      </c>
      <c r="B52" s="2">
        <v>40574</v>
      </c>
      <c r="C52" s="1">
        <v>1</v>
      </c>
      <c r="D52" s="1">
        <f t="shared" si="0"/>
        <v>2011</v>
      </c>
      <c r="E52" s="1" t="str">
        <f t="shared" si="1"/>
        <v>January</v>
      </c>
      <c r="F52" s="1">
        <v>5</v>
      </c>
      <c r="G52" s="1" t="b">
        <f t="shared" si="2"/>
        <v>0</v>
      </c>
      <c r="H52" s="1" t="str">
        <f t="shared" si="3"/>
        <v>Monday</v>
      </c>
      <c r="I52" s="1">
        <v>1</v>
      </c>
      <c r="J52" s="1">
        <v>0.18</v>
      </c>
      <c r="K52" s="1">
        <v>0.16669999999999999</v>
      </c>
      <c r="L52" s="1">
        <v>0.64</v>
      </c>
      <c r="M52" s="1">
        <v>0.28360000000000002</v>
      </c>
      <c r="N52" s="1">
        <v>0</v>
      </c>
      <c r="O52" s="1">
        <v>8</v>
      </c>
      <c r="P52" s="1">
        <v>8</v>
      </c>
    </row>
    <row r="53" spans="1:16" x14ac:dyDescent="0.2">
      <c r="A53" s="1">
        <v>662</v>
      </c>
      <c r="B53" s="2">
        <v>40574</v>
      </c>
      <c r="C53" s="1">
        <v>1</v>
      </c>
      <c r="D53" s="1">
        <f t="shared" si="0"/>
        <v>2011</v>
      </c>
      <c r="E53" s="1" t="str">
        <f t="shared" si="1"/>
        <v>January</v>
      </c>
      <c r="F53" s="1">
        <v>6</v>
      </c>
      <c r="G53" s="1" t="b">
        <f t="shared" si="2"/>
        <v>0</v>
      </c>
      <c r="H53" s="1" t="str">
        <f t="shared" si="3"/>
        <v>Monday</v>
      </c>
      <c r="I53" s="1">
        <v>1</v>
      </c>
      <c r="J53" s="1">
        <v>0.16</v>
      </c>
      <c r="K53" s="1">
        <v>0.13639999999999999</v>
      </c>
      <c r="L53" s="1">
        <v>0.69</v>
      </c>
      <c r="M53" s="1">
        <v>0.32840000000000003</v>
      </c>
      <c r="N53" s="1">
        <v>0</v>
      </c>
      <c r="O53" s="1">
        <v>37</v>
      </c>
      <c r="P53" s="1">
        <v>37</v>
      </c>
    </row>
    <row r="54" spans="1:16" x14ac:dyDescent="0.2">
      <c r="A54" s="1">
        <v>663</v>
      </c>
      <c r="B54" s="2">
        <v>40574</v>
      </c>
      <c r="C54" s="1">
        <v>1</v>
      </c>
      <c r="D54" s="1">
        <f t="shared" si="0"/>
        <v>2011</v>
      </c>
      <c r="E54" s="1" t="str">
        <f t="shared" si="1"/>
        <v>January</v>
      </c>
      <c r="F54" s="1">
        <v>7</v>
      </c>
      <c r="G54" s="1" t="b">
        <f t="shared" si="2"/>
        <v>0</v>
      </c>
      <c r="H54" s="1" t="str">
        <f t="shared" si="3"/>
        <v>Monday</v>
      </c>
      <c r="I54" s="1">
        <v>2</v>
      </c>
      <c r="J54" s="1">
        <v>0.16</v>
      </c>
      <c r="K54" s="1">
        <v>0.13639999999999999</v>
      </c>
      <c r="L54" s="1">
        <v>0.64</v>
      </c>
      <c r="M54" s="1">
        <v>0.28360000000000002</v>
      </c>
      <c r="N54" s="1">
        <v>1</v>
      </c>
      <c r="O54" s="1">
        <v>71</v>
      </c>
      <c r="P54" s="1">
        <v>72</v>
      </c>
    </row>
    <row r="55" spans="1:16" x14ac:dyDescent="0.2">
      <c r="A55" s="1">
        <v>664</v>
      </c>
      <c r="B55" s="2">
        <v>40574</v>
      </c>
      <c r="C55" s="1">
        <v>1</v>
      </c>
      <c r="D55" s="1">
        <f t="shared" si="0"/>
        <v>2011</v>
      </c>
      <c r="E55" s="1" t="str">
        <f t="shared" si="1"/>
        <v>January</v>
      </c>
      <c r="F55" s="1">
        <v>8</v>
      </c>
      <c r="G55" s="1" t="b">
        <f t="shared" si="2"/>
        <v>0</v>
      </c>
      <c r="H55" s="1" t="str">
        <f t="shared" si="3"/>
        <v>Monday</v>
      </c>
      <c r="I55" s="1">
        <v>2</v>
      </c>
      <c r="J55" s="1">
        <v>0.16</v>
      </c>
      <c r="K55" s="1">
        <v>0.13639999999999999</v>
      </c>
      <c r="L55" s="1">
        <v>0.59</v>
      </c>
      <c r="M55" s="1">
        <v>0.28360000000000002</v>
      </c>
      <c r="N55" s="1">
        <v>3</v>
      </c>
      <c r="O55" s="1">
        <v>182</v>
      </c>
      <c r="P55" s="1">
        <v>185</v>
      </c>
    </row>
    <row r="56" spans="1:16" x14ac:dyDescent="0.2">
      <c r="A56" s="1">
        <v>665</v>
      </c>
      <c r="B56" s="2">
        <v>40574</v>
      </c>
      <c r="C56" s="1">
        <v>1</v>
      </c>
      <c r="D56" s="1">
        <f t="shared" si="0"/>
        <v>2011</v>
      </c>
      <c r="E56" s="1" t="str">
        <f t="shared" si="1"/>
        <v>January</v>
      </c>
      <c r="F56" s="1">
        <v>9</v>
      </c>
      <c r="G56" s="1" t="b">
        <f t="shared" si="2"/>
        <v>0</v>
      </c>
      <c r="H56" s="1" t="str">
        <f t="shared" si="3"/>
        <v>Monday</v>
      </c>
      <c r="I56" s="1">
        <v>2</v>
      </c>
      <c r="J56" s="1">
        <v>0.16</v>
      </c>
      <c r="K56" s="1">
        <v>0.13639999999999999</v>
      </c>
      <c r="L56" s="1">
        <v>0.59</v>
      </c>
      <c r="M56" s="1">
        <v>0.29849999999999999</v>
      </c>
      <c r="N56" s="1">
        <v>0</v>
      </c>
      <c r="O56" s="1">
        <v>112</v>
      </c>
      <c r="P56" s="1">
        <v>112</v>
      </c>
    </row>
    <row r="57" spans="1:16" x14ac:dyDescent="0.2">
      <c r="A57" s="1">
        <v>666</v>
      </c>
      <c r="B57" s="2">
        <v>40574</v>
      </c>
      <c r="C57" s="1">
        <v>1</v>
      </c>
      <c r="D57" s="1">
        <f t="shared" si="0"/>
        <v>2011</v>
      </c>
      <c r="E57" s="1" t="str">
        <f t="shared" si="1"/>
        <v>January</v>
      </c>
      <c r="F57" s="1">
        <v>10</v>
      </c>
      <c r="G57" s="1" t="b">
        <f t="shared" si="2"/>
        <v>0</v>
      </c>
      <c r="H57" s="1" t="str">
        <f t="shared" si="3"/>
        <v>Monday</v>
      </c>
      <c r="I57" s="1">
        <v>2</v>
      </c>
      <c r="J57" s="1">
        <v>0.16</v>
      </c>
      <c r="K57" s="1">
        <v>0.1515</v>
      </c>
      <c r="L57" s="1">
        <v>0.59</v>
      </c>
      <c r="M57" s="1">
        <v>0.19400000000000001</v>
      </c>
      <c r="N57" s="1">
        <v>1</v>
      </c>
      <c r="O57" s="1">
        <v>68</v>
      </c>
      <c r="P57" s="1">
        <v>69</v>
      </c>
    </row>
    <row r="58" spans="1:16" x14ac:dyDescent="0.2">
      <c r="A58" s="1">
        <v>667</v>
      </c>
      <c r="B58" s="2">
        <v>40574</v>
      </c>
      <c r="C58" s="1">
        <v>1</v>
      </c>
      <c r="D58" s="1">
        <f t="shared" si="0"/>
        <v>2011</v>
      </c>
      <c r="E58" s="1" t="str">
        <f t="shared" si="1"/>
        <v>January</v>
      </c>
      <c r="F58" s="1">
        <v>11</v>
      </c>
      <c r="G58" s="1" t="b">
        <f t="shared" si="2"/>
        <v>0</v>
      </c>
      <c r="H58" s="1" t="str">
        <f t="shared" si="3"/>
        <v>Monday</v>
      </c>
      <c r="I58" s="1">
        <v>2</v>
      </c>
      <c r="J58" s="1">
        <v>0.16</v>
      </c>
      <c r="K58" s="1">
        <v>0.1515</v>
      </c>
      <c r="L58" s="1">
        <v>0.59</v>
      </c>
      <c r="M58" s="1">
        <v>0.19400000000000001</v>
      </c>
      <c r="N58" s="1">
        <v>2</v>
      </c>
      <c r="O58" s="1">
        <v>46</v>
      </c>
      <c r="P58" s="1">
        <v>48</v>
      </c>
    </row>
    <row r="59" spans="1:16" x14ac:dyDescent="0.2">
      <c r="A59" s="1">
        <v>668</v>
      </c>
      <c r="B59" s="2">
        <v>40574</v>
      </c>
      <c r="C59" s="1">
        <v>1</v>
      </c>
      <c r="D59" s="1">
        <f t="shared" si="0"/>
        <v>2011</v>
      </c>
      <c r="E59" s="1" t="str">
        <f t="shared" si="1"/>
        <v>January</v>
      </c>
      <c r="F59" s="1">
        <v>12</v>
      </c>
      <c r="G59" s="1" t="b">
        <f t="shared" si="2"/>
        <v>0</v>
      </c>
      <c r="H59" s="1" t="str">
        <f t="shared" si="3"/>
        <v>Monday</v>
      </c>
      <c r="I59" s="1">
        <v>2</v>
      </c>
      <c r="J59" s="1">
        <v>0.18</v>
      </c>
      <c r="K59" s="1">
        <v>0.21210000000000001</v>
      </c>
      <c r="L59" s="1">
        <v>0.55000000000000004</v>
      </c>
      <c r="M59" s="1">
        <v>0.1045</v>
      </c>
      <c r="N59" s="1">
        <v>6</v>
      </c>
      <c r="O59" s="1">
        <v>62</v>
      </c>
      <c r="P59" s="1">
        <v>68</v>
      </c>
    </row>
    <row r="60" spans="1:16" x14ac:dyDescent="0.2">
      <c r="A60" s="1">
        <v>669</v>
      </c>
      <c r="B60" s="2">
        <v>40574</v>
      </c>
      <c r="C60" s="1">
        <v>1</v>
      </c>
      <c r="D60" s="1">
        <f t="shared" si="0"/>
        <v>2011</v>
      </c>
      <c r="E60" s="1" t="str">
        <f t="shared" si="1"/>
        <v>January</v>
      </c>
      <c r="F60" s="1">
        <v>13</v>
      </c>
      <c r="G60" s="1" t="b">
        <f t="shared" si="2"/>
        <v>0</v>
      </c>
      <c r="H60" s="1" t="str">
        <f t="shared" si="3"/>
        <v>Monday</v>
      </c>
      <c r="I60" s="1">
        <v>2</v>
      </c>
      <c r="J60" s="1">
        <v>0.16</v>
      </c>
      <c r="K60" s="1">
        <v>0.2273</v>
      </c>
      <c r="L60" s="1">
        <v>0.59</v>
      </c>
      <c r="M60" s="1">
        <v>0</v>
      </c>
      <c r="N60" s="1">
        <v>2</v>
      </c>
      <c r="O60" s="1">
        <v>52</v>
      </c>
      <c r="P60" s="1">
        <v>54</v>
      </c>
    </row>
    <row r="61" spans="1:16" x14ac:dyDescent="0.2">
      <c r="A61" s="1">
        <v>670</v>
      </c>
      <c r="B61" s="2">
        <v>40574</v>
      </c>
      <c r="C61" s="1">
        <v>1</v>
      </c>
      <c r="D61" s="1">
        <f t="shared" si="0"/>
        <v>2011</v>
      </c>
      <c r="E61" s="1" t="str">
        <f t="shared" si="1"/>
        <v>January</v>
      </c>
      <c r="F61" s="1">
        <v>14</v>
      </c>
      <c r="G61" s="1" t="b">
        <f t="shared" si="2"/>
        <v>0</v>
      </c>
      <c r="H61" s="1" t="str">
        <f t="shared" si="3"/>
        <v>Monday</v>
      </c>
      <c r="I61" s="1">
        <v>2</v>
      </c>
      <c r="J61" s="1">
        <v>0.18</v>
      </c>
      <c r="K61" s="1">
        <v>0.19700000000000001</v>
      </c>
      <c r="L61" s="1">
        <v>0.55000000000000004</v>
      </c>
      <c r="M61" s="1">
        <v>0.1343</v>
      </c>
      <c r="N61" s="1">
        <v>1</v>
      </c>
      <c r="O61" s="1">
        <v>85</v>
      </c>
      <c r="P61" s="1">
        <v>86</v>
      </c>
    </row>
    <row r="62" spans="1:16" x14ac:dyDescent="0.2">
      <c r="A62" s="1">
        <v>671</v>
      </c>
      <c r="B62" s="2">
        <v>40574</v>
      </c>
      <c r="C62" s="1">
        <v>1</v>
      </c>
      <c r="D62" s="1">
        <f t="shared" si="0"/>
        <v>2011</v>
      </c>
      <c r="E62" s="1" t="str">
        <f t="shared" si="1"/>
        <v>January</v>
      </c>
      <c r="F62" s="1">
        <v>15</v>
      </c>
      <c r="G62" s="1" t="b">
        <f t="shared" si="2"/>
        <v>0</v>
      </c>
      <c r="H62" s="1" t="str">
        <f t="shared" si="3"/>
        <v>Monday</v>
      </c>
      <c r="I62" s="1">
        <v>2</v>
      </c>
      <c r="J62" s="1">
        <v>0.16</v>
      </c>
      <c r="K62" s="1">
        <v>0.18179999999999999</v>
      </c>
      <c r="L62" s="1">
        <v>0.59</v>
      </c>
      <c r="M62" s="1">
        <v>0.1343</v>
      </c>
      <c r="N62" s="1">
        <v>3</v>
      </c>
      <c r="O62" s="1">
        <v>41</v>
      </c>
      <c r="P62" s="1">
        <v>44</v>
      </c>
    </row>
    <row r="63" spans="1:16" x14ac:dyDescent="0.2">
      <c r="A63" s="1">
        <v>672</v>
      </c>
      <c r="B63" s="2">
        <v>40574</v>
      </c>
      <c r="C63" s="1">
        <v>1</v>
      </c>
      <c r="D63" s="1">
        <f t="shared" si="0"/>
        <v>2011</v>
      </c>
      <c r="E63" s="1" t="str">
        <f t="shared" si="1"/>
        <v>January</v>
      </c>
      <c r="F63" s="1">
        <v>16</v>
      </c>
      <c r="G63" s="1" t="b">
        <f t="shared" si="2"/>
        <v>0</v>
      </c>
      <c r="H63" s="1" t="str">
        <f t="shared" si="3"/>
        <v>Monday</v>
      </c>
      <c r="I63" s="1">
        <v>2</v>
      </c>
      <c r="J63" s="1">
        <v>0.16</v>
      </c>
      <c r="K63" s="1">
        <v>0.18179999999999999</v>
      </c>
      <c r="L63" s="1">
        <v>0.56000000000000005</v>
      </c>
      <c r="M63" s="1">
        <v>0.19400000000000001</v>
      </c>
      <c r="N63" s="1">
        <v>3</v>
      </c>
      <c r="O63" s="1">
        <v>83</v>
      </c>
      <c r="P63" s="1">
        <v>86</v>
      </c>
    </row>
    <row r="64" spans="1:16" x14ac:dyDescent="0.2">
      <c r="A64" s="1">
        <v>673</v>
      </c>
      <c r="B64" s="2">
        <v>40574</v>
      </c>
      <c r="C64" s="1">
        <v>1</v>
      </c>
      <c r="D64" s="1">
        <f t="shared" si="0"/>
        <v>2011</v>
      </c>
      <c r="E64" s="1" t="str">
        <f t="shared" si="1"/>
        <v>January</v>
      </c>
      <c r="F64" s="1">
        <v>17</v>
      </c>
      <c r="G64" s="1" t="b">
        <f t="shared" si="2"/>
        <v>0</v>
      </c>
      <c r="H64" s="1" t="str">
        <f t="shared" si="3"/>
        <v>Monday</v>
      </c>
      <c r="I64" s="1">
        <v>2</v>
      </c>
      <c r="J64" s="1">
        <v>0.16</v>
      </c>
      <c r="K64" s="1">
        <v>0.1515</v>
      </c>
      <c r="L64" s="1">
        <v>0.59</v>
      </c>
      <c r="M64" s="1">
        <v>0.19400000000000001</v>
      </c>
      <c r="N64" s="1">
        <v>6</v>
      </c>
      <c r="O64" s="1">
        <v>155</v>
      </c>
      <c r="P64" s="1">
        <v>161</v>
      </c>
    </row>
    <row r="65" spans="1:16" x14ac:dyDescent="0.2">
      <c r="A65" s="1">
        <v>674</v>
      </c>
      <c r="B65" s="2">
        <v>40574</v>
      </c>
      <c r="C65" s="1">
        <v>1</v>
      </c>
      <c r="D65" s="1">
        <f t="shared" si="0"/>
        <v>2011</v>
      </c>
      <c r="E65" s="1" t="str">
        <f t="shared" si="1"/>
        <v>January</v>
      </c>
      <c r="F65" s="1">
        <v>18</v>
      </c>
      <c r="G65" s="1" t="b">
        <f t="shared" si="2"/>
        <v>0</v>
      </c>
      <c r="H65" s="1" t="str">
        <f t="shared" si="3"/>
        <v>Monday</v>
      </c>
      <c r="I65" s="1">
        <v>2</v>
      </c>
      <c r="J65" s="1">
        <v>0.16</v>
      </c>
      <c r="K65" s="1">
        <v>0.1515</v>
      </c>
      <c r="L65" s="1">
        <v>0.55000000000000004</v>
      </c>
      <c r="M65" s="1">
        <v>0.22389999999999999</v>
      </c>
      <c r="N65" s="1">
        <v>3</v>
      </c>
      <c r="O65" s="1">
        <v>153</v>
      </c>
      <c r="P65" s="1">
        <v>156</v>
      </c>
    </row>
    <row r="66" spans="1:16" x14ac:dyDescent="0.2">
      <c r="A66" s="1">
        <v>675</v>
      </c>
      <c r="B66" s="2">
        <v>40574</v>
      </c>
      <c r="C66" s="1">
        <v>1</v>
      </c>
      <c r="D66" s="1">
        <f t="shared" si="0"/>
        <v>2011</v>
      </c>
      <c r="E66" s="1" t="str">
        <f t="shared" si="1"/>
        <v>January</v>
      </c>
      <c r="F66" s="1">
        <v>19</v>
      </c>
      <c r="G66" s="1" t="b">
        <f t="shared" si="2"/>
        <v>0</v>
      </c>
      <c r="H66" s="1" t="str">
        <f t="shared" si="3"/>
        <v>Monday</v>
      </c>
      <c r="I66" s="1">
        <v>1</v>
      </c>
      <c r="J66" s="1">
        <v>0.3</v>
      </c>
      <c r="K66" s="1">
        <v>0.31819999999999998</v>
      </c>
      <c r="L66" s="1">
        <v>0.61</v>
      </c>
      <c r="M66" s="1">
        <v>0.1045</v>
      </c>
      <c r="N66" s="1">
        <v>3</v>
      </c>
      <c r="O66" s="1">
        <v>108</v>
      </c>
      <c r="P66" s="1">
        <v>111</v>
      </c>
    </row>
    <row r="67" spans="1:16" x14ac:dyDescent="0.2">
      <c r="A67" s="1">
        <v>676</v>
      </c>
      <c r="B67" s="2">
        <v>40574</v>
      </c>
      <c r="C67" s="1">
        <v>1</v>
      </c>
      <c r="D67" s="1">
        <f t="shared" ref="D67:D130" si="4">YEAR(B67)</f>
        <v>2011</v>
      </c>
      <c r="E67" s="1" t="str">
        <f t="shared" ref="E67:E130" si="5">TEXT(B67,"mmmm")</f>
        <v>January</v>
      </c>
      <c r="F67" s="1">
        <v>20</v>
      </c>
      <c r="G67" s="1" t="b">
        <f t="shared" ref="G67:G130" si="6">IF(H67="Sunday",TRUE,FALSE)</f>
        <v>0</v>
      </c>
      <c r="H67" s="1" t="str">
        <f t="shared" ref="H67:H130" si="7">TEXT(B67,"dddd")</f>
        <v>Monday</v>
      </c>
      <c r="I67" s="1">
        <v>3</v>
      </c>
      <c r="J67" s="1">
        <v>0.16</v>
      </c>
      <c r="K67" s="1">
        <v>0.16669999999999999</v>
      </c>
      <c r="L67" s="1">
        <v>0.59</v>
      </c>
      <c r="M67" s="1">
        <v>0.16420000000000001</v>
      </c>
      <c r="N67" s="1">
        <v>0</v>
      </c>
      <c r="O67" s="1">
        <v>78</v>
      </c>
      <c r="P67" s="1">
        <v>78</v>
      </c>
    </row>
    <row r="68" spans="1:16" x14ac:dyDescent="0.2">
      <c r="A68" s="1">
        <v>677</v>
      </c>
      <c r="B68" s="2">
        <v>40574</v>
      </c>
      <c r="C68" s="1">
        <v>1</v>
      </c>
      <c r="D68" s="1">
        <f t="shared" si="4"/>
        <v>2011</v>
      </c>
      <c r="E68" s="1" t="str">
        <f t="shared" si="5"/>
        <v>January</v>
      </c>
      <c r="F68" s="1">
        <v>21</v>
      </c>
      <c r="G68" s="1" t="b">
        <f t="shared" si="6"/>
        <v>0</v>
      </c>
      <c r="H68" s="1" t="str">
        <f t="shared" si="7"/>
        <v>Monday</v>
      </c>
      <c r="I68" s="1">
        <v>3</v>
      </c>
      <c r="J68" s="1">
        <v>0.16</v>
      </c>
      <c r="K68" s="1">
        <v>0.19700000000000001</v>
      </c>
      <c r="L68" s="1">
        <v>0.59</v>
      </c>
      <c r="M68" s="1">
        <v>8.9599999999999999E-2</v>
      </c>
      <c r="N68" s="1">
        <v>3</v>
      </c>
      <c r="O68" s="1">
        <v>53</v>
      </c>
      <c r="P68" s="1">
        <v>56</v>
      </c>
    </row>
    <row r="69" spans="1:16" x14ac:dyDescent="0.2">
      <c r="A69" s="1">
        <v>678</v>
      </c>
      <c r="B69" s="2">
        <v>40574</v>
      </c>
      <c r="C69" s="1">
        <v>1</v>
      </c>
      <c r="D69" s="1">
        <f t="shared" si="4"/>
        <v>2011</v>
      </c>
      <c r="E69" s="1" t="str">
        <f t="shared" si="5"/>
        <v>January</v>
      </c>
      <c r="F69" s="1">
        <v>22</v>
      </c>
      <c r="G69" s="1" t="b">
        <f t="shared" si="6"/>
        <v>0</v>
      </c>
      <c r="H69" s="1" t="str">
        <f t="shared" si="7"/>
        <v>Monday</v>
      </c>
      <c r="I69" s="1">
        <v>2</v>
      </c>
      <c r="J69" s="1">
        <v>0.16</v>
      </c>
      <c r="K69" s="1">
        <v>0.18179999999999999</v>
      </c>
      <c r="L69" s="1">
        <v>0.59</v>
      </c>
      <c r="M69" s="1">
        <v>0.1045</v>
      </c>
      <c r="N69" s="1">
        <v>0</v>
      </c>
      <c r="O69" s="1">
        <v>34</v>
      </c>
      <c r="P69" s="1">
        <v>34</v>
      </c>
    </row>
    <row r="70" spans="1:16" x14ac:dyDescent="0.2">
      <c r="A70" s="1">
        <v>679</v>
      </c>
      <c r="B70" s="2">
        <v>40574</v>
      </c>
      <c r="C70" s="1">
        <v>1</v>
      </c>
      <c r="D70" s="1">
        <f t="shared" si="4"/>
        <v>2011</v>
      </c>
      <c r="E70" s="1" t="str">
        <f t="shared" si="5"/>
        <v>January</v>
      </c>
      <c r="F70" s="1">
        <v>23</v>
      </c>
      <c r="G70" s="1" t="b">
        <f t="shared" si="6"/>
        <v>0</v>
      </c>
      <c r="H70" s="1" t="str">
        <f t="shared" si="7"/>
        <v>Monday</v>
      </c>
      <c r="I70" s="1">
        <v>2</v>
      </c>
      <c r="J70" s="1">
        <v>0.16</v>
      </c>
      <c r="K70" s="1">
        <v>0.19700000000000001</v>
      </c>
      <c r="L70" s="1">
        <v>0.64</v>
      </c>
      <c r="M70" s="1">
        <v>8.9599999999999999E-2</v>
      </c>
      <c r="N70" s="1">
        <v>2</v>
      </c>
      <c r="O70" s="1">
        <v>15</v>
      </c>
      <c r="P70" s="1">
        <v>17</v>
      </c>
    </row>
    <row r="71" spans="1:16" x14ac:dyDescent="0.2">
      <c r="A71" s="1">
        <v>680</v>
      </c>
      <c r="B71" s="2">
        <v>40575</v>
      </c>
      <c r="C71" s="1">
        <v>1</v>
      </c>
      <c r="D71" s="1">
        <f t="shared" si="4"/>
        <v>2011</v>
      </c>
      <c r="E71" s="1" t="str">
        <f t="shared" si="5"/>
        <v>February</v>
      </c>
      <c r="F71" s="1">
        <v>0</v>
      </c>
      <c r="G71" s="1" t="b">
        <f t="shared" si="6"/>
        <v>0</v>
      </c>
      <c r="H71" s="1" t="str">
        <f t="shared" si="7"/>
        <v>Tuesday</v>
      </c>
      <c r="I71" s="1">
        <v>2</v>
      </c>
      <c r="J71" s="1">
        <v>0.16</v>
      </c>
      <c r="K71" s="1">
        <v>0.18179999999999999</v>
      </c>
      <c r="L71" s="1">
        <v>0.64</v>
      </c>
      <c r="M71" s="1">
        <v>0.1045</v>
      </c>
      <c r="N71" s="1">
        <v>2</v>
      </c>
      <c r="O71" s="1">
        <v>6</v>
      </c>
      <c r="P71" s="1">
        <v>8</v>
      </c>
    </row>
    <row r="72" spans="1:16" x14ac:dyDescent="0.2">
      <c r="A72" s="1">
        <v>681</v>
      </c>
      <c r="B72" s="2">
        <v>40575</v>
      </c>
      <c r="C72" s="1">
        <v>1</v>
      </c>
      <c r="D72" s="1">
        <f t="shared" si="4"/>
        <v>2011</v>
      </c>
      <c r="E72" s="1" t="str">
        <f t="shared" si="5"/>
        <v>February</v>
      </c>
      <c r="F72" s="1">
        <v>1</v>
      </c>
      <c r="G72" s="1" t="b">
        <f t="shared" si="6"/>
        <v>0</v>
      </c>
      <c r="H72" s="1" t="str">
        <f t="shared" si="7"/>
        <v>Tuesday</v>
      </c>
      <c r="I72" s="1">
        <v>2</v>
      </c>
      <c r="J72" s="1">
        <v>0.16</v>
      </c>
      <c r="K72" s="1">
        <v>0.18179999999999999</v>
      </c>
      <c r="L72" s="1">
        <v>0.69</v>
      </c>
      <c r="M72" s="1">
        <v>0.1045</v>
      </c>
      <c r="N72" s="1">
        <v>0</v>
      </c>
      <c r="O72" s="1">
        <v>3</v>
      </c>
      <c r="P72" s="1">
        <v>3</v>
      </c>
    </row>
    <row r="73" spans="1:16" x14ac:dyDescent="0.2">
      <c r="A73" s="1">
        <v>682</v>
      </c>
      <c r="B73" s="2">
        <v>40575</v>
      </c>
      <c r="C73" s="1">
        <v>1</v>
      </c>
      <c r="D73" s="1">
        <f t="shared" si="4"/>
        <v>2011</v>
      </c>
      <c r="E73" s="1" t="str">
        <f t="shared" si="5"/>
        <v>February</v>
      </c>
      <c r="F73" s="1">
        <v>2</v>
      </c>
      <c r="G73" s="1" t="b">
        <f t="shared" si="6"/>
        <v>0</v>
      </c>
      <c r="H73" s="1" t="str">
        <f t="shared" si="7"/>
        <v>Tuesday</v>
      </c>
      <c r="I73" s="1">
        <v>2</v>
      </c>
      <c r="J73" s="1">
        <v>0.16</v>
      </c>
      <c r="K73" s="1">
        <v>0.2273</v>
      </c>
      <c r="L73" s="1">
        <v>0.69</v>
      </c>
      <c r="M73" s="1">
        <v>0</v>
      </c>
      <c r="N73" s="1">
        <v>0</v>
      </c>
      <c r="O73" s="1">
        <v>2</v>
      </c>
      <c r="P73" s="1">
        <v>2</v>
      </c>
    </row>
    <row r="74" spans="1:16" x14ac:dyDescent="0.2">
      <c r="A74" s="1">
        <v>683</v>
      </c>
      <c r="B74" s="2">
        <v>40575</v>
      </c>
      <c r="C74" s="1">
        <v>1</v>
      </c>
      <c r="D74" s="1">
        <f t="shared" si="4"/>
        <v>2011</v>
      </c>
      <c r="E74" s="1" t="str">
        <f t="shared" si="5"/>
        <v>February</v>
      </c>
      <c r="F74" s="1">
        <v>3</v>
      </c>
      <c r="G74" s="1" t="b">
        <f t="shared" si="6"/>
        <v>0</v>
      </c>
      <c r="H74" s="1" t="str">
        <f t="shared" si="7"/>
        <v>Tuesday</v>
      </c>
      <c r="I74" s="1">
        <v>2</v>
      </c>
      <c r="J74" s="1">
        <v>0.16</v>
      </c>
      <c r="K74" s="1">
        <v>0.2273</v>
      </c>
      <c r="L74" s="1">
        <v>0.69</v>
      </c>
      <c r="M74" s="1">
        <v>0</v>
      </c>
      <c r="N74" s="1">
        <v>0</v>
      </c>
      <c r="O74" s="1">
        <v>2</v>
      </c>
      <c r="P74" s="1">
        <v>2</v>
      </c>
    </row>
    <row r="75" spans="1:16" x14ac:dyDescent="0.2">
      <c r="A75" s="1">
        <v>684</v>
      </c>
      <c r="B75" s="2">
        <v>40575</v>
      </c>
      <c r="C75" s="1">
        <v>1</v>
      </c>
      <c r="D75" s="1">
        <f t="shared" si="4"/>
        <v>2011</v>
      </c>
      <c r="E75" s="1" t="str">
        <f t="shared" si="5"/>
        <v>February</v>
      </c>
      <c r="F75" s="1">
        <v>5</v>
      </c>
      <c r="G75" s="1" t="b">
        <f t="shared" si="6"/>
        <v>0</v>
      </c>
      <c r="H75" s="1" t="str">
        <f t="shared" si="7"/>
        <v>Tuesday</v>
      </c>
      <c r="I75" s="1">
        <v>3</v>
      </c>
      <c r="J75" s="1">
        <v>0.14000000000000001</v>
      </c>
      <c r="K75" s="1">
        <v>0.21210000000000001</v>
      </c>
      <c r="L75" s="1">
        <v>0.93</v>
      </c>
      <c r="M75" s="1">
        <v>0</v>
      </c>
      <c r="N75" s="1">
        <v>0</v>
      </c>
      <c r="O75" s="1">
        <v>3</v>
      </c>
      <c r="P75" s="1">
        <v>3</v>
      </c>
    </row>
    <row r="76" spans="1:16" x14ac:dyDescent="0.2">
      <c r="A76" s="1">
        <v>685</v>
      </c>
      <c r="B76" s="2">
        <v>40575</v>
      </c>
      <c r="C76" s="1">
        <v>1</v>
      </c>
      <c r="D76" s="1">
        <f t="shared" si="4"/>
        <v>2011</v>
      </c>
      <c r="E76" s="1" t="str">
        <f t="shared" si="5"/>
        <v>February</v>
      </c>
      <c r="F76" s="1">
        <v>6</v>
      </c>
      <c r="G76" s="1" t="b">
        <f t="shared" si="6"/>
        <v>0</v>
      </c>
      <c r="H76" s="1" t="str">
        <f t="shared" si="7"/>
        <v>Tuesday</v>
      </c>
      <c r="I76" s="1">
        <v>3</v>
      </c>
      <c r="J76" s="1">
        <v>0.14000000000000001</v>
      </c>
      <c r="K76" s="1">
        <v>0.21210000000000001</v>
      </c>
      <c r="L76" s="1">
        <v>0.93</v>
      </c>
      <c r="M76" s="1">
        <v>0</v>
      </c>
      <c r="N76" s="1">
        <v>0</v>
      </c>
      <c r="O76" s="1">
        <v>22</v>
      </c>
      <c r="P76" s="1">
        <v>22</v>
      </c>
    </row>
    <row r="77" spans="1:16" x14ac:dyDescent="0.2">
      <c r="A77" s="1">
        <v>686</v>
      </c>
      <c r="B77" s="2">
        <v>40575</v>
      </c>
      <c r="C77" s="1">
        <v>1</v>
      </c>
      <c r="D77" s="1">
        <f t="shared" si="4"/>
        <v>2011</v>
      </c>
      <c r="E77" s="1" t="str">
        <f t="shared" si="5"/>
        <v>February</v>
      </c>
      <c r="F77" s="1">
        <v>7</v>
      </c>
      <c r="G77" s="1" t="b">
        <f t="shared" si="6"/>
        <v>0</v>
      </c>
      <c r="H77" s="1" t="str">
        <f t="shared" si="7"/>
        <v>Tuesday</v>
      </c>
      <c r="I77" s="1">
        <v>3</v>
      </c>
      <c r="J77" s="1">
        <v>0.16</v>
      </c>
      <c r="K77" s="1">
        <v>0.2273</v>
      </c>
      <c r="L77" s="1">
        <v>0.93</v>
      </c>
      <c r="M77" s="1">
        <v>0</v>
      </c>
      <c r="N77" s="1">
        <v>0</v>
      </c>
      <c r="O77" s="1">
        <v>52</v>
      </c>
      <c r="P77" s="1">
        <v>52</v>
      </c>
    </row>
    <row r="78" spans="1:16" x14ac:dyDescent="0.2">
      <c r="A78" s="1">
        <v>687</v>
      </c>
      <c r="B78" s="2">
        <v>40575</v>
      </c>
      <c r="C78" s="1">
        <v>1</v>
      </c>
      <c r="D78" s="1">
        <f t="shared" si="4"/>
        <v>2011</v>
      </c>
      <c r="E78" s="1" t="str">
        <f t="shared" si="5"/>
        <v>February</v>
      </c>
      <c r="F78" s="1">
        <v>8</v>
      </c>
      <c r="G78" s="1" t="b">
        <f t="shared" si="6"/>
        <v>0</v>
      </c>
      <c r="H78" s="1" t="str">
        <f t="shared" si="7"/>
        <v>Tuesday</v>
      </c>
      <c r="I78" s="1">
        <v>3</v>
      </c>
      <c r="J78" s="1">
        <v>0.16</v>
      </c>
      <c r="K78" s="1">
        <v>0.2273</v>
      </c>
      <c r="L78" s="1">
        <v>0.93</v>
      </c>
      <c r="M78" s="1">
        <v>0</v>
      </c>
      <c r="N78" s="1">
        <v>3</v>
      </c>
      <c r="O78" s="1">
        <v>132</v>
      </c>
      <c r="P78" s="1">
        <v>135</v>
      </c>
    </row>
    <row r="79" spans="1:16" x14ac:dyDescent="0.2">
      <c r="A79" s="1">
        <v>688</v>
      </c>
      <c r="B79" s="2">
        <v>40575</v>
      </c>
      <c r="C79" s="1">
        <v>1</v>
      </c>
      <c r="D79" s="1">
        <f t="shared" si="4"/>
        <v>2011</v>
      </c>
      <c r="E79" s="1" t="str">
        <f t="shared" si="5"/>
        <v>February</v>
      </c>
      <c r="F79" s="1">
        <v>9</v>
      </c>
      <c r="G79" s="1" t="b">
        <f t="shared" si="6"/>
        <v>0</v>
      </c>
      <c r="H79" s="1" t="str">
        <f t="shared" si="7"/>
        <v>Tuesday</v>
      </c>
      <c r="I79" s="1">
        <v>2</v>
      </c>
      <c r="J79" s="1">
        <v>0.16</v>
      </c>
      <c r="K79" s="1">
        <v>0.2273</v>
      </c>
      <c r="L79" s="1">
        <v>0.93</v>
      </c>
      <c r="M79" s="1">
        <v>0</v>
      </c>
      <c r="N79" s="1">
        <v>2</v>
      </c>
      <c r="O79" s="1">
        <v>114</v>
      </c>
      <c r="P79" s="1">
        <v>116</v>
      </c>
    </row>
    <row r="80" spans="1:16" x14ac:dyDescent="0.2">
      <c r="A80" s="1">
        <v>689</v>
      </c>
      <c r="B80" s="2">
        <v>40575</v>
      </c>
      <c r="C80" s="1">
        <v>1</v>
      </c>
      <c r="D80" s="1">
        <f t="shared" si="4"/>
        <v>2011</v>
      </c>
      <c r="E80" s="1" t="str">
        <f t="shared" si="5"/>
        <v>February</v>
      </c>
      <c r="F80" s="1">
        <v>10</v>
      </c>
      <c r="G80" s="1" t="b">
        <f t="shared" si="6"/>
        <v>0</v>
      </c>
      <c r="H80" s="1" t="str">
        <f t="shared" si="7"/>
        <v>Tuesday</v>
      </c>
      <c r="I80" s="1">
        <v>2</v>
      </c>
      <c r="J80" s="1">
        <v>0.16</v>
      </c>
      <c r="K80" s="1">
        <v>0.2273</v>
      </c>
      <c r="L80" s="1">
        <v>0.93</v>
      </c>
      <c r="M80" s="1">
        <v>0</v>
      </c>
      <c r="N80" s="1">
        <v>0</v>
      </c>
      <c r="O80" s="1">
        <v>47</v>
      </c>
      <c r="P80" s="1">
        <v>47</v>
      </c>
    </row>
    <row r="81" spans="1:16" x14ac:dyDescent="0.2">
      <c r="A81" s="1">
        <v>690</v>
      </c>
      <c r="B81" s="2">
        <v>40575</v>
      </c>
      <c r="C81" s="1">
        <v>1</v>
      </c>
      <c r="D81" s="1">
        <f t="shared" si="4"/>
        <v>2011</v>
      </c>
      <c r="E81" s="1" t="str">
        <f t="shared" si="5"/>
        <v>February</v>
      </c>
      <c r="F81" s="1">
        <v>11</v>
      </c>
      <c r="G81" s="1" t="b">
        <f t="shared" si="6"/>
        <v>0</v>
      </c>
      <c r="H81" s="1" t="str">
        <f t="shared" si="7"/>
        <v>Tuesday</v>
      </c>
      <c r="I81" s="1">
        <v>2</v>
      </c>
      <c r="J81" s="1">
        <v>0.18</v>
      </c>
      <c r="K81" s="1">
        <v>0.2424</v>
      </c>
      <c r="L81" s="1">
        <v>0.86</v>
      </c>
      <c r="M81" s="1">
        <v>0</v>
      </c>
      <c r="N81" s="1">
        <v>2</v>
      </c>
      <c r="O81" s="1">
        <v>49</v>
      </c>
      <c r="P81" s="1">
        <v>51</v>
      </c>
    </row>
    <row r="82" spans="1:16" x14ac:dyDescent="0.2">
      <c r="A82" s="1">
        <v>691</v>
      </c>
      <c r="B82" s="2">
        <v>40575</v>
      </c>
      <c r="C82" s="1">
        <v>1</v>
      </c>
      <c r="D82" s="1">
        <f t="shared" si="4"/>
        <v>2011</v>
      </c>
      <c r="E82" s="1" t="str">
        <f t="shared" si="5"/>
        <v>February</v>
      </c>
      <c r="F82" s="1">
        <v>12</v>
      </c>
      <c r="G82" s="1" t="b">
        <f t="shared" si="6"/>
        <v>0</v>
      </c>
      <c r="H82" s="1" t="str">
        <f t="shared" si="7"/>
        <v>Tuesday</v>
      </c>
      <c r="I82" s="1">
        <v>2</v>
      </c>
      <c r="J82" s="1">
        <v>0.2</v>
      </c>
      <c r="K82" s="1">
        <v>0.2576</v>
      </c>
      <c r="L82" s="1">
        <v>0.86</v>
      </c>
      <c r="M82" s="1">
        <v>0</v>
      </c>
      <c r="N82" s="1">
        <v>2</v>
      </c>
      <c r="O82" s="1">
        <v>53</v>
      </c>
      <c r="P82" s="1">
        <v>55</v>
      </c>
    </row>
    <row r="83" spans="1:16" x14ac:dyDescent="0.2">
      <c r="A83" s="1">
        <v>692</v>
      </c>
      <c r="B83" s="2">
        <v>40575</v>
      </c>
      <c r="C83" s="1">
        <v>1</v>
      </c>
      <c r="D83" s="1">
        <f t="shared" si="4"/>
        <v>2011</v>
      </c>
      <c r="E83" s="1" t="str">
        <f t="shared" si="5"/>
        <v>February</v>
      </c>
      <c r="F83" s="1">
        <v>13</v>
      </c>
      <c r="G83" s="1" t="b">
        <f t="shared" si="6"/>
        <v>0</v>
      </c>
      <c r="H83" s="1" t="str">
        <f t="shared" si="7"/>
        <v>Tuesday</v>
      </c>
      <c r="I83" s="1">
        <v>2</v>
      </c>
      <c r="J83" s="1">
        <v>0.2</v>
      </c>
      <c r="K83" s="1">
        <v>0.2576</v>
      </c>
      <c r="L83" s="1">
        <v>0.86</v>
      </c>
      <c r="M83" s="1">
        <v>0</v>
      </c>
      <c r="N83" s="1">
        <v>3</v>
      </c>
      <c r="O83" s="1">
        <v>49</v>
      </c>
      <c r="P83" s="1">
        <v>52</v>
      </c>
    </row>
    <row r="84" spans="1:16" x14ac:dyDescent="0.2">
      <c r="A84" s="1">
        <v>693</v>
      </c>
      <c r="B84" s="2">
        <v>40575</v>
      </c>
      <c r="C84" s="1">
        <v>1</v>
      </c>
      <c r="D84" s="1">
        <f t="shared" si="4"/>
        <v>2011</v>
      </c>
      <c r="E84" s="1" t="str">
        <f t="shared" si="5"/>
        <v>February</v>
      </c>
      <c r="F84" s="1">
        <v>14</v>
      </c>
      <c r="G84" s="1" t="b">
        <f t="shared" si="6"/>
        <v>0</v>
      </c>
      <c r="H84" s="1" t="str">
        <f t="shared" si="7"/>
        <v>Tuesday</v>
      </c>
      <c r="I84" s="1">
        <v>2</v>
      </c>
      <c r="J84" s="1">
        <v>0.22</v>
      </c>
      <c r="K84" s="1">
        <v>0.2576</v>
      </c>
      <c r="L84" s="1">
        <v>0.8</v>
      </c>
      <c r="M84" s="1">
        <v>8.9599999999999999E-2</v>
      </c>
      <c r="N84" s="1">
        <v>5</v>
      </c>
      <c r="O84" s="1">
        <v>49</v>
      </c>
      <c r="P84" s="1">
        <v>54</v>
      </c>
    </row>
    <row r="85" spans="1:16" x14ac:dyDescent="0.2">
      <c r="A85" s="1">
        <v>694</v>
      </c>
      <c r="B85" s="2">
        <v>40575</v>
      </c>
      <c r="C85" s="1">
        <v>1</v>
      </c>
      <c r="D85" s="1">
        <f t="shared" si="4"/>
        <v>2011</v>
      </c>
      <c r="E85" s="1" t="str">
        <f t="shared" si="5"/>
        <v>February</v>
      </c>
      <c r="F85" s="1">
        <v>15</v>
      </c>
      <c r="G85" s="1" t="b">
        <f t="shared" si="6"/>
        <v>0</v>
      </c>
      <c r="H85" s="1" t="str">
        <f t="shared" si="7"/>
        <v>Tuesday</v>
      </c>
      <c r="I85" s="1">
        <v>2</v>
      </c>
      <c r="J85" s="1">
        <v>0.24</v>
      </c>
      <c r="K85" s="1">
        <v>0.28789999999999999</v>
      </c>
      <c r="L85" s="1">
        <v>0.75</v>
      </c>
      <c r="M85" s="1">
        <v>0</v>
      </c>
      <c r="N85" s="1">
        <v>7</v>
      </c>
      <c r="O85" s="1">
        <v>45</v>
      </c>
      <c r="P85" s="1">
        <v>52</v>
      </c>
    </row>
    <row r="86" spans="1:16" x14ac:dyDescent="0.2">
      <c r="A86" s="1">
        <v>695</v>
      </c>
      <c r="B86" s="2">
        <v>40575</v>
      </c>
      <c r="C86" s="1">
        <v>1</v>
      </c>
      <c r="D86" s="1">
        <f t="shared" si="4"/>
        <v>2011</v>
      </c>
      <c r="E86" s="1" t="str">
        <f t="shared" si="5"/>
        <v>February</v>
      </c>
      <c r="F86" s="1">
        <v>16</v>
      </c>
      <c r="G86" s="1" t="b">
        <f t="shared" si="6"/>
        <v>0</v>
      </c>
      <c r="H86" s="1" t="str">
        <f t="shared" si="7"/>
        <v>Tuesday</v>
      </c>
      <c r="I86" s="1">
        <v>2</v>
      </c>
      <c r="J86" s="1">
        <v>0.24</v>
      </c>
      <c r="K86" s="1">
        <v>0.2424</v>
      </c>
      <c r="L86" s="1">
        <v>0.75</v>
      </c>
      <c r="M86" s="1">
        <v>0.1343</v>
      </c>
      <c r="N86" s="1">
        <v>3</v>
      </c>
      <c r="O86" s="1">
        <v>61</v>
      </c>
      <c r="P86" s="1">
        <v>64</v>
      </c>
    </row>
    <row r="87" spans="1:16" x14ac:dyDescent="0.2">
      <c r="A87" s="1">
        <v>696</v>
      </c>
      <c r="B87" s="2">
        <v>40575</v>
      </c>
      <c r="C87" s="1">
        <v>1</v>
      </c>
      <c r="D87" s="1">
        <f t="shared" si="4"/>
        <v>2011</v>
      </c>
      <c r="E87" s="1" t="str">
        <f t="shared" si="5"/>
        <v>February</v>
      </c>
      <c r="F87" s="1">
        <v>17</v>
      </c>
      <c r="G87" s="1" t="b">
        <f t="shared" si="6"/>
        <v>0</v>
      </c>
      <c r="H87" s="1" t="str">
        <f t="shared" si="7"/>
        <v>Tuesday</v>
      </c>
      <c r="I87" s="1">
        <v>2</v>
      </c>
      <c r="J87" s="1">
        <v>0.24</v>
      </c>
      <c r="K87" s="1">
        <v>0.28789999999999999</v>
      </c>
      <c r="L87" s="1">
        <v>0.75</v>
      </c>
      <c r="M87" s="1">
        <v>0</v>
      </c>
      <c r="N87" s="1">
        <v>4</v>
      </c>
      <c r="O87" s="1">
        <v>172</v>
      </c>
      <c r="P87" s="1">
        <v>176</v>
      </c>
    </row>
    <row r="88" spans="1:16" x14ac:dyDescent="0.2">
      <c r="A88" s="1">
        <v>697</v>
      </c>
      <c r="B88" s="2">
        <v>40575</v>
      </c>
      <c r="C88" s="1">
        <v>1</v>
      </c>
      <c r="D88" s="1">
        <f t="shared" si="4"/>
        <v>2011</v>
      </c>
      <c r="E88" s="1" t="str">
        <f t="shared" si="5"/>
        <v>February</v>
      </c>
      <c r="F88" s="1">
        <v>18</v>
      </c>
      <c r="G88" s="1" t="b">
        <f t="shared" si="6"/>
        <v>0</v>
      </c>
      <c r="H88" s="1" t="str">
        <f t="shared" si="7"/>
        <v>Tuesday</v>
      </c>
      <c r="I88" s="1">
        <v>2</v>
      </c>
      <c r="J88" s="1">
        <v>0.24</v>
      </c>
      <c r="K88" s="1">
        <v>0.2576</v>
      </c>
      <c r="L88" s="1">
        <v>0.81</v>
      </c>
      <c r="M88" s="1">
        <v>0.1045</v>
      </c>
      <c r="N88" s="1">
        <v>3</v>
      </c>
      <c r="O88" s="1">
        <v>165</v>
      </c>
      <c r="P88" s="1">
        <v>168</v>
      </c>
    </row>
    <row r="89" spans="1:16" x14ac:dyDescent="0.2">
      <c r="A89" s="1">
        <v>698</v>
      </c>
      <c r="B89" s="2">
        <v>40575</v>
      </c>
      <c r="C89" s="1">
        <v>1</v>
      </c>
      <c r="D89" s="1">
        <f t="shared" si="4"/>
        <v>2011</v>
      </c>
      <c r="E89" s="1" t="str">
        <f t="shared" si="5"/>
        <v>February</v>
      </c>
      <c r="F89" s="1">
        <v>19</v>
      </c>
      <c r="G89" s="1" t="b">
        <f t="shared" si="6"/>
        <v>0</v>
      </c>
      <c r="H89" s="1" t="str">
        <f t="shared" si="7"/>
        <v>Tuesday</v>
      </c>
      <c r="I89" s="1">
        <v>2</v>
      </c>
      <c r="J89" s="1">
        <v>0.24</v>
      </c>
      <c r="K89" s="1">
        <v>0.2424</v>
      </c>
      <c r="L89" s="1">
        <v>0.81</v>
      </c>
      <c r="M89" s="1">
        <v>0.1343</v>
      </c>
      <c r="N89" s="1">
        <v>3</v>
      </c>
      <c r="O89" s="1">
        <v>105</v>
      </c>
      <c r="P89" s="1">
        <v>108</v>
      </c>
    </row>
    <row r="90" spans="1:16" x14ac:dyDescent="0.2">
      <c r="A90" s="1">
        <v>699</v>
      </c>
      <c r="B90" s="2">
        <v>40575</v>
      </c>
      <c r="C90" s="1">
        <v>1</v>
      </c>
      <c r="D90" s="1">
        <f t="shared" si="4"/>
        <v>2011</v>
      </c>
      <c r="E90" s="1" t="str">
        <f t="shared" si="5"/>
        <v>February</v>
      </c>
      <c r="F90" s="1">
        <v>20</v>
      </c>
      <c r="G90" s="1" t="b">
        <f t="shared" si="6"/>
        <v>0</v>
      </c>
      <c r="H90" s="1" t="str">
        <f t="shared" si="7"/>
        <v>Tuesday</v>
      </c>
      <c r="I90" s="1">
        <v>2</v>
      </c>
      <c r="J90" s="1">
        <v>0.22</v>
      </c>
      <c r="K90" s="1">
        <v>0.2273</v>
      </c>
      <c r="L90" s="1">
        <v>0.87</v>
      </c>
      <c r="M90" s="1">
        <v>0.1343</v>
      </c>
      <c r="N90" s="1">
        <v>5</v>
      </c>
      <c r="O90" s="1">
        <v>69</v>
      </c>
      <c r="P90" s="1">
        <v>74</v>
      </c>
    </row>
    <row r="91" spans="1:16" x14ac:dyDescent="0.2">
      <c r="A91" s="1">
        <v>700</v>
      </c>
      <c r="B91" s="2">
        <v>40575</v>
      </c>
      <c r="C91" s="1">
        <v>1</v>
      </c>
      <c r="D91" s="1">
        <f t="shared" si="4"/>
        <v>2011</v>
      </c>
      <c r="E91" s="1" t="str">
        <f t="shared" si="5"/>
        <v>February</v>
      </c>
      <c r="F91" s="1">
        <v>21</v>
      </c>
      <c r="G91" s="1" t="b">
        <f t="shared" si="6"/>
        <v>0</v>
      </c>
      <c r="H91" s="1" t="str">
        <f t="shared" si="7"/>
        <v>Tuesday</v>
      </c>
      <c r="I91" s="1">
        <v>2</v>
      </c>
      <c r="J91" s="1">
        <v>0.22</v>
      </c>
      <c r="K91" s="1">
        <v>0.2273</v>
      </c>
      <c r="L91" s="1">
        <v>0.87</v>
      </c>
      <c r="M91" s="1">
        <v>0.1343</v>
      </c>
      <c r="N91" s="1">
        <v>0</v>
      </c>
      <c r="O91" s="1">
        <v>64</v>
      </c>
      <c r="P91" s="1">
        <v>64</v>
      </c>
    </row>
    <row r="92" spans="1:16" x14ac:dyDescent="0.2">
      <c r="A92" s="1">
        <v>701</v>
      </c>
      <c r="B92" s="2">
        <v>40575</v>
      </c>
      <c r="C92" s="1">
        <v>1</v>
      </c>
      <c r="D92" s="1">
        <f t="shared" si="4"/>
        <v>2011</v>
      </c>
      <c r="E92" s="1" t="str">
        <f t="shared" si="5"/>
        <v>February</v>
      </c>
      <c r="F92" s="1">
        <v>22</v>
      </c>
      <c r="G92" s="1" t="b">
        <f t="shared" si="6"/>
        <v>0</v>
      </c>
      <c r="H92" s="1" t="str">
        <f t="shared" si="7"/>
        <v>Tuesday</v>
      </c>
      <c r="I92" s="1">
        <v>2</v>
      </c>
      <c r="J92" s="1">
        <v>0.22</v>
      </c>
      <c r="K92" s="1">
        <v>0.2576</v>
      </c>
      <c r="L92" s="1">
        <v>0.87</v>
      </c>
      <c r="M92" s="1">
        <v>8.9599999999999999E-2</v>
      </c>
      <c r="N92" s="1">
        <v>2</v>
      </c>
      <c r="O92" s="1">
        <v>34</v>
      </c>
      <c r="P92" s="1">
        <v>36</v>
      </c>
    </row>
    <row r="93" spans="1:16" x14ac:dyDescent="0.2">
      <c r="A93" s="1">
        <v>702</v>
      </c>
      <c r="B93" s="2">
        <v>40575</v>
      </c>
      <c r="C93" s="1">
        <v>1</v>
      </c>
      <c r="D93" s="1">
        <f t="shared" si="4"/>
        <v>2011</v>
      </c>
      <c r="E93" s="1" t="str">
        <f t="shared" si="5"/>
        <v>February</v>
      </c>
      <c r="F93" s="1">
        <v>23</v>
      </c>
      <c r="G93" s="1" t="b">
        <f t="shared" si="6"/>
        <v>0</v>
      </c>
      <c r="H93" s="1" t="str">
        <f t="shared" si="7"/>
        <v>Tuesday</v>
      </c>
      <c r="I93" s="1">
        <v>3</v>
      </c>
      <c r="J93" s="1">
        <v>0.2</v>
      </c>
      <c r="K93" s="1">
        <v>0.19700000000000001</v>
      </c>
      <c r="L93" s="1">
        <v>0.93</v>
      </c>
      <c r="M93" s="1">
        <v>0.19400000000000001</v>
      </c>
      <c r="N93" s="1">
        <v>1</v>
      </c>
      <c r="O93" s="1">
        <v>15</v>
      </c>
      <c r="P93" s="1">
        <v>16</v>
      </c>
    </row>
    <row r="94" spans="1:16" x14ac:dyDescent="0.2">
      <c r="A94" s="1">
        <v>703</v>
      </c>
      <c r="B94" s="2">
        <v>40576</v>
      </c>
      <c r="C94" s="1">
        <v>1</v>
      </c>
      <c r="D94" s="1">
        <f t="shared" si="4"/>
        <v>2011</v>
      </c>
      <c r="E94" s="1" t="str">
        <f t="shared" si="5"/>
        <v>February</v>
      </c>
      <c r="F94" s="1">
        <v>0</v>
      </c>
      <c r="G94" s="1" t="b">
        <f t="shared" si="6"/>
        <v>0</v>
      </c>
      <c r="H94" s="1" t="str">
        <f t="shared" si="7"/>
        <v>Wednesday</v>
      </c>
      <c r="I94" s="1">
        <v>3</v>
      </c>
      <c r="J94" s="1">
        <v>0.22</v>
      </c>
      <c r="K94" s="1">
        <v>0.2424</v>
      </c>
      <c r="L94" s="1">
        <v>0.93</v>
      </c>
      <c r="M94" s="1">
        <v>0.1045</v>
      </c>
      <c r="N94" s="1">
        <v>0</v>
      </c>
      <c r="O94" s="1">
        <v>2</v>
      </c>
      <c r="P94" s="1">
        <v>2</v>
      </c>
    </row>
    <row r="95" spans="1:16" x14ac:dyDescent="0.2">
      <c r="A95" s="1">
        <v>704</v>
      </c>
      <c r="B95" s="2">
        <v>40576</v>
      </c>
      <c r="C95" s="1">
        <v>1</v>
      </c>
      <c r="D95" s="1">
        <f t="shared" si="4"/>
        <v>2011</v>
      </c>
      <c r="E95" s="1" t="str">
        <f t="shared" si="5"/>
        <v>February</v>
      </c>
      <c r="F95" s="1">
        <v>1</v>
      </c>
      <c r="G95" s="1" t="b">
        <f t="shared" si="6"/>
        <v>0</v>
      </c>
      <c r="H95" s="1" t="str">
        <f t="shared" si="7"/>
        <v>Wednesday</v>
      </c>
      <c r="I95" s="1">
        <v>3</v>
      </c>
      <c r="J95" s="1">
        <v>0.22</v>
      </c>
      <c r="K95" s="1">
        <v>0.2273</v>
      </c>
      <c r="L95" s="1">
        <v>0.93</v>
      </c>
      <c r="M95" s="1">
        <v>0.19400000000000001</v>
      </c>
      <c r="N95" s="1">
        <v>0</v>
      </c>
      <c r="O95" s="1">
        <v>3</v>
      </c>
      <c r="P95" s="1">
        <v>3</v>
      </c>
    </row>
    <row r="96" spans="1:16" x14ac:dyDescent="0.2">
      <c r="A96" s="1">
        <v>705</v>
      </c>
      <c r="B96" s="2">
        <v>40576</v>
      </c>
      <c r="C96" s="1">
        <v>1</v>
      </c>
      <c r="D96" s="1">
        <f t="shared" si="4"/>
        <v>2011</v>
      </c>
      <c r="E96" s="1" t="str">
        <f t="shared" si="5"/>
        <v>February</v>
      </c>
      <c r="F96" s="1">
        <v>2</v>
      </c>
      <c r="G96" s="1" t="b">
        <f t="shared" si="6"/>
        <v>0</v>
      </c>
      <c r="H96" s="1" t="str">
        <f t="shared" si="7"/>
        <v>Wednesday</v>
      </c>
      <c r="I96" s="1">
        <v>3</v>
      </c>
      <c r="J96" s="1">
        <v>0.22</v>
      </c>
      <c r="K96" s="1">
        <v>0.2273</v>
      </c>
      <c r="L96" s="1">
        <v>0.93</v>
      </c>
      <c r="M96" s="1">
        <v>0.1343</v>
      </c>
      <c r="N96" s="1">
        <v>4</v>
      </c>
      <c r="O96" s="1">
        <v>0</v>
      </c>
      <c r="P96" s="1">
        <v>4</v>
      </c>
    </row>
    <row r="97" spans="1:16" x14ac:dyDescent="0.2">
      <c r="A97" s="1">
        <v>706</v>
      </c>
      <c r="B97" s="2">
        <v>40576</v>
      </c>
      <c r="C97" s="1">
        <v>1</v>
      </c>
      <c r="D97" s="1">
        <f t="shared" si="4"/>
        <v>2011</v>
      </c>
      <c r="E97" s="1" t="str">
        <f t="shared" si="5"/>
        <v>February</v>
      </c>
      <c r="F97" s="1">
        <v>3</v>
      </c>
      <c r="G97" s="1" t="b">
        <f t="shared" si="6"/>
        <v>0</v>
      </c>
      <c r="H97" s="1" t="str">
        <f t="shared" si="7"/>
        <v>Wednesday</v>
      </c>
      <c r="I97" s="1">
        <v>3</v>
      </c>
      <c r="J97" s="1">
        <v>0.22</v>
      </c>
      <c r="K97" s="1">
        <v>0.2273</v>
      </c>
      <c r="L97" s="1">
        <v>0.93</v>
      </c>
      <c r="M97" s="1">
        <v>0.1343</v>
      </c>
      <c r="N97" s="1">
        <v>0</v>
      </c>
      <c r="O97" s="1">
        <v>1</v>
      </c>
      <c r="P97" s="1">
        <v>1</v>
      </c>
    </row>
    <row r="98" spans="1:16" x14ac:dyDescent="0.2">
      <c r="A98" s="1">
        <v>707</v>
      </c>
      <c r="B98" s="2">
        <v>40576</v>
      </c>
      <c r="C98" s="1">
        <v>1</v>
      </c>
      <c r="D98" s="1">
        <f t="shared" si="4"/>
        <v>2011</v>
      </c>
      <c r="E98" s="1" t="str">
        <f t="shared" si="5"/>
        <v>February</v>
      </c>
      <c r="F98" s="1">
        <v>4</v>
      </c>
      <c r="G98" s="1" t="b">
        <f t="shared" si="6"/>
        <v>0</v>
      </c>
      <c r="H98" s="1" t="str">
        <f t="shared" si="7"/>
        <v>Wednesday</v>
      </c>
      <c r="I98" s="1">
        <v>3</v>
      </c>
      <c r="J98" s="1">
        <v>0.22</v>
      </c>
      <c r="K98" s="1">
        <v>0.21210000000000001</v>
      </c>
      <c r="L98" s="1">
        <v>0.93</v>
      </c>
      <c r="M98" s="1">
        <v>0.28360000000000002</v>
      </c>
      <c r="N98" s="1">
        <v>0</v>
      </c>
      <c r="O98" s="1">
        <v>1</v>
      </c>
      <c r="P98" s="1">
        <v>1</v>
      </c>
    </row>
    <row r="99" spans="1:16" x14ac:dyDescent="0.2">
      <c r="A99" s="1">
        <v>708</v>
      </c>
      <c r="B99" s="2">
        <v>40576</v>
      </c>
      <c r="C99" s="1">
        <v>1</v>
      </c>
      <c r="D99" s="1">
        <f t="shared" si="4"/>
        <v>2011</v>
      </c>
      <c r="E99" s="1" t="str">
        <f t="shared" si="5"/>
        <v>February</v>
      </c>
      <c r="F99" s="1">
        <v>5</v>
      </c>
      <c r="G99" s="1" t="b">
        <f t="shared" si="6"/>
        <v>0</v>
      </c>
      <c r="H99" s="1" t="str">
        <f t="shared" si="7"/>
        <v>Wednesday</v>
      </c>
      <c r="I99" s="1">
        <v>3</v>
      </c>
      <c r="J99" s="1">
        <v>0.22</v>
      </c>
      <c r="K99" s="1">
        <v>0.2424</v>
      </c>
      <c r="L99" s="1">
        <v>0.93</v>
      </c>
      <c r="M99" s="1">
        <v>0.1045</v>
      </c>
      <c r="N99" s="1">
        <v>0</v>
      </c>
      <c r="O99" s="1">
        <v>3</v>
      </c>
      <c r="P99" s="1">
        <v>3</v>
      </c>
    </row>
    <row r="100" spans="1:16" x14ac:dyDescent="0.2">
      <c r="A100" s="1">
        <v>709</v>
      </c>
      <c r="B100" s="2">
        <v>40576</v>
      </c>
      <c r="C100" s="1">
        <v>1</v>
      </c>
      <c r="D100" s="1">
        <f t="shared" si="4"/>
        <v>2011</v>
      </c>
      <c r="E100" s="1" t="str">
        <f t="shared" si="5"/>
        <v>February</v>
      </c>
      <c r="F100" s="1">
        <v>6</v>
      </c>
      <c r="G100" s="1" t="b">
        <f t="shared" si="6"/>
        <v>0</v>
      </c>
      <c r="H100" s="1" t="str">
        <f t="shared" si="7"/>
        <v>Wednesday</v>
      </c>
      <c r="I100" s="1">
        <v>3</v>
      </c>
      <c r="J100" s="1">
        <v>0.22</v>
      </c>
      <c r="K100" s="1">
        <v>0.2424</v>
      </c>
      <c r="L100" s="1">
        <v>0.93</v>
      </c>
      <c r="M100" s="1">
        <v>0.1045</v>
      </c>
      <c r="N100" s="1">
        <v>1</v>
      </c>
      <c r="O100" s="1">
        <v>17</v>
      </c>
      <c r="P100" s="1">
        <v>18</v>
      </c>
    </row>
    <row r="101" spans="1:16" x14ac:dyDescent="0.2">
      <c r="A101" s="1">
        <v>710</v>
      </c>
      <c r="B101" s="2">
        <v>40576</v>
      </c>
      <c r="C101" s="1">
        <v>1</v>
      </c>
      <c r="D101" s="1">
        <f t="shared" si="4"/>
        <v>2011</v>
      </c>
      <c r="E101" s="1" t="str">
        <f t="shared" si="5"/>
        <v>February</v>
      </c>
      <c r="F101" s="1">
        <v>7</v>
      </c>
      <c r="G101" s="1" t="b">
        <f t="shared" si="6"/>
        <v>0</v>
      </c>
      <c r="H101" s="1" t="str">
        <f t="shared" si="7"/>
        <v>Wednesday</v>
      </c>
      <c r="I101" s="1">
        <v>3</v>
      </c>
      <c r="J101" s="1">
        <v>0.22</v>
      </c>
      <c r="K101" s="1">
        <v>0.21210000000000001</v>
      </c>
      <c r="L101" s="1">
        <v>0.93</v>
      </c>
      <c r="M101" s="1">
        <v>0.22389999999999999</v>
      </c>
      <c r="N101" s="1">
        <v>1</v>
      </c>
      <c r="O101" s="1">
        <v>48</v>
      </c>
      <c r="P101" s="1">
        <v>49</v>
      </c>
    </row>
    <row r="102" spans="1:16" x14ac:dyDescent="0.2">
      <c r="A102" s="1">
        <v>711</v>
      </c>
      <c r="B102" s="2">
        <v>40576</v>
      </c>
      <c r="C102" s="1">
        <v>1</v>
      </c>
      <c r="D102" s="1">
        <f t="shared" si="4"/>
        <v>2011</v>
      </c>
      <c r="E102" s="1" t="str">
        <f t="shared" si="5"/>
        <v>February</v>
      </c>
      <c r="F102" s="1">
        <v>8</v>
      </c>
      <c r="G102" s="1" t="b">
        <f t="shared" si="6"/>
        <v>0</v>
      </c>
      <c r="H102" s="1" t="str">
        <f t="shared" si="7"/>
        <v>Wednesday</v>
      </c>
      <c r="I102" s="1">
        <v>3</v>
      </c>
      <c r="J102" s="1">
        <v>0.22</v>
      </c>
      <c r="K102" s="1">
        <v>0.21210000000000001</v>
      </c>
      <c r="L102" s="1">
        <v>0.93</v>
      </c>
      <c r="M102" s="1">
        <v>0.22389999999999999</v>
      </c>
      <c r="N102" s="1">
        <v>1</v>
      </c>
      <c r="O102" s="1">
        <v>154</v>
      </c>
      <c r="P102" s="1">
        <v>155</v>
      </c>
    </row>
    <row r="103" spans="1:16" x14ac:dyDescent="0.2">
      <c r="A103" s="1">
        <v>712</v>
      </c>
      <c r="B103" s="2">
        <v>40576</v>
      </c>
      <c r="C103" s="1">
        <v>1</v>
      </c>
      <c r="D103" s="1">
        <f t="shared" si="4"/>
        <v>2011</v>
      </c>
      <c r="E103" s="1" t="str">
        <f t="shared" si="5"/>
        <v>February</v>
      </c>
      <c r="F103" s="1">
        <v>9</v>
      </c>
      <c r="G103" s="1" t="b">
        <f t="shared" si="6"/>
        <v>0</v>
      </c>
      <c r="H103" s="1" t="str">
        <f t="shared" si="7"/>
        <v>Wednesday</v>
      </c>
      <c r="I103" s="1">
        <v>2</v>
      </c>
      <c r="J103" s="1">
        <v>0.24</v>
      </c>
      <c r="K103" s="1">
        <v>0.2576</v>
      </c>
      <c r="L103" s="1">
        <v>0.93</v>
      </c>
      <c r="M103" s="1">
        <v>8.9599999999999999E-2</v>
      </c>
      <c r="N103" s="1">
        <v>4</v>
      </c>
      <c r="O103" s="1">
        <v>119</v>
      </c>
      <c r="P103" s="1">
        <v>123</v>
      </c>
    </row>
    <row r="104" spans="1:16" x14ac:dyDescent="0.2">
      <c r="A104" s="1">
        <v>713</v>
      </c>
      <c r="B104" s="2">
        <v>40576</v>
      </c>
      <c r="C104" s="1">
        <v>1</v>
      </c>
      <c r="D104" s="1">
        <f t="shared" si="4"/>
        <v>2011</v>
      </c>
      <c r="E104" s="1" t="str">
        <f t="shared" si="5"/>
        <v>February</v>
      </c>
      <c r="F104" s="1">
        <v>10</v>
      </c>
      <c r="G104" s="1" t="b">
        <f t="shared" si="6"/>
        <v>0</v>
      </c>
      <c r="H104" s="1" t="str">
        <f t="shared" si="7"/>
        <v>Wednesday</v>
      </c>
      <c r="I104" s="1">
        <v>2</v>
      </c>
      <c r="J104" s="1">
        <v>0.22</v>
      </c>
      <c r="K104" s="1">
        <v>0.2727</v>
      </c>
      <c r="L104" s="1">
        <v>1</v>
      </c>
      <c r="M104" s="1">
        <v>0</v>
      </c>
      <c r="N104" s="1">
        <v>2</v>
      </c>
      <c r="O104" s="1">
        <v>59</v>
      </c>
      <c r="P104" s="1">
        <v>61</v>
      </c>
    </row>
    <row r="105" spans="1:16" x14ac:dyDescent="0.2">
      <c r="A105" s="1">
        <v>714</v>
      </c>
      <c r="B105" s="2">
        <v>40576</v>
      </c>
      <c r="C105" s="1">
        <v>1</v>
      </c>
      <c r="D105" s="1">
        <f t="shared" si="4"/>
        <v>2011</v>
      </c>
      <c r="E105" s="1" t="str">
        <f t="shared" si="5"/>
        <v>February</v>
      </c>
      <c r="F105" s="1">
        <v>11</v>
      </c>
      <c r="G105" s="1" t="b">
        <f t="shared" si="6"/>
        <v>0</v>
      </c>
      <c r="H105" s="1" t="str">
        <f t="shared" si="7"/>
        <v>Wednesday</v>
      </c>
      <c r="I105" s="1">
        <v>2</v>
      </c>
      <c r="J105" s="1">
        <v>0.24</v>
      </c>
      <c r="K105" s="1">
        <v>0.2273</v>
      </c>
      <c r="L105" s="1">
        <v>0.93</v>
      </c>
      <c r="M105" s="1">
        <v>0.19400000000000001</v>
      </c>
      <c r="N105" s="1">
        <v>5</v>
      </c>
      <c r="O105" s="1">
        <v>47</v>
      </c>
      <c r="P105" s="1">
        <v>52</v>
      </c>
    </row>
    <row r="106" spans="1:16" x14ac:dyDescent="0.2">
      <c r="A106" s="1">
        <v>715</v>
      </c>
      <c r="B106" s="2">
        <v>40576</v>
      </c>
      <c r="C106" s="1">
        <v>1</v>
      </c>
      <c r="D106" s="1">
        <f t="shared" si="4"/>
        <v>2011</v>
      </c>
      <c r="E106" s="1" t="str">
        <f t="shared" si="5"/>
        <v>February</v>
      </c>
      <c r="F106" s="1">
        <v>12</v>
      </c>
      <c r="G106" s="1" t="b">
        <f t="shared" si="6"/>
        <v>0</v>
      </c>
      <c r="H106" s="1" t="str">
        <f t="shared" si="7"/>
        <v>Wednesday</v>
      </c>
      <c r="I106" s="1">
        <v>2</v>
      </c>
      <c r="J106" s="1">
        <v>0.24</v>
      </c>
      <c r="K106" s="1">
        <v>0.2273</v>
      </c>
      <c r="L106" s="1">
        <v>0.93</v>
      </c>
      <c r="M106" s="1">
        <v>0.22389999999999999</v>
      </c>
      <c r="N106" s="1">
        <v>3</v>
      </c>
      <c r="O106" s="1">
        <v>61</v>
      </c>
      <c r="P106" s="1">
        <v>64</v>
      </c>
    </row>
    <row r="107" spans="1:16" x14ac:dyDescent="0.2">
      <c r="A107" s="1">
        <v>716</v>
      </c>
      <c r="B107" s="2">
        <v>40576</v>
      </c>
      <c r="C107" s="1">
        <v>1</v>
      </c>
      <c r="D107" s="1">
        <f t="shared" si="4"/>
        <v>2011</v>
      </c>
      <c r="E107" s="1" t="str">
        <f t="shared" si="5"/>
        <v>February</v>
      </c>
      <c r="F107" s="1">
        <v>13</v>
      </c>
      <c r="G107" s="1" t="b">
        <f t="shared" si="6"/>
        <v>0</v>
      </c>
      <c r="H107" s="1" t="str">
        <f t="shared" si="7"/>
        <v>Wednesday</v>
      </c>
      <c r="I107" s="1">
        <v>1</v>
      </c>
      <c r="J107" s="1">
        <v>0.34</v>
      </c>
      <c r="K107" s="1">
        <v>0.33329999999999999</v>
      </c>
      <c r="L107" s="1">
        <v>0.93</v>
      </c>
      <c r="M107" s="1">
        <v>0.16420000000000001</v>
      </c>
      <c r="N107" s="1">
        <v>1</v>
      </c>
      <c r="O107" s="1">
        <v>74</v>
      </c>
      <c r="P107" s="1">
        <v>75</v>
      </c>
    </row>
    <row r="108" spans="1:16" x14ac:dyDescent="0.2">
      <c r="A108" s="1">
        <v>717</v>
      </c>
      <c r="B108" s="2">
        <v>40576</v>
      </c>
      <c r="C108" s="1">
        <v>1</v>
      </c>
      <c r="D108" s="1">
        <f t="shared" si="4"/>
        <v>2011</v>
      </c>
      <c r="E108" s="1" t="str">
        <f t="shared" si="5"/>
        <v>February</v>
      </c>
      <c r="F108" s="1">
        <v>14</v>
      </c>
      <c r="G108" s="1" t="b">
        <f t="shared" si="6"/>
        <v>0</v>
      </c>
      <c r="H108" s="1" t="str">
        <f t="shared" si="7"/>
        <v>Wednesday</v>
      </c>
      <c r="I108" s="1">
        <v>1</v>
      </c>
      <c r="J108" s="1">
        <v>0.38</v>
      </c>
      <c r="K108" s="1">
        <v>0.39389999999999997</v>
      </c>
      <c r="L108" s="1">
        <v>0.82</v>
      </c>
      <c r="M108" s="1">
        <v>0.3881</v>
      </c>
      <c r="N108" s="1">
        <v>2</v>
      </c>
      <c r="O108" s="1">
        <v>61</v>
      </c>
      <c r="P108" s="1">
        <v>63</v>
      </c>
    </row>
    <row r="109" spans="1:16" x14ac:dyDescent="0.2">
      <c r="A109" s="1">
        <v>718</v>
      </c>
      <c r="B109" s="2">
        <v>40576</v>
      </c>
      <c r="C109" s="1">
        <v>1</v>
      </c>
      <c r="D109" s="1">
        <f t="shared" si="4"/>
        <v>2011</v>
      </c>
      <c r="E109" s="1" t="str">
        <f t="shared" si="5"/>
        <v>February</v>
      </c>
      <c r="F109" s="1">
        <v>15</v>
      </c>
      <c r="G109" s="1" t="b">
        <f t="shared" si="6"/>
        <v>0</v>
      </c>
      <c r="H109" s="1" t="str">
        <f t="shared" si="7"/>
        <v>Wednesday</v>
      </c>
      <c r="I109" s="1">
        <v>1</v>
      </c>
      <c r="J109" s="1">
        <v>0.38</v>
      </c>
      <c r="K109" s="1">
        <v>0.39389999999999997</v>
      </c>
      <c r="L109" s="1">
        <v>0.76</v>
      </c>
      <c r="M109" s="1">
        <v>0.32840000000000003</v>
      </c>
      <c r="N109" s="1">
        <v>10</v>
      </c>
      <c r="O109" s="1">
        <v>66</v>
      </c>
      <c r="P109" s="1">
        <v>76</v>
      </c>
    </row>
    <row r="110" spans="1:16" x14ac:dyDescent="0.2">
      <c r="A110" s="1">
        <v>719</v>
      </c>
      <c r="B110" s="2">
        <v>40576</v>
      </c>
      <c r="C110" s="1">
        <v>1</v>
      </c>
      <c r="D110" s="1">
        <f t="shared" si="4"/>
        <v>2011</v>
      </c>
      <c r="E110" s="1" t="str">
        <f t="shared" si="5"/>
        <v>February</v>
      </c>
      <c r="F110" s="1">
        <v>16</v>
      </c>
      <c r="G110" s="1" t="b">
        <f t="shared" si="6"/>
        <v>0</v>
      </c>
      <c r="H110" s="1" t="str">
        <f t="shared" si="7"/>
        <v>Wednesday</v>
      </c>
      <c r="I110" s="1">
        <v>1</v>
      </c>
      <c r="J110" s="1">
        <v>0.36</v>
      </c>
      <c r="K110" s="1">
        <v>0.33329999999999999</v>
      </c>
      <c r="L110" s="1">
        <v>0.71</v>
      </c>
      <c r="M110" s="1">
        <v>0.29849999999999999</v>
      </c>
      <c r="N110" s="1">
        <v>8</v>
      </c>
      <c r="O110" s="1">
        <v>95</v>
      </c>
      <c r="P110" s="1">
        <v>103</v>
      </c>
    </row>
    <row r="111" spans="1:16" x14ac:dyDescent="0.2">
      <c r="A111" s="1">
        <v>720</v>
      </c>
      <c r="B111" s="2">
        <v>40576</v>
      </c>
      <c r="C111" s="1">
        <v>1</v>
      </c>
      <c r="D111" s="1">
        <f t="shared" si="4"/>
        <v>2011</v>
      </c>
      <c r="E111" s="1" t="str">
        <f t="shared" si="5"/>
        <v>February</v>
      </c>
      <c r="F111" s="1">
        <v>17</v>
      </c>
      <c r="G111" s="1" t="b">
        <f t="shared" si="6"/>
        <v>0</v>
      </c>
      <c r="H111" s="1" t="str">
        <f t="shared" si="7"/>
        <v>Wednesday</v>
      </c>
      <c r="I111" s="1">
        <v>1</v>
      </c>
      <c r="J111" s="1">
        <v>0.36</v>
      </c>
      <c r="K111" s="1">
        <v>0.31819999999999998</v>
      </c>
      <c r="L111" s="1">
        <v>0.53</v>
      </c>
      <c r="M111" s="1">
        <v>0.52239999999999998</v>
      </c>
      <c r="N111" s="1">
        <v>7</v>
      </c>
      <c r="O111" s="1">
        <v>183</v>
      </c>
      <c r="P111" s="1">
        <v>190</v>
      </c>
    </row>
    <row r="112" spans="1:16" x14ac:dyDescent="0.2">
      <c r="A112" s="1">
        <v>721</v>
      </c>
      <c r="B112" s="2">
        <v>40576</v>
      </c>
      <c r="C112" s="1">
        <v>1</v>
      </c>
      <c r="D112" s="1">
        <f t="shared" si="4"/>
        <v>2011</v>
      </c>
      <c r="E112" s="1" t="str">
        <f t="shared" si="5"/>
        <v>February</v>
      </c>
      <c r="F112" s="1">
        <v>18</v>
      </c>
      <c r="G112" s="1" t="b">
        <f t="shared" si="6"/>
        <v>0</v>
      </c>
      <c r="H112" s="1" t="str">
        <f t="shared" si="7"/>
        <v>Wednesday</v>
      </c>
      <c r="I112" s="1">
        <v>1</v>
      </c>
      <c r="J112" s="1">
        <v>0.34</v>
      </c>
      <c r="K112" s="1">
        <v>0.28789999999999999</v>
      </c>
      <c r="L112" s="1">
        <v>0.42</v>
      </c>
      <c r="M112" s="1">
        <v>0.55220000000000002</v>
      </c>
      <c r="N112" s="1">
        <v>7</v>
      </c>
      <c r="O112" s="1">
        <v>175</v>
      </c>
      <c r="P112" s="1">
        <v>182</v>
      </c>
    </row>
    <row r="113" spans="1:16" x14ac:dyDescent="0.2">
      <c r="A113" s="1">
        <v>722</v>
      </c>
      <c r="B113" s="2">
        <v>40576</v>
      </c>
      <c r="C113" s="1">
        <v>1</v>
      </c>
      <c r="D113" s="1">
        <f t="shared" si="4"/>
        <v>2011</v>
      </c>
      <c r="E113" s="1" t="str">
        <f t="shared" si="5"/>
        <v>February</v>
      </c>
      <c r="F113" s="1">
        <v>19</v>
      </c>
      <c r="G113" s="1" t="b">
        <f t="shared" si="6"/>
        <v>0</v>
      </c>
      <c r="H113" s="1" t="str">
        <f t="shared" si="7"/>
        <v>Wednesday</v>
      </c>
      <c r="I113" s="1">
        <v>1</v>
      </c>
      <c r="J113" s="1">
        <v>0.28000000000000003</v>
      </c>
      <c r="K113" s="1">
        <v>0.2424</v>
      </c>
      <c r="L113" s="1">
        <v>0.45</v>
      </c>
      <c r="M113" s="1">
        <v>0.49249999999999999</v>
      </c>
      <c r="N113" s="1">
        <v>3</v>
      </c>
      <c r="O113" s="1">
        <v>88</v>
      </c>
      <c r="P113" s="1">
        <v>91</v>
      </c>
    </row>
    <row r="114" spans="1:16" x14ac:dyDescent="0.2">
      <c r="A114" s="1">
        <v>723</v>
      </c>
      <c r="B114" s="2">
        <v>40576</v>
      </c>
      <c r="C114" s="1">
        <v>1</v>
      </c>
      <c r="D114" s="1">
        <f t="shared" si="4"/>
        <v>2011</v>
      </c>
      <c r="E114" s="1" t="str">
        <f t="shared" si="5"/>
        <v>February</v>
      </c>
      <c r="F114" s="1">
        <v>20</v>
      </c>
      <c r="G114" s="1" t="b">
        <f t="shared" si="6"/>
        <v>0</v>
      </c>
      <c r="H114" s="1" t="str">
        <f t="shared" si="7"/>
        <v>Wednesday</v>
      </c>
      <c r="I114" s="1">
        <v>1</v>
      </c>
      <c r="J114" s="1">
        <v>0.24</v>
      </c>
      <c r="K114" s="1">
        <v>0.19700000000000001</v>
      </c>
      <c r="L114" s="1">
        <v>0.48</v>
      </c>
      <c r="M114" s="1">
        <v>0.55220000000000002</v>
      </c>
      <c r="N114" s="1">
        <v>4</v>
      </c>
      <c r="O114" s="1">
        <v>71</v>
      </c>
      <c r="P114" s="1">
        <v>75</v>
      </c>
    </row>
    <row r="115" spans="1:16" x14ac:dyDescent="0.2">
      <c r="A115" s="1">
        <v>724</v>
      </c>
      <c r="B115" s="2">
        <v>40576</v>
      </c>
      <c r="C115" s="1">
        <v>1</v>
      </c>
      <c r="D115" s="1">
        <f t="shared" si="4"/>
        <v>2011</v>
      </c>
      <c r="E115" s="1" t="str">
        <f t="shared" si="5"/>
        <v>February</v>
      </c>
      <c r="F115" s="1">
        <v>21</v>
      </c>
      <c r="G115" s="1" t="b">
        <f t="shared" si="6"/>
        <v>0</v>
      </c>
      <c r="H115" s="1" t="str">
        <f t="shared" si="7"/>
        <v>Wednesday</v>
      </c>
      <c r="I115" s="1">
        <v>1</v>
      </c>
      <c r="J115" s="1">
        <v>0.22</v>
      </c>
      <c r="K115" s="1">
        <v>0.19700000000000001</v>
      </c>
      <c r="L115" s="1">
        <v>0.47</v>
      </c>
      <c r="M115" s="1">
        <v>0.32840000000000003</v>
      </c>
      <c r="N115" s="1">
        <v>1</v>
      </c>
      <c r="O115" s="1">
        <v>62</v>
      </c>
      <c r="P115" s="1">
        <v>63</v>
      </c>
    </row>
    <row r="116" spans="1:16" x14ac:dyDescent="0.2">
      <c r="A116" s="1">
        <v>725</v>
      </c>
      <c r="B116" s="2">
        <v>40576</v>
      </c>
      <c r="C116" s="1">
        <v>1</v>
      </c>
      <c r="D116" s="1">
        <f t="shared" si="4"/>
        <v>2011</v>
      </c>
      <c r="E116" s="1" t="str">
        <f t="shared" si="5"/>
        <v>February</v>
      </c>
      <c r="F116" s="1">
        <v>22</v>
      </c>
      <c r="G116" s="1" t="b">
        <f t="shared" si="6"/>
        <v>0</v>
      </c>
      <c r="H116" s="1" t="str">
        <f t="shared" si="7"/>
        <v>Wednesday</v>
      </c>
      <c r="I116" s="1">
        <v>1</v>
      </c>
      <c r="J116" s="1">
        <v>0.22</v>
      </c>
      <c r="K116" s="1">
        <v>0.21210000000000001</v>
      </c>
      <c r="L116" s="1">
        <v>0.44</v>
      </c>
      <c r="M116" s="1">
        <v>0.25369999999999998</v>
      </c>
      <c r="N116" s="1">
        <v>5</v>
      </c>
      <c r="O116" s="1">
        <v>35</v>
      </c>
      <c r="P116" s="1">
        <v>40</v>
      </c>
    </row>
    <row r="117" spans="1:16" x14ac:dyDescent="0.2">
      <c r="A117" s="1">
        <v>726</v>
      </c>
      <c r="B117" s="2">
        <v>40576</v>
      </c>
      <c r="C117" s="1">
        <v>1</v>
      </c>
      <c r="D117" s="1">
        <f t="shared" si="4"/>
        <v>2011</v>
      </c>
      <c r="E117" s="1" t="str">
        <f t="shared" si="5"/>
        <v>February</v>
      </c>
      <c r="F117" s="1">
        <v>23</v>
      </c>
      <c r="G117" s="1" t="b">
        <f t="shared" si="6"/>
        <v>0</v>
      </c>
      <c r="H117" s="1" t="str">
        <f t="shared" si="7"/>
        <v>Wednesday</v>
      </c>
      <c r="I117" s="1">
        <v>1</v>
      </c>
      <c r="J117" s="1">
        <v>0.2</v>
      </c>
      <c r="K117" s="1">
        <v>0.16669999999999999</v>
      </c>
      <c r="L117" s="1">
        <v>0.44</v>
      </c>
      <c r="M117" s="1">
        <v>0.44779999999999998</v>
      </c>
      <c r="N117" s="1">
        <v>3</v>
      </c>
      <c r="O117" s="1">
        <v>29</v>
      </c>
      <c r="P117" s="1">
        <v>32</v>
      </c>
    </row>
    <row r="118" spans="1:16" x14ac:dyDescent="0.2">
      <c r="A118" s="1">
        <v>727</v>
      </c>
      <c r="B118" s="2">
        <v>40577</v>
      </c>
      <c r="C118" s="1">
        <v>1</v>
      </c>
      <c r="D118" s="1">
        <f t="shared" si="4"/>
        <v>2011</v>
      </c>
      <c r="E118" s="1" t="str">
        <f t="shared" si="5"/>
        <v>February</v>
      </c>
      <c r="F118" s="1">
        <v>0</v>
      </c>
      <c r="G118" s="1" t="b">
        <f t="shared" si="6"/>
        <v>0</v>
      </c>
      <c r="H118" s="1" t="str">
        <f t="shared" si="7"/>
        <v>Thursday</v>
      </c>
      <c r="I118" s="1">
        <v>1</v>
      </c>
      <c r="J118" s="1">
        <v>0.2</v>
      </c>
      <c r="K118" s="1">
        <v>0.16669999999999999</v>
      </c>
      <c r="L118" s="1">
        <v>0.4</v>
      </c>
      <c r="M118" s="1">
        <v>0.44779999999999998</v>
      </c>
      <c r="N118" s="1">
        <v>1</v>
      </c>
      <c r="O118" s="1">
        <v>11</v>
      </c>
      <c r="P118" s="1">
        <v>12</v>
      </c>
    </row>
    <row r="119" spans="1:16" x14ac:dyDescent="0.2">
      <c r="A119" s="1">
        <v>728</v>
      </c>
      <c r="B119" s="2">
        <v>40577</v>
      </c>
      <c r="C119" s="1">
        <v>1</v>
      </c>
      <c r="D119" s="1">
        <f t="shared" si="4"/>
        <v>2011</v>
      </c>
      <c r="E119" s="1" t="str">
        <f t="shared" si="5"/>
        <v>February</v>
      </c>
      <c r="F119" s="1">
        <v>1</v>
      </c>
      <c r="G119" s="1" t="b">
        <f t="shared" si="6"/>
        <v>0</v>
      </c>
      <c r="H119" s="1" t="str">
        <f t="shared" si="7"/>
        <v>Thursday</v>
      </c>
      <c r="I119" s="1">
        <v>1</v>
      </c>
      <c r="J119" s="1">
        <v>0.2</v>
      </c>
      <c r="K119" s="1">
        <v>0.1515</v>
      </c>
      <c r="L119" s="1">
        <v>0.44</v>
      </c>
      <c r="M119" s="1">
        <v>0.52239999999999998</v>
      </c>
      <c r="N119" s="1">
        <v>0</v>
      </c>
      <c r="O119" s="1">
        <v>5</v>
      </c>
      <c r="P119" s="1">
        <v>5</v>
      </c>
    </row>
    <row r="120" spans="1:16" x14ac:dyDescent="0.2">
      <c r="A120" s="1">
        <v>729</v>
      </c>
      <c r="B120" s="2">
        <v>40577</v>
      </c>
      <c r="C120" s="1">
        <v>1</v>
      </c>
      <c r="D120" s="1">
        <f t="shared" si="4"/>
        <v>2011</v>
      </c>
      <c r="E120" s="1" t="str">
        <f t="shared" si="5"/>
        <v>February</v>
      </c>
      <c r="F120" s="1">
        <v>2</v>
      </c>
      <c r="G120" s="1" t="b">
        <f t="shared" si="6"/>
        <v>0</v>
      </c>
      <c r="H120" s="1" t="str">
        <f t="shared" si="7"/>
        <v>Thursday</v>
      </c>
      <c r="I120" s="1">
        <v>1</v>
      </c>
      <c r="J120" s="1">
        <v>0.18</v>
      </c>
      <c r="K120" s="1">
        <v>0.16669999999999999</v>
      </c>
      <c r="L120" s="1">
        <v>0.43</v>
      </c>
      <c r="M120" s="1">
        <v>0.25369999999999998</v>
      </c>
      <c r="N120" s="1">
        <v>0</v>
      </c>
      <c r="O120" s="1">
        <v>2</v>
      </c>
      <c r="P120" s="1">
        <v>2</v>
      </c>
    </row>
    <row r="121" spans="1:16" x14ac:dyDescent="0.2">
      <c r="A121" s="1">
        <v>730</v>
      </c>
      <c r="B121" s="2">
        <v>40577</v>
      </c>
      <c r="C121" s="1">
        <v>1</v>
      </c>
      <c r="D121" s="1">
        <f t="shared" si="4"/>
        <v>2011</v>
      </c>
      <c r="E121" s="1" t="str">
        <f t="shared" si="5"/>
        <v>February</v>
      </c>
      <c r="F121" s="1">
        <v>3</v>
      </c>
      <c r="G121" s="1" t="b">
        <f t="shared" si="6"/>
        <v>0</v>
      </c>
      <c r="H121" s="1" t="str">
        <f t="shared" si="7"/>
        <v>Thursday</v>
      </c>
      <c r="I121" s="1">
        <v>1</v>
      </c>
      <c r="J121" s="1">
        <v>0.18</v>
      </c>
      <c r="K121" s="1">
        <v>0.16669999999999999</v>
      </c>
      <c r="L121" s="1">
        <v>0.43</v>
      </c>
      <c r="M121" s="1">
        <v>0.25369999999999998</v>
      </c>
      <c r="N121" s="1">
        <v>0</v>
      </c>
      <c r="O121" s="1">
        <v>1</v>
      </c>
      <c r="P121" s="1">
        <v>1</v>
      </c>
    </row>
    <row r="122" spans="1:16" x14ac:dyDescent="0.2">
      <c r="A122" s="1">
        <v>731</v>
      </c>
      <c r="B122" s="2">
        <v>40577</v>
      </c>
      <c r="C122" s="1">
        <v>1</v>
      </c>
      <c r="D122" s="1">
        <f t="shared" si="4"/>
        <v>2011</v>
      </c>
      <c r="E122" s="1" t="str">
        <f t="shared" si="5"/>
        <v>February</v>
      </c>
      <c r="F122" s="1">
        <v>5</v>
      </c>
      <c r="G122" s="1" t="b">
        <f t="shared" si="6"/>
        <v>0</v>
      </c>
      <c r="H122" s="1" t="str">
        <f t="shared" si="7"/>
        <v>Thursday</v>
      </c>
      <c r="I122" s="1">
        <v>1</v>
      </c>
      <c r="J122" s="1">
        <v>0.16</v>
      </c>
      <c r="K122" s="1">
        <v>0.13639999999999999</v>
      </c>
      <c r="L122" s="1">
        <v>0.5</v>
      </c>
      <c r="M122" s="1">
        <v>0.29849999999999999</v>
      </c>
      <c r="N122" s="1">
        <v>0</v>
      </c>
      <c r="O122" s="1">
        <v>2</v>
      </c>
      <c r="P122" s="1">
        <v>2</v>
      </c>
    </row>
    <row r="123" spans="1:16" x14ac:dyDescent="0.2">
      <c r="A123" s="1">
        <v>732</v>
      </c>
      <c r="B123" s="2">
        <v>40577</v>
      </c>
      <c r="C123" s="1">
        <v>1</v>
      </c>
      <c r="D123" s="1">
        <f t="shared" si="4"/>
        <v>2011</v>
      </c>
      <c r="E123" s="1" t="str">
        <f t="shared" si="5"/>
        <v>February</v>
      </c>
      <c r="F123" s="1">
        <v>6</v>
      </c>
      <c r="G123" s="1" t="b">
        <f t="shared" si="6"/>
        <v>0</v>
      </c>
      <c r="H123" s="1" t="str">
        <f t="shared" si="7"/>
        <v>Thursday</v>
      </c>
      <c r="I123" s="1">
        <v>1</v>
      </c>
      <c r="J123" s="1">
        <v>0.16</v>
      </c>
      <c r="K123" s="1">
        <v>0.13639999999999999</v>
      </c>
      <c r="L123" s="1">
        <v>0.43</v>
      </c>
      <c r="M123" s="1">
        <v>0.35820000000000002</v>
      </c>
      <c r="N123" s="1">
        <v>0</v>
      </c>
      <c r="O123" s="1">
        <v>39</v>
      </c>
      <c r="P123" s="1">
        <v>39</v>
      </c>
    </row>
    <row r="124" spans="1:16" x14ac:dyDescent="0.2">
      <c r="A124" s="1">
        <v>733</v>
      </c>
      <c r="B124" s="2">
        <v>40577</v>
      </c>
      <c r="C124" s="1">
        <v>1</v>
      </c>
      <c r="D124" s="1">
        <f t="shared" si="4"/>
        <v>2011</v>
      </c>
      <c r="E124" s="1" t="str">
        <f t="shared" si="5"/>
        <v>February</v>
      </c>
      <c r="F124" s="1">
        <v>7</v>
      </c>
      <c r="G124" s="1" t="b">
        <f t="shared" si="6"/>
        <v>0</v>
      </c>
      <c r="H124" s="1" t="str">
        <f t="shared" si="7"/>
        <v>Thursday</v>
      </c>
      <c r="I124" s="1">
        <v>1</v>
      </c>
      <c r="J124" s="1">
        <v>0.14000000000000001</v>
      </c>
      <c r="K124" s="1">
        <v>0.1212</v>
      </c>
      <c r="L124" s="1">
        <v>0.5</v>
      </c>
      <c r="M124" s="1">
        <v>0.32840000000000003</v>
      </c>
      <c r="N124" s="1">
        <v>1</v>
      </c>
      <c r="O124" s="1">
        <v>86</v>
      </c>
      <c r="P124" s="1">
        <v>87</v>
      </c>
    </row>
    <row r="125" spans="1:16" x14ac:dyDescent="0.2">
      <c r="A125" s="1">
        <v>734</v>
      </c>
      <c r="B125" s="2">
        <v>40577</v>
      </c>
      <c r="C125" s="1">
        <v>1</v>
      </c>
      <c r="D125" s="1">
        <f t="shared" si="4"/>
        <v>2011</v>
      </c>
      <c r="E125" s="1" t="str">
        <f t="shared" si="5"/>
        <v>February</v>
      </c>
      <c r="F125" s="1">
        <v>8</v>
      </c>
      <c r="G125" s="1" t="b">
        <f t="shared" si="6"/>
        <v>0</v>
      </c>
      <c r="H125" s="1" t="str">
        <f t="shared" si="7"/>
        <v>Thursday</v>
      </c>
      <c r="I125" s="1">
        <v>1</v>
      </c>
      <c r="J125" s="1">
        <v>0.14000000000000001</v>
      </c>
      <c r="K125" s="1">
        <v>0.1212</v>
      </c>
      <c r="L125" s="1">
        <v>0.5</v>
      </c>
      <c r="M125" s="1">
        <v>0.35820000000000002</v>
      </c>
      <c r="N125" s="1">
        <v>4</v>
      </c>
      <c r="O125" s="1">
        <v>184</v>
      </c>
      <c r="P125" s="1">
        <v>188</v>
      </c>
    </row>
    <row r="126" spans="1:16" x14ac:dyDescent="0.2">
      <c r="A126" s="1">
        <v>735</v>
      </c>
      <c r="B126" s="2">
        <v>40577</v>
      </c>
      <c r="C126" s="1">
        <v>1</v>
      </c>
      <c r="D126" s="1">
        <f t="shared" si="4"/>
        <v>2011</v>
      </c>
      <c r="E126" s="1" t="str">
        <f t="shared" si="5"/>
        <v>February</v>
      </c>
      <c r="F126" s="1">
        <v>9</v>
      </c>
      <c r="G126" s="1" t="b">
        <f t="shared" si="6"/>
        <v>0</v>
      </c>
      <c r="H126" s="1" t="str">
        <f t="shared" si="7"/>
        <v>Thursday</v>
      </c>
      <c r="I126" s="1">
        <v>1</v>
      </c>
      <c r="J126" s="1">
        <v>0.16</v>
      </c>
      <c r="K126" s="1">
        <v>0.13639999999999999</v>
      </c>
      <c r="L126" s="1">
        <v>0.47</v>
      </c>
      <c r="M126" s="1">
        <v>0.29849999999999999</v>
      </c>
      <c r="N126" s="1">
        <v>6</v>
      </c>
      <c r="O126" s="1">
        <v>127</v>
      </c>
      <c r="P126" s="1">
        <v>133</v>
      </c>
    </row>
    <row r="127" spans="1:16" x14ac:dyDescent="0.2">
      <c r="A127" s="1">
        <v>736</v>
      </c>
      <c r="B127" s="2">
        <v>40577</v>
      </c>
      <c r="C127" s="1">
        <v>1</v>
      </c>
      <c r="D127" s="1">
        <f t="shared" si="4"/>
        <v>2011</v>
      </c>
      <c r="E127" s="1" t="str">
        <f t="shared" si="5"/>
        <v>February</v>
      </c>
      <c r="F127" s="1">
        <v>10</v>
      </c>
      <c r="G127" s="1" t="b">
        <f t="shared" si="6"/>
        <v>0</v>
      </c>
      <c r="H127" s="1" t="str">
        <f t="shared" si="7"/>
        <v>Thursday</v>
      </c>
      <c r="I127" s="1">
        <v>1</v>
      </c>
      <c r="J127" s="1">
        <v>0.18</v>
      </c>
      <c r="K127" s="1">
        <v>0.1515</v>
      </c>
      <c r="L127" s="1">
        <v>0.43</v>
      </c>
      <c r="M127" s="1">
        <v>0.32840000000000003</v>
      </c>
      <c r="N127" s="1">
        <v>2</v>
      </c>
      <c r="O127" s="1">
        <v>50</v>
      </c>
      <c r="P127" s="1">
        <v>52</v>
      </c>
    </row>
    <row r="128" spans="1:16" x14ac:dyDescent="0.2">
      <c r="A128" s="1">
        <v>737</v>
      </c>
      <c r="B128" s="2">
        <v>40577</v>
      </c>
      <c r="C128" s="1">
        <v>1</v>
      </c>
      <c r="D128" s="1">
        <f t="shared" si="4"/>
        <v>2011</v>
      </c>
      <c r="E128" s="1" t="str">
        <f t="shared" si="5"/>
        <v>February</v>
      </c>
      <c r="F128" s="1">
        <v>11</v>
      </c>
      <c r="G128" s="1" t="b">
        <f t="shared" si="6"/>
        <v>0</v>
      </c>
      <c r="H128" s="1" t="str">
        <f t="shared" si="7"/>
        <v>Thursday</v>
      </c>
      <c r="I128" s="1">
        <v>1</v>
      </c>
      <c r="J128" s="1">
        <v>0.18</v>
      </c>
      <c r="K128" s="1">
        <v>0.13639999999999999</v>
      </c>
      <c r="L128" s="1">
        <v>0.43</v>
      </c>
      <c r="M128" s="1">
        <v>0.44779999999999998</v>
      </c>
      <c r="N128" s="1">
        <v>9</v>
      </c>
      <c r="O128" s="1">
        <v>55</v>
      </c>
      <c r="P128" s="1">
        <v>64</v>
      </c>
    </row>
    <row r="129" spans="1:16" x14ac:dyDescent="0.2">
      <c r="A129" s="1">
        <v>738</v>
      </c>
      <c r="B129" s="2">
        <v>40577</v>
      </c>
      <c r="C129" s="1">
        <v>1</v>
      </c>
      <c r="D129" s="1">
        <f t="shared" si="4"/>
        <v>2011</v>
      </c>
      <c r="E129" s="1" t="str">
        <f t="shared" si="5"/>
        <v>February</v>
      </c>
      <c r="F129" s="1">
        <v>12</v>
      </c>
      <c r="G129" s="1" t="b">
        <f t="shared" si="6"/>
        <v>0</v>
      </c>
      <c r="H129" s="1" t="str">
        <f t="shared" si="7"/>
        <v>Thursday</v>
      </c>
      <c r="I129" s="1">
        <v>1</v>
      </c>
      <c r="J129" s="1">
        <v>0.2</v>
      </c>
      <c r="K129" s="1">
        <v>0.18179999999999999</v>
      </c>
      <c r="L129" s="1">
        <v>0.4</v>
      </c>
      <c r="M129" s="1">
        <v>0.35820000000000002</v>
      </c>
      <c r="N129" s="1">
        <v>2</v>
      </c>
      <c r="O129" s="1">
        <v>67</v>
      </c>
      <c r="P129" s="1">
        <v>69</v>
      </c>
    </row>
    <row r="130" spans="1:16" x14ac:dyDescent="0.2">
      <c r="A130" s="1">
        <v>739</v>
      </c>
      <c r="B130" s="2">
        <v>40577</v>
      </c>
      <c r="C130" s="1">
        <v>1</v>
      </c>
      <c r="D130" s="1">
        <f t="shared" si="4"/>
        <v>2011</v>
      </c>
      <c r="E130" s="1" t="str">
        <f t="shared" si="5"/>
        <v>February</v>
      </c>
      <c r="F130" s="1">
        <v>13</v>
      </c>
      <c r="G130" s="1" t="b">
        <f t="shared" si="6"/>
        <v>0</v>
      </c>
      <c r="H130" s="1" t="str">
        <f t="shared" si="7"/>
        <v>Thursday</v>
      </c>
      <c r="I130" s="1">
        <v>1</v>
      </c>
      <c r="J130" s="1">
        <v>0.2</v>
      </c>
      <c r="K130" s="1">
        <v>0.16669999999999999</v>
      </c>
      <c r="L130" s="1">
        <v>0.4</v>
      </c>
      <c r="M130" s="1">
        <v>0.41789999999999999</v>
      </c>
      <c r="N130" s="1">
        <v>4</v>
      </c>
      <c r="O130" s="1">
        <v>47</v>
      </c>
      <c r="P130" s="1">
        <v>51</v>
      </c>
    </row>
    <row r="131" spans="1:16" x14ac:dyDescent="0.2">
      <c r="A131" s="1">
        <v>740</v>
      </c>
      <c r="B131" s="2">
        <v>40577</v>
      </c>
      <c r="C131" s="1">
        <v>1</v>
      </c>
      <c r="D131" s="1">
        <f t="shared" ref="D131:D194" si="8">YEAR(B131)</f>
        <v>2011</v>
      </c>
      <c r="E131" s="1" t="str">
        <f t="shared" ref="E131:E194" si="9">TEXT(B131,"mmmm")</f>
        <v>February</v>
      </c>
      <c r="F131" s="1">
        <v>14</v>
      </c>
      <c r="G131" s="1" t="b">
        <f t="shared" ref="G131:G194" si="10">IF(H131="Sunday",TRUE,FALSE)</f>
        <v>0</v>
      </c>
      <c r="H131" s="1" t="str">
        <f t="shared" ref="H131:H194" si="11">TEXT(B131,"dddd")</f>
        <v>Thursday</v>
      </c>
      <c r="I131" s="1">
        <v>1</v>
      </c>
      <c r="J131" s="1">
        <v>0.22</v>
      </c>
      <c r="K131" s="1">
        <v>0.19700000000000001</v>
      </c>
      <c r="L131" s="1">
        <v>0.37</v>
      </c>
      <c r="M131" s="1">
        <v>0.3881</v>
      </c>
      <c r="N131" s="1">
        <v>4</v>
      </c>
      <c r="O131" s="1">
        <v>43</v>
      </c>
      <c r="P131" s="1">
        <v>47</v>
      </c>
    </row>
    <row r="132" spans="1:16" x14ac:dyDescent="0.2">
      <c r="A132" s="1">
        <v>741</v>
      </c>
      <c r="B132" s="2">
        <v>40577</v>
      </c>
      <c r="C132" s="1">
        <v>1</v>
      </c>
      <c r="D132" s="1">
        <f t="shared" si="8"/>
        <v>2011</v>
      </c>
      <c r="E132" s="1" t="str">
        <f t="shared" si="9"/>
        <v>February</v>
      </c>
      <c r="F132" s="1">
        <v>15</v>
      </c>
      <c r="G132" s="1" t="b">
        <f t="shared" si="10"/>
        <v>0</v>
      </c>
      <c r="H132" s="1" t="str">
        <f t="shared" si="11"/>
        <v>Thursday</v>
      </c>
      <c r="I132" s="1">
        <v>1</v>
      </c>
      <c r="J132" s="1">
        <v>0.22</v>
      </c>
      <c r="K132" s="1">
        <v>0.19700000000000001</v>
      </c>
      <c r="L132" s="1">
        <v>0.37</v>
      </c>
      <c r="M132" s="1">
        <v>0.32840000000000003</v>
      </c>
      <c r="N132" s="1">
        <v>4</v>
      </c>
      <c r="O132" s="1">
        <v>56</v>
      </c>
      <c r="P132" s="1">
        <v>60</v>
      </c>
    </row>
    <row r="133" spans="1:16" x14ac:dyDescent="0.2">
      <c r="A133" s="1">
        <v>742</v>
      </c>
      <c r="B133" s="2">
        <v>40577</v>
      </c>
      <c r="C133" s="1">
        <v>1</v>
      </c>
      <c r="D133" s="1">
        <f t="shared" si="8"/>
        <v>2011</v>
      </c>
      <c r="E133" s="1" t="str">
        <f t="shared" si="9"/>
        <v>February</v>
      </c>
      <c r="F133" s="1">
        <v>16</v>
      </c>
      <c r="G133" s="1" t="b">
        <f t="shared" si="10"/>
        <v>0</v>
      </c>
      <c r="H133" s="1" t="str">
        <f t="shared" si="11"/>
        <v>Thursday</v>
      </c>
      <c r="I133" s="1">
        <v>1</v>
      </c>
      <c r="J133" s="1">
        <v>0.22</v>
      </c>
      <c r="K133" s="1">
        <v>0.21210000000000001</v>
      </c>
      <c r="L133" s="1">
        <v>0.37</v>
      </c>
      <c r="M133" s="1">
        <v>0.25369999999999998</v>
      </c>
      <c r="N133" s="1">
        <v>5</v>
      </c>
      <c r="O133" s="1">
        <v>73</v>
      </c>
      <c r="P133" s="1">
        <v>78</v>
      </c>
    </row>
    <row r="134" spans="1:16" x14ac:dyDescent="0.2">
      <c r="A134" s="1">
        <v>743</v>
      </c>
      <c r="B134" s="2">
        <v>40577</v>
      </c>
      <c r="C134" s="1">
        <v>1</v>
      </c>
      <c r="D134" s="1">
        <f t="shared" si="8"/>
        <v>2011</v>
      </c>
      <c r="E134" s="1" t="str">
        <f t="shared" si="9"/>
        <v>February</v>
      </c>
      <c r="F134" s="1">
        <v>17</v>
      </c>
      <c r="G134" s="1" t="b">
        <f t="shared" si="10"/>
        <v>0</v>
      </c>
      <c r="H134" s="1" t="str">
        <f t="shared" si="11"/>
        <v>Thursday</v>
      </c>
      <c r="I134" s="1">
        <v>1</v>
      </c>
      <c r="J134" s="1">
        <v>0.2</v>
      </c>
      <c r="K134" s="1">
        <v>0.19700000000000001</v>
      </c>
      <c r="L134" s="1">
        <v>0.4</v>
      </c>
      <c r="M134" s="1">
        <v>0.19400000000000001</v>
      </c>
      <c r="N134" s="1">
        <v>5</v>
      </c>
      <c r="O134" s="1">
        <v>170</v>
      </c>
      <c r="P134" s="1">
        <v>175</v>
      </c>
    </row>
    <row r="135" spans="1:16" x14ac:dyDescent="0.2">
      <c r="A135" s="1">
        <v>744</v>
      </c>
      <c r="B135" s="2">
        <v>40577</v>
      </c>
      <c r="C135" s="1">
        <v>1</v>
      </c>
      <c r="D135" s="1">
        <f t="shared" si="8"/>
        <v>2011</v>
      </c>
      <c r="E135" s="1" t="str">
        <f t="shared" si="9"/>
        <v>February</v>
      </c>
      <c r="F135" s="1">
        <v>18</v>
      </c>
      <c r="G135" s="1" t="b">
        <f t="shared" si="10"/>
        <v>0</v>
      </c>
      <c r="H135" s="1" t="str">
        <f t="shared" si="11"/>
        <v>Thursday</v>
      </c>
      <c r="I135" s="1">
        <v>1</v>
      </c>
      <c r="J135" s="1">
        <v>0.2</v>
      </c>
      <c r="K135" s="1">
        <v>0.21210000000000001</v>
      </c>
      <c r="L135" s="1">
        <v>0.4</v>
      </c>
      <c r="M135" s="1">
        <v>0.16420000000000001</v>
      </c>
      <c r="N135" s="1">
        <v>2</v>
      </c>
      <c r="O135" s="1">
        <v>145</v>
      </c>
      <c r="P135" s="1">
        <v>147</v>
      </c>
    </row>
    <row r="136" spans="1:16" x14ac:dyDescent="0.2">
      <c r="A136" s="1">
        <v>745</v>
      </c>
      <c r="B136" s="2">
        <v>40577</v>
      </c>
      <c r="C136" s="1">
        <v>1</v>
      </c>
      <c r="D136" s="1">
        <f t="shared" si="8"/>
        <v>2011</v>
      </c>
      <c r="E136" s="1" t="str">
        <f t="shared" si="9"/>
        <v>February</v>
      </c>
      <c r="F136" s="1">
        <v>19</v>
      </c>
      <c r="G136" s="1" t="b">
        <f t="shared" si="10"/>
        <v>0</v>
      </c>
      <c r="H136" s="1" t="str">
        <f t="shared" si="11"/>
        <v>Thursday</v>
      </c>
      <c r="I136" s="1">
        <v>1</v>
      </c>
      <c r="J136" s="1">
        <v>0.2</v>
      </c>
      <c r="K136" s="1">
        <v>0.2576</v>
      </c>
      <c r="L136" s="1">
        <v>0.4</v>
      </c>
      <c r="M136" s="1">
        <v>0</v>
      </c>
      <c r="N136" s="1">
        <v>4</v>
      </c>
      <c r="O136" s="1">
        <v>92</v>
      </c>
      <c r="P136" s="1">
        <v>96</v>
      </c>
    </row>
    <row r="137" spans="1:16" x14ac:dyDescent="0.2">
      <c r="A137" s="1">
        <v>746</v>
      </c>
      <c r="B137" s="2">
        <v>40577</v>
      </c>
      <c r="C137" s="1">
        <v>1</v>
      </c>
      <c r="D137" s="1">
        <f t="shared" si="8"/>
        <v>2011</v>
      </c>
      <c r="E137" s="1" t="str">
        <f t="shared" si="9"/>
        <v>February</v>
      </c>
      <c r="F137" s="1">
        <v>20</v>
      </c>
      <c r="G137" s="1" t="b">
        <f t="shared" si="10"/>
        <v>0</v>
      </c>
      <c r="H137" s="1" t="str">
        <f t="shared" si="11"/>
        <v>Thursday</v>
      </c>
      <c r="I137" s="1">
        <v>1</v>
      </c>
      <c r="J137" s="1">
        <v>0.2</v>
      </c>
      <c r="K137" s="1">
        <v>0.2273</v>
      </c>
      <c r="L137" s="1">
        <v>0.47</v>
      </c>
      <c r="M137" s="1">
        <v>8.9599999999999999E-2</v>
      </c>
      <c r="N137" s="1">
        <v>1</v>
      </c>
      <c r="O137" s="1">
        <v>108</v>
      </c>
      <c r="P137" s="1">
        <v>109</v>
      </c>
    </row>
    <row r="138" spans="1:16" x14ac:dyDescent="0.2">
      <c r="A138" s="1">
        <v>747</v>
      </c>
      <c r="B138" s="2">
        <v>40577</v>
      </c>
      <c r="C138" s="1">
        <v>1</v>
      </c>
      <c r="D138" s="1">
        <f t="shared" si="8"/>
        <v>2011</v>
      </c>
      <c r="E138" s="1" t="str">
        <f t="shared" si="9"/>
        <v>February</v>
      </c>
      <c r="F138" s="1">
        <v>21</v>
      </c>
      <c r="G138" s="1" t="b">
        <f t="shared" si="10"/>
        <v>0</v>
      </c>
      <c r="H138" s="1" t="str">
        <f t="shared" si="11"/>
        <v>Thursday</v>
      </c>
      <c r="I138" s="1">
        <v>1</v>
      </c>
      <c r="J138" s="1">
        <v>0.18</v>
      </c>
      <c r="K138" s="1">
        <v>0.21210000000000001</v>
      </c>
      <c r="L138" s="1">
        <v>0.55000000000000004</v>
      </c>
      <c r="M138" s="1">
        <v>0.1045</v>
      </c>
      <c r="N138" s="1">
        <v>1</v>
      </c>
      <c r="O138" s="1">
        <v>53</v>
      </c>
      <c r="P138" s="1">
        <v>54</v>
      </c>
    </row>
    <row r="139" spans="1:16" x14ac:dyDescent="0.2">
      <c r="A139" s="1">
        <v>748</v>
      </c>
      <c r="B139" s="2">
        <v>40577</v>
      </c>
      <c r="C139" s="1">
        <v>1</v>
      </c>
      <c r="D139" s="1">
        <f t="shared" si="8"/>
        <v>2011</v>
      </c>
      <c r="E139" s="1" t="str">
        <f t="shared" si="9"/>
        <v>February</v>
      </c>
      <c r="F139" s="1">
        <v>22</v>
      </c>
      <c r="G139" s="1" t="b">
        <f t="shared" si="10"/>
        <v>0</v>
      </c>
      <c r="H139" s="1" t="str">
        <f t="shared" si="11"/>
        <v>Thursday</v>
      </c>
      <c r="I139" s="1">
        <v>1</v>
      </c>
      <c r="J139" s="1">
        <v>0.18</v>
      </c>
      <c r="K139" s="1">
        <v>0.21210000000000001</v>
      </c>
      <c r="L139" s="1">
        <v>0.51</v>
      </c>
      <c r="M139" s="1">
        <v>8.9599999999999999E-2</v>
      </c>
      <c r="N139" s="1">
        <v>2</v>
      </c>
      <c r="O139" s="1">
        <v>39</v>
      </c>
      <c r="P139" s="1">
        <v>41</v>
      </c>
    </row>
    <row r="140" spans="1:16" x14ac:dyDescent="0.2">
      <c r="A140" s="1">
        <v>749</v>
      </c>
      <c r="B140" s="2">
        <v>40577</v>
      </c>
      <c r="C140" s="1">
        <v>1</v>
      </c>
      <c r="D140" s="1">
        <f t="shared" si="8"/>
        <v>2011</v>
      </c>
      <c r="E140" s="1" t="str">
        <f t="shared" si="9"/>
        <v>February</v>
      </c>
      <c r="F140" s="1">
        <v>23</v>
      </c>
      <c r="G140" s="1" t="b">
        <f t="shared" si="10"/>
        <v>0</v>
      </c>
      <c r="H140" s="1" t="str">
        <f t="shared" si="11"/>
        <v>Thursday</v>
      </c>
      <c r="I140" s="1">
        <v>1</v>
      </c>
      <c r="J140" s="1">
        <v>0.2</v>
      </c>
      <c r="K140" s="1">
        <v>0.2273</v>
      </c>
      <c r="L140" s="1">
        <v>0.47</v>
      </c>
      <c r="M140" s="1">
        <v>0.1045</v>
      </c>
      <c r="N140" s="1">
        <v>4</v>
      </c>
      <c r="O140" s="1">
        <v>34</v>
      </c>
      <c r="P140" s="1">
        <v>38</v>
      </c>
    </row>
    <row r="141" spans="1:16" x14ac:dyDescent="0.2">
      <c r="A141" s="1">
        <v>750</v>
      </c>
      <c r="B141" s="2">
        <v>40578</v>
      </c>
      <c r="C141" s="1">
        <v>1</v>
      </c>
      <c r="D141" s="1">
        <f t="shared" si="8"/>
        <v>2011</v>
      </c>
      <c r="E141" s="1" t="str">
        <f t="shared" si="9"/>
        <v>February</v>
      </c>
      <c r="F141" s="1">
        <v>0</v>
      </c>
      <c r="G141" s="1" t="b">
        <f t="shared" si="10"/>
        <v>0</v>
      </c>
      <c r="H141" s="1" t="str">
        <f t="shared" si="11"/>
        <v>Friday</v>
      </c>
      <c r="I141" s="1">
        <v>2</v>
      </c>
      <c r="J141" s="1">
        <v>0.2</v>
      </c>
      <c r="K141" s="1">
        <v>0.2576</v>
      </c>
      <c r="L141" s="1">
        <v>0.44</v>
      </c>
      <c r="M141" s="1">
        <v>0</v>
      </c>
      <c r="N141" s="1">
        <v>3</v>
      </c>
      <c r="O141" s="1">
        <v>10</v>
      </c>
      <c r="P141" s="1">
        <v>13</v>
      </c>
    </row>
    <row r="142" spans="1:16" x14ac:dyDescent="0.2">
      <c r="A142" s="1">
        <v>751</v>
      </c>
      <c r="B142" s="2">
        <v>40578</v>
      </c>
      <c r="C142" s="1">
        <v>1</v>
      </c>
      <c r="D142" s="1">
        <f t="shared" si="8"/>
        <v>2011</v>
      </c>
      <c r="E142" s="1" t="str">
        <f t="shared" si="9"/>
        <v>February</v>
      </c>
      <c r="F142" s="1">
        <v>1</v>
      </c>
      <c r="G142" s="1" t="b">
        <f t="shared" si="10"/>
        <v>0</v>
      </c>
      <c r="H142" s="1" t="str">
        <f t="shared" si="11"/>
        <v>Friday</v>
      </c>
      <c r="I142" s="1">
        <v>2</v>
      </c>
      <c r="J142" s="1">
        <v>0.16</v>
      </c>
      <c r="K142" s="1">
        <v>0.2273</v>
      </c>
      <c r="L142" s="1">
        <v>0.59</v>
      </c>
      <c r="M142" s="1">
        <v>0</v>
      </c>
      <c r="N142" s="1">
        <v>0</v>
      </c>
      <c r="O142" s="1">
        <v>7</v>
      </c>
      <c r="P142" s="1">
        <v>7</v>
      </c>
    </row>
    <row r="143" spans="1:16" x14ac:dyDescent="0.2">
      <c r="A143" s="1">
        <v>752</v>
      </c>
      <c r="B143" s="2">
        <v>40578</v>
      </c>
      <c r="C143" s="1">
        <v>1</v>
      </c>
      <c r="D143" s="1">
        <f t="shared" si="8"/>
        <v>2011</v>
      </c>
      <c r="E143" s="1" t="str">
        <f t="shared" si="9"/>
        <v>February</v>
      </c>
      <c r="F143" s="1">
        <v>2</v>
      </c>
      <c r="G143" s="1" t="b">
        <f t="shared" si="10"/>
        <v>0</v>
      </c>
      <c r="H143" s="1" t="str">
        <f t="shared" si="11"/>
        <v>Friday</v>
      </c>
      <c r="I143" s="1">
        <v>2</v>
      </c>
      <c r="J143" s="1">
        <v>0.14000000000000001</v>
      </c>
      <c r="K143" s="1">
        <v>0.16669999999999999</v>
      </c>
      <c r="L143" s="1">
        <v>0.63</v>
      </c>
      <c r="M143" s="1">
        <v>0.1045</v>
      </c>
      <c r="N143" s="1">
        <v>0</v>
      </c>
      <c r="O143" s="1">
        <v>1</v>
      </c>
      <c r="P143" s="1">
        <v>1</v>
      </c>
    </row>
    <row r="144" spans="1:16" x14ac:dyDescent="0.2">
      <c r="A144" s="1">
        <v>753</v>
      </c>
      <c r="B144" s="2">
        <v>40578</v>
      </c>
      <c r="C144" s="1">
        <v>1</v>
      </c>
      <c r="D144" s="1">
        <f t="shared" si="8"/>
        <v>2011</v>
      </c>
      <c r="E144" s="1" t="str">
        <f t="shared" si="9"/>
        <v>February</v>
      </c>
      <c r="F144" s="1">
        <v>3</v>
      </c>
      <c r="G144" s="1" t="b">
        <f t="shared" si="10"/>
        <v>0</v>
      </c>
      <c r="H144" s="1" t="str">
        <f t="shared" si="11"/>
        <v>Friday</v>
      </c>
      <c r="I144" s="1">
        <v>2</v>
      </c>
      <c r="J144" s="1">
        <v>0.14000000000000001</v>
      </c>
      <c r="K144" s="1">
        <v>0.16669999999999999</v>
      </c>
      <c r="L144" s="1">
        <v>0.63</v>
      </c>
      <c r="M144" s="1">
        <v>0.1045</v>
      </c>
      <c r="N144" s="1">
        <v>0</v>
      </c>
      <c r="O144" s="1">
        <v>1</v>
      </c>
      <c r="P144" s="1">
        <v>1</v>
      </c>
    </row>
    <row r="145" spans="1:16" x14ac:dyDescent="0.2">
      <c r="A145" s="1">
        <v>754</v>
      </c>
      <c r="B145" s="2">
        <v>40578</v>
      </c>
      <c r="C145" s="1">
        <v>1</v>
      </c>
      <c r="D145" s="1">
        <f t="shared" si="8"/>
        <v>2011</v>
      </c>
      <c r="E145" s="1" t="str">
        <f t="shared" si="9"/>
        <v>February</v>
      </c>
      <c r="F145" s="1">
        <v>5</v>
      </c>
      <c r="G145" s="1" t="b">
        <f t="shared" si="10"/>
        <v>0</v>
      </c>
      <c r="H145" s="1" t="str">
        <f t="shared" si="11"/>
        <v>Friday</v>
      </c>
      <c r="I145" s="1">
        <v>2</v>
      </c>
      <c r="J145" s="1">
        <v>0.14000000000000001</v>
      </c>
      <c r="K145" s="1">
        <v>0.1515</v>
      </c>
      <c r="L145" s="1">
        <v>0.63</v>
      </c>
      <c r="M145" s="1">
        <v>0.1343</v>
      </c>
      <c r="N145" s="1">
        <v>0</v>
      </c>
      <c r="O145" s="1">
        <v>7</v>
      </c>
      <c r="P145" s="1">
        <v>7</v>
      </c>
    </row>
    <row r="146" spans="1:16" x14ac:dyDescent="0.2">
      <c r="A146" s="1">
        <v>755</v>
      </c>
      <c r="B146" s="2">
        <v>40578</v>
      </c>
      <c r="C146" s="1">
        <v>1</v>
      </c>
      <c r="D146" s="1">
        <f t="shared" si="8"/>
        <v>2011</v>
      </c>
      <c r="E146" s="1" t="str">
        <f t="shared" si="9"/>
        <v>February</v>
      </c>
      <c r="F146" s="1">
        <v>6</v>
      </c>
      <c r="G146" s="1" t="b">
        <f t="shared" si="10"/>
        <v>0</v>
      </c>
      <c r="H146" s="1" t="str">
        <f t="shared" si="11"/>
        <v>Friday</v>
      </c>
      <c r="I146" s="1">
        <v>2</v>
      </c>
      <c r="J146" s="1">
        <v>0.16</v>
      </c>
      <c r="K146" s="1">
        <v>0.2273</v>
      </c>
      <c r="L146" s="1">
        <v>0.55000000000000004</v>
      </c>
      <c r="M146" s="1">
        <v>0</v>
      </c>
      <c r="N146" s="1">
        <v>2</v>
      </c>
      <c r="O146" s="1">
        <v>26</v>
      </c>
      <c r="P146" s="1">
        <v>28</v>
      </c>
    </row>
    <row r="147" spans="1:16" x14ac:dyDescent="0.2">
      <c r="A147" s="1">
        <v>756</v>
      </c>
      <c r="B147" s="2">
        <v>40578</v>
      </c>
      <c r="C147" s="1">
        <v>1</v>
      </c>
      <c r="D147" s="1">
        <f t="shared" si="8"/>
        <v>2011</v>
      </c>
      <c r="E147" s="1" t="str">
        <f t="shared" si="9"/>
        <v>February</v>
      </c>
      <c r="F147" s="1">
        <v>7</v>
      </c>
      <c r="G147" s="1" t="b">
        <f t="shared" si="10"/>
        <v>0</v>
      </c>
      <c r="H147" s="1" t="str">
        <f t="shared" si="11"/>
        <v>Friday</v>
      </c>
      <c r="I147" s="1">
        <v>1</v>
      </c>
      <c r="J147" s="1">
        <v>0.14000000000000001</v>
      </c>
      <c r="K147" s="1">
        <v>0.21210000000000001</v>
      </c>
      <c r="L147" s="1">
        <v>0.59</v>
      </c>
      <c r="M147" s="1">
        <v>0</v>
      </c>
      <c r="N147" s="1">
        <v>0</v>
      </c>
      <c r="O147" s="1">
        <v>87</v>
      </c>
      <c r="P147" s="1">
        <v>87</v>
      </c>
    </row>
    <row r="148" spans="1:16" x14ac:dyDescent="0.2">
      <c r="A148" s="1">
        <v>757</v>
      </c>
      <c r="B148" s="2">
        <v>40578</v>
      </c>
      <c r="C148" s="1">
        <v>1</v>
      </c>
      <c r="D148" s="1">
        <f t="shared" si="8"/>
        <v>2011</v>
      </c>
      <c r="E148" s="1" t="str">
        <f t="shared" si="9"/>
        <v>February</v>
      </c>
      <c r="F148" s="1">
        <v>8</v>
      </c>
      <c r="G148" s="1" t="b">
        <f t="shared" si="10"/>
        <v>0</v>
      </c>
      <c r="H148" s="1" t="str">
        <f t="shared" si="11"/>
        <v>Friday</v>
      </c>
      <c r="I148" s="1">
        <v>1</v>
      </c>
      <c r="J148" s="1">
        <v>0.14000000000000001</v>
      </c>
      <c r="K148" s="1">
        <v>0.1515</v>
      </c>
      <c r="L148" s="1">
        <v>0.74</v>
      </c>
      <c r="M148" s="1">
        <v>0.1343</v>
      </c>
      <c r="N148" s="1">
        <v>3</v>
      </c>
      <c r="O148" s="1">
        <v>217</v>
      </c>
      <c r="P148" s="1">
        <v>220</v>
      </c>
    </row>
    <row r="149" spans="1:16" x14ac:dyDescent="0.2">
      <c r="A149" s="1">
        <v>758</v>
      </c>
      <c r="B149" s="2">
        <v>40578</v>
      </c>
      <c r="C149" s="1">
        <v>1</v>
      </c>
      <c r="D149" s="1">
        <f t="shared" si="8"/>
        <v>2011</v>
      </c>
      <c r="E149" s="1" t="str">
        <f t="shared" si="9"/>
        <v>February</v>
      </c>
      <c r="F149" s="1">
        <v>9</v>
      </c>
      <c r="G149" s="1" t="b">
        <f t="shared" si="10"/>
        <v>0</v>
      </c>
      <c r="H149" s="1" t="str">
        <f t="shared" si="11"/>
        <v>Friday</v>
      </c>
      <c r="I149" s="1">
        <v>2</v>
      </c>
      <c r="J149" s="1">
        <v>0.16</v>
      </c>
      <c r="K149" s="1">
        <v>0.18179999999999999</v>
      </c>
      <c r="L149" s="1">
        <v>0.8</v>
      </c>
      <c r="M149" s="1">
        <v>0.1343</v>
      </c>
      <c r="N149" s="1">
        <v>3</v>
      </c>
      <c r="O149" s="1">
        <v>124</v>
      </c>
      <c r="P149" s="1">
        <v>127</v>
      </c>
    </row>
    <row r="150" spans="1:16" x14ac:dyDescent="0.2">
      <c r="A150" s="1">
        <v>759</v>
      </c>
      <c r="B150" s="2">
        <v>40578</v>
      </c>
      <c r="C150" s="1">
        <v>1</v>
      </c>
      <c r="D150" s="1">
        <f t="shared" si="8"/>
        <v>2011</v>
      </c>
      <c r="E150" s="1" t="str">
        <f t="shared" si="9"/>
        <v>February</v>
      </c>
      <c r="F150" s="1">
        <v>10</v>
      </c>
      <c r="G150" s="1" t="b">
        <f t="shared" si="10"/>
        <v>0</v>
      </c>
      <c r="H150" s="1" t="str">
        <f t="shared" si="11"/>
        <v>Friday</v>
      </c>
      <c r="I150" s="1">
        <v>2</v>
      </c>
      <c r="J150" s="1">
        <v>0.2</v>
      </c>
      <c r="K150" s="1">
        <v>0.21210000000000001</v>
      </c>
      <c r="L150" s="1">
        <v>0.51</v>
      </c>
      <c r="M150" s="1">
        <v>0.1343</v>
      </c>
      <c r="N150" s="1">
        <v>5</v>
      </c>
      <c r="O150" s="1">
        <v>46</v>
      </c>
      <c r="P150" s="1">
        <v>51</v>
      </c>
    </row>
    <row r="151" spans="1:16" x14ac:dyDescent="0.2">
      <c r="A151" s="1">
        <v>760</v>
      </c>
      <c r="B151" s="2">
        <v>40578</v>
      </c>
      <c r="C151" s="1">
        <v>1</v>
      </c>
      <c r="D151" s="1">
        <f t="shared" si="8"/>
        <v>2011</v>
      </c>
      <c r="E151" s="1" t="str">
        <f t="shared" si="9"/>
        <v>February</v>
      </c>
      <c r="F151" s="1">
        <v>11</v>
      </c>
      <c r="G151" s="1" t="b">
        <f t="shared" si="10"/>
        <v>0</v>
      </c>
      <c r="H151" s="1" t="str">
        <f t="shared" si="11"/>
        <v>Friday</v>
      </c>
      <c r="I151" s="1">
        <v>1</v>
      </c>
      <c r="J151" s="1">
        <v>0.22</v>
      </c>
      <c r="K151" s="1">
        <v>0.2273</v>
      </c>
      <c r="L151" s="1">
        <v>0.51</v>
      </c>
      <c r="M151" s="1">
        <v>0.16420000000000001</v>
      </c>
      <c r="N151" s="1">
        <v>3</v>
      </c>
      <c r="O151" s="1">
        <v>61</v>
      </c>
      <c r="P151" s="1">
        <v>64</v>
      </c>
    </row>
    <row r="152" spans="1:16" x14ac:dyDescent="0.2">
      <c r="A152" s="1">
        <v>761</v>
      </c>
      <c r="B152" s="2">
        <v>40578</v>
      </c>
      <c r="C152" s="1">
        <v>1</v>
      </c>
      <c r="D152" s="1">
        <f t="shared" si="8"/>
        <v>2011</v>
      </c>
      <c r="E152" s="1" t="str">
        <f t="shared" si="9"/>
        <v>February</v>
      </c>
      <c r="F152" s="1">
        <v>12</v>
      </c>
      <c r="G152" s="1" t="b">
        <f t="shared" si="10"/>
        <v>0</v>
      </c>
      <c r="H152" s="1" t="str">
        <f t="shared" si="11"/>
        <v>Friday</v>
      </c>
      <c r="I152" s="1">
        <v>2</v>
      </c>
      <c r="J152" s="1">
        <v>0.24</v>
      </c>
      <c r="K152" s="1">
        <v>0.2424</v>
      </c>
      <c r="L152" s="1">
        <v>0.48</v>
      </c>
      <c r="M152" s="1">
        <v>0.16420000000000001</v>
      </c>
      <c r="N152" s="1">
        <v>8</v>
      </c>
      <c r="O152" s="1">
        <v>78</v>
      </c>
      <c r="P152" s="1">
        <v>86</v>
      </c>
    </row>
    <row r="153" spans="1:16" x14ac:dyDescent="0.2">
      <c r="A153" s="1">
        <v>762</v>
      </c>
      <c r="B153" s="2">
        <v>40578</v>
      </c>
      <c r="C153" s="1">
        <v>1</v>
      </c>
      <c r="D153" s="1">
        <f t="shared" si="8"/>
        <v>2011</v>
      </c>
      <c r="E153" s="1" t="str">
        <f t="shared" si="9"/>
        <v>February</v>
      </c>
      <c r="F153" s="1">
        <v>13</v>
      </c>
      <c r="G153" s="1" t="b">
        <f t="shared" si="10"/>
        <v>0</v>
      </c>
      <c r="H153" s="1" t="str">
        <f t="shared" si="11"/>
        <v>Friday</v>
      </c>
      <c r="I153" s="1">
        <v>2</v>
      </c>
      <c r="J153" s="1">
        <v>0.26</v>
      </c>
      <c r="K153" s="1">
        <v>0.2576</v>
      </c>
      <c r="L153" s="1">
        <v>0.5</v>
      </c>
      <c r="M153" s="1">
        <v>0.22389999999999999</v>
      </c>
      <c r="N153" s="1">
        <v>9</v>
      </c>
      <c r="O153" s="1">
        <v>73</v>
      </c>
      <c r="P153" s="1">
        <v>82</v>
      </c>
    </row>
    <row r="154" spans="1:16" x14ac:dyDescent="0.2">
      <c r="A154" s="1">
        <v>763</v>
      </c>
      <c r="B154" s="2">
        <v>40578</v>
      </c>
      <c r="C154" s="1">
        <v>1</v>
      </c>
      <c r="D154" s="1">
        <f t="shared" si="8"/>
        <v>2011</v>
      </c>
      <c r="E154" s="1" t="str">
        <f t="shared" si="9"/>
        <v>February</v>
      </c>
      <c r="F154" s="1">
        <v>14</v>
      </c>
      <c r="G154" s="1" t="b">
        <f t="shared" si="10"/>
        <v>0</v>
      </c>
      <c r="H154" s="1" t="str">
        <f t="shared" si="11"/>
        <v>Friday</v>
      </c>
      <c r="I154" s="1">
        <v>2</v>
      </c>
      <c r="J154" s="1">
        <v>0.28000000000000003</v>
      </c>
      <c r="K154" s="1">
        <v>0.2727</v>
      </c>
      <c r="L154" s="1">
        <v>0.45</v>
      </c>
      <c r="M154" s="1">
        <v>0.16420000000000001</v>
      </c>
      <c r="N154" s="1">
        <v>15</v>
      </c>
      <c r="O154" s="1">
        <v>76</v>
      </c>
      <c r="P154" s="1">
        <v>91</v>
      </c>
    </row>
    <row r="155" spans="1:16" x14ac:dyDescent="0.2">
      <c r="A155" s="1">
        <v>764</v>
      </c>
      <c r="B155" s="2">
        <v>40578</v>
      </c>
      <c r="C155" s="1">
        <v>1</v>
      </c>
      <c r="D155" s="1">
        <f t="shared" si="8"/>
        <v>2011</v>
      </c>
      <c r="E155" s="1" t="str">
        <f t="shared" si="9"/>
        <v>February</v>
      </c>
      <c r="F155" s="1">
        <v>15</v>
      </c>
      <c r="G155" s="1" t="b">
        <f t="shared" si="10"/>
        <v>0</v>
      </c>
      <c r="H155" s="1" t="str">
        <f t="shared" si="11"/>
        <v>Friday</v>
      </c>
      <c r="I155" s="1">
        <v>2</v>
      </c>
      <c r="J155" s="1">
        <v>0.28000000000000003</v>
      </c>
      <c r="K155" s="1">
        <v>0.2727</v>
      </c>
      <c r="L155" s="1">
        <v>0.48</v>
      </c>
      <c r="M155" s="1">
        <v>0.25369999999999998</v>
      </c>
      <c r="N155" s="1">
        <v>9</v>
      </c>
      <c r="O155" s="1">
        <v>81</v>
      </c>
      <c r="P155" s="1">
        <v>90</v>
      </c>
    </row>
    <row r="156" spans="1:16" x14ac:dyDescent="0.2">
      <c r="A156" s="1">
        <v>765</v>
      </c>
      <c r="B156" s="2">
        <v>40578</v>
      </c>
      <c r="C156" s="1">
        <v>1</v>
      </c>
      <c r="D156" s="1">
        <f t="shared" si="8"/>
        <v>2011</v>
      </c>
      <c r="E156" s="1" t="str">
        <f t="shared" si="9"/>
        <v>February</v>
      </c>
      <c r="F156" s="1">
        <v>16</v>
      </c>
      <c r="G156" s="1" t="b">
        <f t="shared" si="10"/>
        <v>0</v>
      </c>
      <c r="H156" s="1" t="str">
        <f t="shared" si="11"/>
        <v>Friday</v>
      </c>
      <c r="I156" s="1">
        <v>2</v>
      </c>
      <c r="J156" s="1">
        <v>0.3</v>
      </c>
      <c r="K156" s="1">
        <v>0.28789999999999999</v>
      </c>
      <c r="L156" s="1">
        <v>0.42</v>
      </c>
      <c r="M156" s="1">
        <v>0.22389999999999999</v>
      </c>
      <c r="N156" s="1">
        <v>8</v>
      </c>
      <c r="O156" s="1">
        <v>91</v>
      </c>
      <c r="P156" s="1">
        <v>99</v>
      </c>
    </row>
    <row r="157" spans="1:16" x14ac:dyDescent="0.2">
      <c r="A157" s="1">
        <v>766</v>
      </c>
      <c r="B157" s="2">
        <v>40578</v>
      </c>
      <c r="C157" s="1">
        <v>1</v>
      </c>
      <c r="D157" s="1">
        <f t="shared" si="8"/>
        <v>2011</v>
      </c>
      <c r="E157" s="1" t="str">
        <f t="shared" si="9"/>
        <v>February</v>
      </c>
      <c r="F157" s="1">
        <v>17</v>
      </c>
      <c r="G157" s="1" t="b">
        <f t="shared" si="10"/>
        <v>0</v>
      </c>
      <c r="H157" s="1" t="str">
        <f t="shared" si="11"/>
        <v>Friday</v>
      </c>
      <c r="I157" s="1">
        <v>2</v>
      </c>
      <c r="J157" s="1">
        <v>0.26</v>
      </c>
      <c r="K157" s="1">
        <v>0.2727</v>
      </c>
      <c r="L157" s="1">
        <v>0.56000000000000005</v>
      </c>
      <c r="M157" s="1">
        <v>0.1343</v>
      </c>
      <c r="N157" s="1">
        <v>10</v>
      </c>
      <c r="O157" s="1">
        <v>195</v>
      </c>
      <c r="P157" s="1">
        <v>205</v>
      </c>
    </row>
    <row r="158" spans="1:16" x14ac:dyDescent="0.2">
      <c r="A158" s="1">
        <v>767</v>
      </c>
      <c r="B158" s="2">
        <v>40578</v>
      </c>
      <c r="C158" s="1">
        <v>1</v>
      </c>
      <c r="D158" s="1">
        <f t="shared" si="8"/>
        <v>2011</v>
      </c>
      <c r="E158" s="1" t="str">
        <f t="shared" si="9"/>
        <v>February</v>
      </c>
      <c r="F158" s="1">
        <v>18</v>
      </c>
      <c r="G158" s="1" t="b">
        <f t="shared" si="10"/>
        <v>0</v>
      </c>
      <c r="H158" s="1" t="str">
        <f t="shared" si="11"/>
        <v>Friday</v>
      </c>
      <c r="I158" s="1">
        <v>2</v>
      </c>
      <c r="J158" s="1">
        <v>0.24</v>
      </c>
      <c r="K158" s="1">
        <v>0.2576</v>
      </c>
      <c r="L158" s="1">
        <v>0.6</v>
      </c>
      <c r="M158" s="1">
        <v>0.1045</v>
      </c>
      <c r="N158" s="1">
        <v>3</v>
      </c>
      <c r="O158" s="1">
        <v>152</v>
      </c>
      <c r="P158" s="1">
        <v>155</v>
      </c>
    </row>
    <row r="159" spans="1:16" x14ac:dyDescent="0.2">
      <c r="A159" s="1">
        <v>768</v>
      </c>
      <c r="B159" s="2">
        <v>40578</v>
      </c>
      <c r="C159" s="1">
        <v>1</v>
      </c>
      <c r="D159" s="1">
        <f t="shared" si="8"/>
        <v>2011</v>
      </c>
      <c r="E159" s="1" t="str">
        <f t="shared" si="9"/>
        <v>February</v>
      </c>
      <c r="F159" s="1">
        <v>19</v>
      </c>
      <c r="G159" s="1" t="b">
        <f t="shared" si="10"/>
        <v>0</v>
      </c>
      <c r="H159" s="1" t="str">
        <f t="shared" si="11"/>
        <v>Friday</v>
      </c>
      <c r="I159" s="1">
        <v>2</v>
      </c>
      <c r="J159" s="1">
        <v>0.24</v>
      </c>
      <c r="K159" s="1">
        <v>0.2424</v>
      </c>
      <c r="L159" s="1">
        <v>0.65</v>
      </c>
      <c r="M159" s="1">
        <v>0.1343</v>
      </c>
      <c r="N159" s="1">
        <v>1</v>
      </c>
      <c r="O159" s="1">
        <v>102</v>
      </c>
      <c r="P159" s="1">
        <v>103</v>
      </c>
    </row>
    <row r="160" spans="1:16" x14ac:dyDescent="0.2">
      <c r="A160" s="1">
        <v>769</v>
      </c>
      <c r="B160" s="2">
        <v>40578</v>
      </c>
      <c r="C160" s="1">
        <v>1</v>
      </c>
      <c r="D160" s="1">
        <f t="shared" si="8"/>
        <v>2011</v>
      </c>
      <c r="E160" s="1" t="str">
        <f t="shared" si="9"/>
        <v>February</v>
      </c>
      <c r="F160" s="1">
        <v>20</v>
      </c>
      <c r="G160" s="1" t="b">
        <f t="shared" si="10"/>
        <v>0</v>
      </c>
      <c r="H160" s="1" t="str">
        <f t="shared" si="11"/>
        <v>Friday</v>
      </c>
      <c r="I160" s="1">
        <v>2</v>
      </c>
      <c r="J160" s="1">
        <v>0.24</v>
      </c>
      <c r="K160" s="1">
        <v>0.2424</v>
      </c>
      <c r="L160" s="1">
        <v>0.65</v>
      </c>
      <c r="M160" s="1">
        <v>0.16420000000000001</v>
      </c>
      <c r="N160" s="1">
        <v>2</v>
      </c>
      <c r="O160" s="1">
        <v>69</v>
      </c>
      <c r="P160" s="1">
        <v>71</v>
      </c>
    </row>
    <row r="161" spans="1:16" x14ac:dyDescent="0.2">
      <c r="A161" s="1">
        <v>770</v>
      </c>
      <c r="B161" s="2">
        <v>40578</v>
      </c>
      <c r="C161" s="1">
        <v>1</v>
      </c>
      <c r="D161" s="1">
        <f t="shared" si="8"/>
        <v>2011</v>
      </c>
      <c r="E161" s="1" t="str">
        <f t="shared" si="9"/>
        <v>February</v>
      </c>
      <c r="F161" s="1">
        <v>21</v>
      </c>
      <c r="G161" s="1" t="b">
        <f t="shared" si="10"/>
        <v>0</v>
      </c>
      <c r="H161" s="1" t="str">
        <f t="shared" si="11"/>
        <v>Friday</v>
      </c>
      <c r="I161" s="1">
        <v>2</v>
      </c>
      <c r="J161" s="1">
        <v>0.24</v>
      </c>
      <c r="K161" s="1">
        <v>0.2424</v>
      </c>
      <c r="L161" s="1">
        <v>0.7</v>
      </c>
      <c r="M161" s="1">
        <v>0.16420000000000001</v>
      </c>
      <c r="N161" s="1">
        <v>2</v>
      </c>
      <c r="O161" s="1">
        <v>41</v>
      </c>
      <c r="P161" s="1">
        <v>43</v>
      </c>
    </row>
    <row r="162" spans="1:16" x14ac:dyDescent="0.2">
      <c r="A162" s="1">
        <v>771</v>
      </c>
      <c r="B162" s="2">
        <v>40578</v>
      </c>
      <c r="C162" s="1">
        <v>1</v>
      </c>
      <c r="D162" s="1">
        <f t="shared" si="8"/>
        <v>2011</v>
      </c>
      <c r="E162" s="1" t="str">
        <f t="shared" si="9"/>
        <v>February</v>
      </c>
      <c r="F162" s="1">
        <v>22</v>
      </c>
      <c r="G162" s="1" t="b">
        <f t="shared" si="10"/>
        <v>0</v>
      </c>
      <c r="H162" s="1" t="str">
        <f t="shared" si="11"/>
        <v>Friday</v>
      </c>
      <c r="I162" s="1">
        <v>2</v>
      </c>
      <c r="J162" s="1">
        <v>0.24</v>
      </c>
      <c r="K162" s="1">
        <v>0.2424</v>
      </c>
      <c r="L162" s="1">
        <v>0.65</v>
      </c>
      <c r="M162" s="1">
        <v>0.16420000000000001</v>
      </c>
      <c r="N162" s="1">
        <v>1</v>
      </c>
      <c r="O162" s="1">
        <v>45</v>
      </c>
      <c r="P162" s="1">
        <v>46</v>
      </c>
    </row>
    <row r="163" spans="1:16" x14ac:dyDescent="0.2">
      <c r="A163" s="1">
        <v>772</v>
      </c>
      <c r="B163" s="2">
        <v>40578</v>
      </c>
      <c r="C163" s="1">
        <v>1</v>
      </c>
      <c r="D163" s="1">
        <f t="shared" si="8"/>
        <v>2011</v>
      </c>
      <c r="E163" s="1" t="str">
        <f t="shared" si="9"/>
        <v>February</v>
      </c>
      <c r="F163" s="1">
        <v>23</v>
      </c>
      <c r="G163" s="1" t="b">
        <f t="shared" si="10"/>
        <v>0</v>
      </c>
      <c r="H163" s="1" t="str">
        <f t="shared" si="11"/>
        <v>Friday</v>
      </c>
      <c r="I163" s="1">
        <v>2</v>
      </c>
      <c r="J163" s="1">
        <v>0.24</v>
      </c>
      <c r="K163" s="1">
        <v>0.2424</v>
      </c>
      <c r="L163" s="1">
        <v>0.7</v>
      </c>
      <c r="M163" s="1">
        <v>0.1343</v>
      </c>
      <c r="N163" s="1">
        <v>1</v>
      </c>
      <c r="O163" s="1">
        <v>30</v>
      </c>
      <c r="P163" s="1">
        <v>31</v>
      </c>
    </row>
    <row r="164" spans="1:16" x14ac:dyDescent="0.2">
      <c r="A164" s="1">
        <v>773</v>
      </c>
      <c r="B164" s="2">
        <v>40579</v>
      </c>
      <c r="C164" s="1">
        <v>1</v>
      </c>
      <c r="D164" s="1">
        <f t="shared" si="8"/>
        <v>2011</v>
      </c>
      <c r="E164" s="1" t="str">
        <f t="shared" si="9"/>
        <v>February</v>
      </c>
      <c r="F164" s="1">
        <v>0</v>
      </c>
      <c r="G164" s="1" t="b">
        <f t="shared" si="10"/>
        <v>0</v>
      </c>
      <c r="H164" s="1" t="str">
        <f t="shared" si="11"/>
        <v>Saturday</v>
      </c>
      <c r="I164" s="1">
        <v>2</v>
      </c>
      <c r="J164" s="1">
        <v>0.24</v>
      </c>
      <c r="K164" s="1">
        <v>0.2424</v>
      </c>
      <c r="L164" s="1">
        <v>0.7</v>
      </c>
      <c r="M164" s="1">
        <v>0.16420000000000001</v>
      </c>
      <c r="N164" s="1">
        <v>3</v>
      </c>
      <c r="O164" s="1">
        <v>36</v>
      </c>
      <c r="P164" s="1">
        <v>39</v>
      </c>
    </row>
    <row r="165" spans="1:16" x14ac:dyDescent="0.2">
      <c r="A165" s="1">
        <v>774</v>
      </c>
      <c r="B165" s="2">
        <v>40579</v>
      </c>
      <c r="C165" s="1">
        <v>1</v>
      </c>
      <c r="D165" s="1">
        <f t="shared" si="8"/>
        <v>2011</v>
      </c>
      <c r="E165" s="1" t="str">
        <f t="shared" si="9"/>
        <v>February</v>
      </c>
      <c r="F165" s="1">
        <v>1</v>
      </c>
      <c r="G165" s="1" t="b">
        <f t="shared" si="10"/>
        <v>0</v>
      </c>
      <c r="H165" s="1" t="str">
        <f t="shared" si="11"/>
        <v>Saturday</v>
      </c>
      <c r="I165" s="1">
        <v>2</v>
      </c>
      <c r="J165" s="1">
        <v>0.24</v>
      </c>
      <c r="K165" s="1">
        <v>0.2424</v>
      </c>
      <c r="L165" s="1">
        <v>0.65</v>
      </c>
      <c r="M165" s="1">
        <v>0.16420000000000001</v>
      </c>
      <c r="N165" s="1">
        <v>1</v>
      </c>
      <c r="O165" s="1">
        <v>17</v>
      </c>
      <c r="P165" s="1">
        <v>18</v>
      </c>
    </row>
    <row r="166" spans="1:16" x14ac:dyDescent="0.2">
      <c r="A166" s="1">
        <v>775</v>
      </c>
      <c r="B166" s="2">
        <v>40579</v>
      </c>
      <c r="C166" s="1">
        <v>1</v>
      </c>
      <c r="D166" s="1">
        <f t="shared" si="8"/>
        <v>2011</v>
      </c>
      <c r="E166" s="1" t="str">
        <f t="shared" si="9"/>
        <v>February</v>
      </c>
      <c r="F166" s="1">
        <v>2</v>
      </c>
      <c r="G166" s="1" t="b">
        <f t="shared" si="10"/>
        <v>0</v>
      </c>
      <c r="H166" s="1" t="str">
        <f t="shared" si="11"/>
        <v>Saturday</v>
      </c>
      <c r="I166" s="1">
        <v>2</v>
      </c>
      <c r="J166" s="1">
        <v>0.24</v>
      </c>
      <c r="K166" s="1">
        <v>0.2424</v>
      </c>
      <c r="L166" s="1">
        <v>0.75</v>
      </c>
      <c r="M166" s="1">
        <v>0.16420000000000001</v>
      </c>
      <c r="N166" s="1">
        <v>5</v>
      </c>
      <c r="O166" s="1">
        <v>12</v>
      </c>
      <c r="P166" s="1">
        <v>17</v>
      </c>
    </row>
    <row r="167" spans="1:16" x14ac:dyDescent="0.2">
      <c r="A167" s="1">
        <v>776</v>
      </c>
      <c r="B167" s="2">
        <v>40579</v>
      </c>
      <c r="C167" s="1">
        <v>1</v>
      </c>
      <c r="D167" s="1">
        <f t="shared" si="8"/>
        <v>2011</v>
      </c>
      <c r="E167" s="1" t="str">
        <f t="shared" si="9"/>
        <v>February</v>
      </c>
      <c r="F167" s="1">
        <v>3</v>
      </c>
      <c r="G167" s="1" t="b">
        <f t="shared" si="10"/>
        <v>0</v>
      </c>
      <c r="H167" s="1" t="str">
        <f t="shared" si="11"/>
        <v>Saturday</v>
      </c>
      <c r="I167" s="1">
        <v>2</v>
      </c>
      <c r="J167" s="1">
        <v>0.24</v>
      </c>
      <c r="K167" s="1">
        <v>0.2424</v>
      </c>
      <c r="L167" s="1">
        <v>0.75</v>
      </c>
      <c r="M167" s="1">
        <v>0.16420000000000001</v>
      </c>
      <c r="N167" s="1">
        <v>1</v>
      </c>
      <c r="O167" s="1">
        <v>10</v>
      </c>
      <c r="P167" s="1">
        <v>11</v>
      </c>
    </row>
    <row r="168" spans="1:16" x14ac:dyDescent="0.2">
      <c r="A168" s="1">
        <v>777</v>
      </c>
      <c r="B168" s="2">
        <v>40579</v>
      </c>
      <c r="C168" s="1">
        <v>1</v>
      </c>
      <c r="D168" s="1">
        <f t="shared" si="8"/>
        <v>2011</v>
      </c>
      <c r="E168" s="1" t="str">
        <f t="shared" si="9"/>
        <v>February</v>
      </c>
      <c r="F168" s="1">
        <v>4</v>
      </c>
      <c r="G168" s="1" t="b">
        <f t="shared" si="10"/>
        <v>0</v>
      </c>
      <c r="H168" s="1" t="str">
        <f t="shared" si="11"/>
        <v>Saturday</v>
      </c>
      <c r="I168" s="1">
        <v>3</v>
      </c>
      <c r="J168" s="1">
        <v>0.22</v>
      </c>
      <c r="K168" s="1">
        <v>0.2273</v>
      </c>
      <c r="L168" s="1">
        <v>0.93</v>
      </c>
      <c r="M168" s="1">
        <v>0.1343</v>
      </c>
      <c r="N168" s="1">
        <v>0</v>
      </c>
      <c r="O168" s="1">
        <v>8</v>
      </c>
      <c r="P168" s="1">
        <v>8</v>
      </c>
    </row>
    <row r="169" spans="1:16" x14ac:dyDescent="0.2">
      <c r="A169" s="1">
        <v>778</v>
      </c>
      <c r="B169" s="2">
        <v>40579</v>
      </c>
      <c r="C169" s="1">
        <v>1</v>
      </c>
      <c r="D169" s="1">
        <f t="shared" si="8"/>
        <v>2011</v>
      </c>
      <c r="E169" s="1" t="str">
        <f t="shared" si="9"/>
        <v>February</v>
      </c>
      <c r="F169" s="1">
        <v>5</v>
      </c>
      <c r="G169" s="1" t="b">
        <f t="shared" si="10"/>
        <v>0</v>
      </c>
      <c r="H169" s="1" t="str">
        <f t="shared" si="11"/>
        <v>Saturday</v>
      </c>
      <c r="I169" s="1">
        <v>3</v>
      </c>
      <c r="J169" s="1">
        <v>0.2</v>
      </c>
      <c r="K169" s="1">
        <v>0.2273</v>
      </c>
      <c r="L169" s="1">
        <v>1</v>
      </c>
      <c r="M169" s="1">
        <v>8.9599999999999999E-2</v>
      </c>
      <c r="N169" s="1">
        <v>0</v>
      </c>
      <c r="O169" s="1">
        <v>9</v>
      </c>
      <c r="P169" s="1">
        <v>9</v>
      </c>
    </row>
    <row r="170" spans="1:16" x14ac:dyDescent="0.2">
      <c r="A170" s="1">
        <v>779</v>
      </c>
      <c r="B170" s="2">
        <v>40579</v>
      </c>
      <c r="C170" s="1">
        <v>1</v>
      </c>
      <c r="D170" s="1">
        <f t="shared" si="8"/>
        <v>2011</v>
      </c>
      <c r="E170" s="1" t="str">
        <f t="shared" si="9"/>
        <v>February</v>
      </c>
      <c r="F170" s="1">
        <v>6</v>
      </c>
      <c r="G170" s="1" t="b">
        <f t="shared" si="10"/>
        <v>0</v>
      </c>
      <c r="H170" s="1" t="str">
        <f t="shared" si="11"/>
        <v>Saturday</v>
      </c>
      <c r="I170" s="1">
        <v>3</v>
      </c>
      <c r="J170" s="1">
        <v>0.2</v>
      </c>
      <c r="K170" s="1">
        <v>0.2576</v>
      </c>
      <c r="L170" s="1">
        <v>1</v>
      </c>
      <c r="M170" s="1">
        <v>0</v>
      </c>
      <c r="N170" s="1">
        <v>0</v>
      </c>
      <c r="O170" s="1">
        <v>4</v>
      </c>
      <c r="P170" s="1">
        <v>4</v>
      </c>
    </row>
    <row r="171" spans="1:16" x14ac:dyDescent="0.2">
      <c r="A171" s="1">
        <v>780</v>
      </c>
      <c r="B171" s="2">
        <v>40579</v>
      </c>
      <c r="C171" s="1">
        <v>1</v>
      </c>
      <c r="D171" s="1">
        <f t="shared" si="8"/>
        <v>2011</v>
      </c>
      <c r="E171" s="1" t="str">
        <f t="shared" si="9"/>
        <v>February</v>
      </c>
      <c r="F171" s="1">
        <v>7</v>
      </c>
      <c r="G171" s="1" t="b">
        <f t="shared" si="10"/>
        <v>0</v>
      </c>
      <c r="H171" s="1" t="str">
        <f t="shared" si="11"/>
        <v>Saturday</v>
      </c>
      <c r="I171" s="1">
        <v>3</v>
      </c>
      <c r="J171" s="1">
        <v>0.22</v>
      </c>
      <c r="K171" s="1">
        <v>0.2576</v>
      </c>
      <c r="L171" s="1">
        <v>0.93</v>
      </c>
      <c r="M171" s="1">
        <v>8.9599999999999999E-2</v>
      </c>
      <c r="N171" s="1">
        <v>0</v>
      </c>
      <c r="O171" s="1">
        <v>4</v>
      </c>
      <c r="P171" s="1">
        <v>4</v>
      </c>
    </row>
    <row r="172" spans="1:16" x14ac:dyDescent="0.2">
      <c r="A172" s="1">
        <v>781</v>
      </c>
      <c r="B172" s="2">
        <v>40579</v>
      </c>
      <c r="C172" s="1">
        <v>1</v>
      </c>
      <c r="D172" s="1">
        <f t="shared" si="8"/>
        <v>2011</v>
      </c>
      <c r="E172" s="1" t="str">
        <f t="shared" si="9"/>
        <v>February</v>
      </c>
      <c r="F172" s="1">
        <v>8</v>
      </c>
      <c r="G172" s="1" t="b">
        <f t="shared" si="10"/>
        <v>0</v>
      </c>
      <c r="H172" s="1" t="str">
        <f t="shared" si="11"/>
        <v>Saturday</v>
      </c>
      <c r="I172" s="1">
        <v>3</v>
      </c>
      <c r="J172" s="1">
        <v>0.2</v>
      </c>
      <c r="K172" s="1">
        <v>0.2273</v>
      </c>
      <c r="L172" s="1">
        <v>1</v>
      </c>
      <c r="M172" s="1">
        <v>8.9599999999999999E-2</v>
      </c>
      <c r="N172" s="1">
        <v>0</v>
      </c>
      <c r="O172" s="1">
        <v>10</v>
      </c>
      <c r="P172" s="1">
        <v>10</v>
      </c>
    </row>
    <row r="173" spans="1:16" x14ac:dyDescent="0.2">
      <c r="A173" s="1">
        <v>782</v>
      </c>
      <c r="B173" s="2">
        <v>40579</v>
      </c>
      <c r="C173" s="1">
        <v>1</v>
      </c>
      <c r="D173" s="1">
        <f t="shared" si="8"/>
        <v>2011</v>
      </c>
      <c r="E173" s="1" t="str">
        <f t="shared" si="9"/>
        <v>February</v>
      </c>
      <c r="F173" s="1">
        <v>9</v>
      </c>
      <c r="G173" s="1" t="b">
        <f t="shared" si="10"/>
        <v>0</v>
      </c>
      <c r="H173" s="1" t="str">
        <f t="shared" si="11"/>
        <v>Saturday</v>
      </c>
      <c r="I173" s="1">
        <v>3</v>
      </c>
      <c r="J173" s="1">
        <v>0.2</v>
      </c>
      <c r="K173" s="1">
        <v>0.2273</v>
      </c>
      <c r="L173" s="1">
        <v>1</v>
      </c>
      <c r="M173" s="1">
        <v>8.9599999999999999E-2</v>
      </c>
      <c r="N173" s="1">
        <v>3</v>
      </c>
      <c r="O173" s="1">
        <v>17</v>
      </c>
      <c r="P173" s="1">
        <v>20</v>
      </c>
    </row>
    <row r="174" spans="1:16" x14ac:dyDescent="0.2">
      <c r="A174" s="1">
        <v>783</v>
      </c>
      <c r="B174" s="2">
        <v>40579</v>
      </c>
      <c r="C174" s="1">
        <v>1</v>
      </c>
      <c r="D174" s="1">
        <f t="shared" si="8"/>
        <v>2011</v>
      </c>
      <c r="E174" s="1" t="str">
        <f t="shared" si="9"/>
        <v>February</v>
      </c>
      <c r="F174" s="1">
        <v>10</v>
      </c>
      <c r="G174" s="1" t="b">
        <f t="shared" si="10"/>
        <v>0</v>
      </c>
      <c r="H174" s="1" t="str">
        <f t="shared" si="11"/>
        <v>Saturday</v>
      </c>
      <c r="I174" s="1">
        <v>3</v>
      </c>
      <c r="J174" s="1">
        <v>0.2</v>
      </c>
      <c r="K174" s="1">
        <v>0.21210000000000001</v>
      </c>
      <c r="L174" s="1">
        <v>1</v>
      </c>
      <c r="M174" s="1">
        <v>0.1343</v>
      </c>
      <c r="N174" s="1">
        <v>3</v>
      </c>
      <c r="O174" s="1">
        <v>31</v>
      </c>
      <c r="P174" s="1">
        <v>34</v>
      </c>
    </row>
    <row r="175" spans="1:16" x14ac:dyDescent="0.2">
      <c r="A175" s="1">
        <v>784</v>
      </c>
      <c r="B175" s="2">
        <v>40579</v>
      </c>
      <c r="C175" s="1">
        <v>1</v>
      </c>
      <c r="D175" s="1">
        <f t="shared" si="8"/>
        <v>2011</v>
      </c>
      <c r="E175" s="1" t="str">
        <f t="shared" si="9"/>
        <v>February</v>
      </c>
      <c r="F175" s="1">
        <v>11</v>
      </c>
      <c r="G175" s="1" t="b">
        <f t="shared" si="10"/>
        <v>0</v>
      </c>
      <c r="H175" s="1" t="str">
        <f t="shared" si="11"/>
        <v>Saturday</v>
      </c>
      <c r="I175" s="1">
        <v>3</v>
      </c>
      <c r="J175" s="1">
        <v>0.22</v>
      </c>
      <c r="K175" s="1">
        <v>0.2273</v>
      </c>
      <c r="L175" s="1">
        <v>1</v>
      </c>
      <c r="M175" s="1">
        <v>0.1343</v>
      </c>
      <c r="N175" s="1">
        <v>1</v>
      </c>
      <c r="O175" s="1">
        <v>46</v>
      </c>
      <c r="P175" s="1">
        <v>47</v>
      </c>
    </row>
    <row r="176" spans="1:16" x14ac:dyDescent="0.2">
      <c r="A176" s="1">
        <v>785</v>
      </c>
      <c r="B176" s="2">
        <v>40579</v>
      </c>
      <c r="C176" s="1">
        <v>1</v>
      </c>
      <c r="D176" s="1">
        <f t="shared" si="8"/>
        <v>2011</v>
      </c>
      <c r="E176" s="1" t="str">
        <f t="shared" si="9"/>
        <v>February</v>
      </c>
      <c r="F176" s="1">
        <v>12</v>
      </c>
      <c r="G176" s="1" t="b">
        <f t="shared" si="10"/>
        <v>0</v>
      </c>
      <c r="H176" s="1" t="str">
        <f t="shared" si="11"/>
        <v>Saturday</v>
      </c>
      <c r="I176" s="1">
        <v>3</v>
      </c>
      <c r="J176" s="1">
        <v>0.22</v>
      </c>
      <c r="K176" s="1">
        <v>0.2273</v>
      </c>
      <c r="L176" s="1">
        <v>1</v>
      </c>
      <c r="M176" s="1">
        <v>0.16420000000000001</v>
      </c>
      <c r="N176" s="1">
        <v>10</v>
      </c>
      <c r="O176" s="1">
        <v>42</v>
      </c>
      <c r="P176" s="1">
        <v>52</v>
      </c>
    </row>
    <row r="177" spans="1:16" x14ac:dyDescent="0.2">
      <c r="A177" s="1">
        <v>786</v>
      </c>
      <c r="B177" s="2">
        <v>40579</v>
      </c>
      <c r="C177" s="1">
        <v>1</v>
      </c>
      <c r="D177" s="1">
        <f t="shared" si="8"/>
        <v>2011</v>
      </c>
      <c r="E177" s="1" t="str">
        <f t="shared" si="9"/>
        <v>February</v>
      </c>
      <c r="F177" s="1">
        <v>13</v>
      </c>
      <c r="G177" s="1" t="b">
        <f t="shared" si="10"/>
        <v>0</v>
      </c>
      <c r="H177" s="1" t="str">
        <f t="shared" si="11"/>
        <v>Saturday</v>
      </c>
      <c r="I177" s="1">
        <v>3</v>
      </c>
      <c r="J177" s="1">
        <v>0.22</v>
      </c>
      <c r="K177" s="1">
        <v>0.2273</v>
      </c>
      <c r="L177" s="1">
        <v>1</v>
      </c>
      <c r="M177" s="1">
        <v>0.16420000000000001</v>
      </c>
      <c r="N177" s="1">
        <v>10</v>
      </c>
      <c r="O177" s="1">
        <v>62</v>
      </c>
      <c r="P177" s="1">
        <v>72</v>
      </c>
    </row>
    <row r="178" spans="1:16" x14ac:dyDescent="0.2">
      <c r="A178" s="1">
        <v>787</v>
      </c>
      <c r="B178" s="2">
        <v>40579</v>
      </c>
      <c r="C178" s="1">
        <v>1</v>
      </c>
      <c r="D178" s="1">
        <f t="shared" si="8"/>
        <v>2011</v>
      </c>
      <c r="E178" s="1" t="str">
        <f t="shared" si="9"/>
        <v>February</v>
      </c>
      <c r="F178" s="1">
        <v>14</v>
      </c>
      <c r="G178" s="1" t="b">
        <f t="shared" si="10"/>
        <v>0</v>
      </c>
      <c r="H178" s="1" t="str">
        <f t="shared" si="11"/>
        <v>Saturday</v>
      </c>
      <c r="I178" s="1">
        <v>3</v>
      </c>
      <c r="J178" s="1">
        <v>0.22</v>
      </c>
      <c r="K178" s="1">
        <v>0.2727</v>
      </c>
      <c r="L178" s="1">
        <v>1</v>
      </c>
      <c r="M178" s="1">
        <v>0</v>
      </c>
      <c r="N178" s="1">
        <v>5</v>
      </c>
      <c r="O178" s="1">
        <v>50</v>
      </c>
      <c r="P178" s="1">
        <v>55</v>
      </c>
    </row>
    <row r="179" spans="1:16" x14ac:dyDescent="0.2">
      <c r="A179" s="1">
        <v>788</v>
      </c>
      <c r="B179" s="2">
        <v>40579</v>
      </c>
      <c r="C179" s="1">
        <v>1</v>
      </c>
      <c r="D179" s="1">
        <f t="shared" si="8"/>
        <v>2011</v>
      </c>
      <c r="E179" s="1" t="str">
        <f t="shared" si="9"/>
        <v>February</v>
      </c>
      <c r="F179" s="1">
        <v>15</v>
      </c>
      <c r="G179" s="1" t="b">
        <f t="shared" si="10"/>
        <v>0</v>
      </c>
      <c r="H179" s="1" t="str">
        <f t="shared" si="11"/>
        <v>Saturday</v>
      </c>
      <c r="I179" s="1">
        <v>3</v>
      </c>
      <c r="J179" s="1">
        <v>0.22</v>
      </c>
      <c r="K179" s="1">
        <v>0.2727</v>
      </c>
      <c r="L179" s="1">
        <v>1</v>
      </c>
      <c r="M179" s="1">
        <v>0</v>
      </c>
      <c r="N179" s="1">
        <v>11</v>
      </c>
      <c r="O179" s="1">
        <v>49</v>
      </c>
      <c r="P179" s="1">
        <v>60</v>
      </c>
    </row>
    <row r="180" spans="1:16" x14ac:dyDescent="0.2">
      <c r="A180" s="1">
        <v>789</v>
      </c>
      <c r="B180" s="2">
        <v>40579</v>
      </c>
      <c r="C180" s="1">
        <v>1</v>
      </c>
      <c r="D180" s="1">
        <f t="shared" si="8"/>
        <v>2011</v>
      </c>
      <c r="E180" s="1" t="str">
        <f t="shared" si="9"/>
        <v>February</v>
      </c>
      <c r="F180" s="1">
        <v>16</v>
      </c>
      <c r="G180" s="1" t="b">
        <f t="shared" si="10"/>
        <v>0</v>
      </c>
      <c r="H180" s="1" t="str">
        <f t="shared" si="11"/>
        <v>Saturday</v>
      </c>
      <c r="I180" s="1">
        <v>3</v>
      </c>
      <c r="J180" s="1">
        <v>0.22</v>
      </c>
      <c r="K180" s="1">
        <v>0.2273</v>
      </c>
      <c r="L180" s="1">
        <v>1</v>
      </c>
      <c r="M180" s="1">
        <v>0.1343</v>
      </c>
      <c r="N180" s="1">
        <v>8</v>
      </c>
      <c r="O180" s="1">
        <v>63</v>
      </c>
      <c r="P180" s="1">
        <v>71</v>
      </c>
    </row>
    <row r="181" spans="1:16" x14ac:dyDescent="0.2">
      <c r="A181" s="1">
        <v>790</v>
      </c>
      <c r="B181" s="2">
        <v>40579</v>
      </c>
      <c r="C181" s="1">
        <v>1</v>
      </c>
      <c r="D181" s="1">
        <f t="shared" si="8"/>
        <v>2011</v>
      </c>
      <c r="E181" s="1" t="str">
        <f t="shared" si="9"/>
        <v>February</v>
      </c>
      <c r="F181" s="1">
        <v>17</v>
      </c>
      <c r="G181" s="1" t="b">
        <f t="shared" si="10"/>
        <v>0</v>
      </c>
      <c r="H181" s="1" t="str">
        <f t="shared" si="11"/>
        <v>Saturday</v>
      </c>
      <c r="I181" s="1">
        <v>2</v>
      </c>
      <c r="J181" s="1">
        <v>0.24</v>
      </c>
      <c r="K181" s="1">
        <v>0.21210000000000001</v>
      </c>
      <c r="L181" s="1">
        <v>1</v>
      </c>
      <c r="M181" s="1">
        <v>0.28360000000000002</v>
      </c>
      <c r="N181" s="1">
        <v>14</v>
      </c>
      <c r="O181" s="1">
        <v>64</v>
      </c>
      <c r="P181" s="1">
        <v>78</v>
      </c>
    </row>
    <row r="182" spans="1:16" x14ac:dyDescent="0.2">
      <c r="A182" s="1">
        <v>791</v>
      </c>
      <c r="B182" s="2">
        <v>40579</v>
      </c>
      <c r="C182" s="1">
        <v>1</v>
      </c>
      <c r="D182" s="1">
        <f t="shared" si="8"/>
        <v>2011</v>
      </c>
      <c r="E182" s="1" t="str">
        <f t="shared" si="9"/>
        <v>February</v>
      </c>
      <c r="F182" s="1">
        <v>18</v>
      </c>
      <c r="G182" s="1" t="b">
        <f t="shared" si="10"/>
        <v>0</v>
      </c>
      <c r="H182" s="1" t="str">
        <f t="shared" si="11"/>
        <v>Saturday</v>
      </c>
      <c r="I182" s="1">
        <v>2</v>
      </c>
      <c r="J182" s="1">
        <v>0.28000000000000003</v>
      </c>
      <c r="K182" s="1">
        <v>0.2424</v>
      </c>
      <c r="L182" s="1">
        <v>0.93</v>
      </c>
      <c r="M182" s="1">
        <v>0.44779999999999998</v>
      </c>
      <c r="N182" s="1">
        <v>2</v>
      </c>
      <c r="O182" s="1">
        <v>81</v>
      </c>
      <c r="P182" s="1">
        <v>83</v>
      </c>
    </row>
    <row r="183" spans="1:16" x14ac:dyDescent="0.2">
      <c r="A183" s="1">
        <v>792</v>
      </c>
      <c r="B183" s="2">
        <v>40579</v>
      </c>
      <c r="C183" s="1">
        <v>1</v>
      </c>
      <c r="D183" s="1">
        <f t="shared" si="8"/>
        <v>2011</v>
      </c>
      <c r="E183" s="1" t="str">
        <f t="shared" si="9"/>
        <v>February</v>
      </c>
      <c r="F183" s="1">
        <v>19</v>
      </c>
      <c r="G183" s="1" t="b">
        <f t="shared" si="10"/>
        <v>0</v>
      </c>
      <c r="H183" s="1" t="str">
        <f t="shared" si="11"/>
        <v>Saturday</v>
      </c>
      <c r="I183" s="1">
        <v>2</v>
      </c>
      <c r="J183" s="1">
        <v>0.28000000000000003</v>
      </c>
      <c r="K183" s="1">
        <v>0.2424</v>
      </c>
      <c r="L183" s="1">
        <v>0.93</v>
      </c>
      <c r="M183" s="1">
        <v>0.44779999999999998</v>
      </c>
      <c r="N183" s="1">
        <v>6</v>
      </c>
      <c r="O183" s="1">
        <v>78</v>
      </c>
      <c r="P183" s="1">
        <v>84</v>
      </c>
    </row>
    <row r="184" spans="1:16" x14ac:dyDescent="0.2">
      <c r="A184" s="1">
        <v>793</v>
      </c>
      <c r="B184" s="2">
        <v>40579</v>
      </c>
      <c r="C184" s="1">
        <v>1</v>
      </c>
      <c r="D184" s="1">
        <f t="shared" si="8"/>
        <v>2011</v>
      </c>
      <c r="E184" s="1" t="str">
        <f t="shared" si="9"/>
        <v>February</v>
      </c>
      <c r="F184" s="1">
        <v>20</v>
      </c>
      <c r="G184" s="1" t="b">
        <f t="shared" si="10"/>
        <v>0</v>
      </c>
      <c r="H184" s="1" t="str">
        <f t="shared" si="11"/>
        <v>Saturday</v>
      </c>
      <c r="I184" s="1">
        <v>1</v>
      </c>
      <c r="J184" s="1">
        <v>0.3</v>
      </c>
      <c r="K184" s="1">
        <v>0.28789999999999999</v>
      </c>
      <c r="L184" s="1">
        <v>0.87</v>
      </c>
      <c r="M184" s="1">
        <v>0.25369999999999998</v>
      </c>
      <c r="N184" s="1">
        <v>5</v>
      </c>
      <c r="O184" s="1">
        <v>64</v>
      </c>
      <c r="P184" s="1">
        <v>69</v>
      </c>
    </row>
    <row r="185" spans="1:16" x14ac:dyDescent="0.2">
      <c r="A185" s="1">
        <v>794</v>
      </c>
      <c r="B185" s="2">
        <v>40579</v>
      </c>
      <c r="C185" s="1">
        <v>1</v>
      </c>
      <c r="D185" s="1">
        <f t="shared" si="8"/>
        <v>2011</v>
      </c>
      <c r="E185" s="1" t="str">
        <f t="shared" si="9"/>
        <v>February</v>
      </c>
      <c r="F185" s="1">
        <v>21</v>
      </c>
      <c r="G185" s="1" t="b">
        <f t="shared" si="10"/>
        <v>0</v>
      </c>
      <c r="H185" s="1" t="str">
        <f t="shared" si="11"/>
        <v>Saturday</v>
      </c>
      <c r="I185" s="1">
        <v>1</v>
      </c>
      <c r="J185" s="1">
        <v>0.26</v>
      </c>
      <c r="K185" s="1">
        <v>0.2576</v>
      </c>
      <c r="L185" s="1">
        <v>1</v>
      </c>
      <c r="M185" s="1">
        <v>0.19400000000000001</v>
      </c>
      <c r="N185" s="1">
        <v>3</v>
      </c>
      <c r="O185" s="1">
        <v>53</v>
      </c>
      <c r="P185" s="1">
        <v>56</v>
      </c>
    </row>
    <row r="186" spans="1:16" x14ac:dyDescent="0.2">
      <c r="A186" s="1">
        <v>795</v>
      </c>
      <c r="B186" s="2">
        <v>40579</v>
      </c>
      <c r="C186" s="1">
        <v>1</v>
      </c>
      <c r="D186" s="1">
        <f t="shared" si="8"/>
        <v>2011</v>
      </c>
      <c r="E186" s="1" t="str">
        <f t="shared" si="9"/>
        <v>February</v>
      </c>
      <c r="F186" s="1">
        <v>22</v>
      </c>
      <c r="G186" s="1" t="b">
        <f t="shared" si="10"/>
        <v>0</v>
      </c>
      <c r="H186" s="1" t="str">
        <f t="shared" si="11"/>
        <v>Saturday</v>
      </c>
      <c r="I186" s="1">
        <v>1</v>
      </c>
      <c r="J186" s="1">
        <v>0.26</v>
      </c>
      <c r="K186" s="1">
        <v>0.2727</v>
      </c>
      <c r="L186" s="1">
        <v>0.93</v>
      </c>
      <c r="M186" s="1">
        <v>0.1343</v>
      </c>
      <c r="N186" s="1">
        <v>2</v>
      </c>
      <c r="O186" s="1">
        <v>43</v>
      </c>
      <c r="P186" s="1">
        <v>45</v>
      </c>
    </row>
    <row r="187" spans="1:16" x14ac:dyDescent="0.2">
      <c r="A187" s="1">
        <v>796</v>
      </c>
      <c r="B187" s="2">
        <v>40579</v>
      </c>
      <c r="C187" s="1">
        <v>1</v>
      </c>
      <c r="D187" s="1">
        <f t="shared" si="8"/>
        <v>2011</v>
      </c>
      <c r="E187" s="1" t="str">
        <f t="shared" si="9"/>
        <v>February</v>
      </c>
      <c r="F187" s="1">
        <v>23</v>
      </c>
      <c r="G187" s="1" t="b">
        <f t="shared" si="10"/>
        <v>0</v>
      </c>
      <c r="H187" s="1" t="str">
        <f t="shared" si="11"/>
        <v>Saturday</v>
      </c>
      <c r="I187" s="1">
        <v>1</v>
      </c>
      <c r="J187" s="1">
        <v>0.26</v>
      </c>
      <c r="K187" s="1">
        <v>0.2576</v>
      </c>
      <c r="L187" s="1">
        <v>0.93</v>
      </c>
      <c r="M187" s="1">
        <v>0.22389999999999999</v>
      </c>
      <c r="N187" s="1">
        <v>7</v>
      </c>
      <c r="O187" s="1">
        <v>52</v>
      </c>
      <c r="P187" s="1">
        <v>59</v>
      </c>
    </row>
    <row r="188" spans="1:16" x14ac:dyDescent="0.2">
      <c r="A188" s="1">
        <v>797</v>
      </c>
      <c r="B188" s="2">
        <v>40580</v>
      </c>
      <c r="C188" s="1">
        <v>1</v>
      </c>
      <c r="D188" s="1">
        <f t="shared" si="8"/>
        <v>2011</v>
      </c>
      <c r="E188" s="1" t="str">
        <f t="shared" si="9"/>
        <v>February</v>
      </c>
      <c r="F188" s="1">
        <v>0</v>
      </c>
      <c r="G188" s="1" t="b">
        <f t="shared" si="10"/>
        <v>1</v>
      </c>
      <c r="H188" s="1" t="str">
        <f t="shared" si="11"/>
        <v>Sunday</v>
      </c>
      <c r="I188" s="1">
        <v>1</v>
      </c>
      <c r="J188" s="1">
        <v>0.26</v>
      </c>
      <c r="K188" s="1">
        <v>0.2576</v>
      </c>
      <c r="L188" s="1">
        <v>0.7</v>
      </c>
      <c r="M188" s="1">
        <v>0.19400000000000001</v>
      </c>
      <c r="N188" s="1">
        <v>2</v>
      </c>
      <c r="O188" s="1">
        <v>37</v>
      </c>
      <c r="P188" s="1">
        <v>39</v>
      </c>
    </row>
    <row r="189" spans="1:16" x14ac:dyDescent="0.2">
      <c r="A189" s="1">
        <v>798</v>
      </c>
      <c r="B189" s="2">
        <v>40580</v>
      </c>
      <c r="C189" s="1">
        <v>1</v>
      </c>
      <c r="D189" s="1">
        <f t="shared" si="8"/>
        <v>2011</v>
      </c>
      <c r="E189" s="1" t="str">
        <f t="shared" si="9"/>
        <v>February</v>
      </c>
      <c r="F189" s="1">
        <v>1</v>
      </c>
      <c r="G189" s="1" t="b">
        <f t="shared" si="10"/>
        <v>1</v>
      </c>
      <c r="H189" s="1" t="str">
        <f t="shared" si="11"/>
        <v>Sunday</v>
      </c>
      <c r="I189" s="1">
        <v>1</v>
      </c>
      <c r="J189" s="1">
        <v>0.26</v>
      </c>
      <c r="K189" s="1">
        <v>0.2273</v>
      </c>
      <c r="L189" s="1">
        <v>0.65</v>
      </c>
      <c r="M189" s="1">
        <v>0.41789999999999999</v>
      </c>
      <c r="N189" s="1">
        <v>4</v>
      </c>
      <c r="O189" s="1">
        <v>40</v>
      </c>
      <c r="P189" s="1">
        <v>44</v>
      </c>
    </row>
    <row r="190" spans="1:16" x14ac:dyDescent="0.2">
      <c r="A190" s="1">
        <v>799</v>
      </c>
      <c r="B190" s="2">
        <v>40580</v>
      </c>
      <c r="C190" s="1">
        <v>1</v>
      </c>
      <c r="D190" s="1">
        <f t="shared" si="8"/>
        <v>2011</v>
      </c>
      <c r="E190" s="1" t="str">
        <f t="shared" si="9"/>
        <v>February</v>
      </c>
      <c r="F190" s="1">
        <v>2</v>
      </c>
      <c r="G190" s="1" t="b">
        <f t="shared" si="10"/>
        <v>1</v>
      </c>
      <c r="H190" s="1" t="str">
        <f t="shared" si="11"/>
        <v>Sunday</v>
      </c>
      <c r="I190" s="1">
        <v>1</v>
      </c>
      <c r="J190" s="1">
        <v>0.26</v>
      </c>
      <c r="K190" s="1">
        <v>0.2273</v>
      </c>
      <c r="L190" s="1">
        <v>0.6</v>
      </c>
      <c r="M190" s="1">
        <v>0.32840000000000003</v>
      </c>
      <c r="N190" s="1">
        <v>0</v>
      </c>
      <c r="O190" s="1">
        <v>20</v>
      </c>
      <c r="P190" s="1">
        <v>20</v>
      </c>
    </row>
    <row r="191" spans="1:16" x14ac:dyDescent="0.2">
      <c r="A191" s="1">
        <v>800</v>
      </c>
      <c r="B191" s="2">
        <v>40580</v>
      </c>
      <c r="C191" s="1">
        <v>1</v>
      </c>
      <c r="D191" s="1">
        <f t="shared" si="8"/>
        <v>2011</v>
      </c>
      <c r="E191" s="1" t="str">
        <f t="shared" si="9"/>
        <v>February</v>
      </c>
      <c r="F191" s="1">
        <v>3</v>
      </c>
      <c r="G191" s="1" t="b">
        <f t="shared" si="10"/>
        <v>1</v>
      </c>
      <c r="H191" s="1" t="str">
        <f t="shared" si="11"/>
        <v>Sunday</v>
      </c>
      <c r="I191" s="1">
        <v>1</v>
      </c>
      <c r="J191" s="1">
        <v>0.26</v>
      </c>
      <c r="K191" s="1">
        <v>0.28789999999999999</v>
      </c>
      <c r="L191" s="1">
        <v>0.6</v>
      </c>
      <c r="M191" s="1">
        <v>8.9599999999999999E-2</v>
      </c>
      <c r="N191" s="1">
        <v>3</v>
      </c>
      <c r="O191" s="1">
        <v>10</v>
      </c>
      <c r="P191" s="1">
        <v>13</v>
      </c>
    </row>
    <row r="192" spans="1:16" x14ac:dyDescent="0.2">
      <c r="A192" s="1">
        <v>801</v>
      </c>
      <c r="B192" s="2">
        <v>40580</v>
      </c>
      <c r="C192" s="1">
        <v>1</v>
      </c>
      <c r="D192" s="1">
        <f t="shared" si="8"/>
        <v>2011</v>
      </c>
      <c r="E192" s="1" t="str">
        <f t="shared" si="9"/>
        <v>February</v>
      </c>
      <c r="F192" s="1">
        <v>4</v>
      </c>
      <c r="G192" s="1" t="b">
        <f t="shared" si="10"/>
        <v>1</v>
      </c>
      <c r="H192" s="1" t="str">
        <f t="shared" si="11"/>
        <v>Sunday</v>
      </c>
      <c r="I192" s="1">
        <v>1</v>
      </c>
      <c r="J192" s="1">
        <v>0.26</v>
      </c>
      <c r="K192" s="1">
        <v>0.2273</v>
      </c>
      <c r="L192" s="1">
        <v>0.6</v>
      </c>
      <c r="M192" s="1">
        <v>0.35820000000000002</v>
      </c>
      <c r="N192" s="1">
        <v>0</v>
      </c>
      <c r="O192" s="1">
        <v>2</v>
      </c>
      <c r="P192" s="1">
        <v>2</v>
      </c>
    </row>
    <row r="193" spans="1:16" x14ac:dyDescent="0.2">
      <c r="A193" s="1">
        <v>802</v>
      </c>
      <c r="B193" s="2">
        <v>40580</v>
      </c>
      <c r="C193" s="1">
        <v>1</v>
      </c>
      <c r="D193" s="1">
        <f t="shared" si="8"/>
        <v>2011</v>
      </c>
      <c r="E193" s="1" t="str">
        <f t="shared" si="9"/>
        <v>February</v>
      </c>
      <c r="F193" s="1">
        <v>5</v>
      </c>
      <c r="G193" s="1" t="b">
        <f t="shared" si="10"/>
        <v>1</v>
      </c>
      <c r="H193" s="1" t="str">
        <f t="shared" si="11"/>
        <v>Sunday</v>
      </c>
      <c r="I193" s="1">
        <v>1</v>
      </c>
      <c r="J193" s="1">
        <v>0.26</v>
      </c>
      <c r="K193" s="1">
        <v>0.2576</v>
      </c>
      <c r="L193" s="1">
        <v>0.6</v>
      </c>
      <c r="M193" s="1">
        <v>0.22389999999999999</v>
      </c>
      <c r="N193" s="1">
        <v>0</v>
      </c>
      <c r="O193" s="1">
        <v>1</v>
      </c>
      <c r="P193" s="1">
        <v>1</v>
      </c>
    </row>
    <row r="194" spans="1:16" x14ac:dyDescent="0.2">
      <c r="A194" s="1">
        <v>803</v>
      </c>
      <c r="B194" s="2">
        <v>40580</v>
      </c>
      <c r="C194" s="1">
        <v>1</v>
      </c>
      <c r="D194" s="1">
        <f t="shared" si="8"/>
        <v>2011</v>
      </c>
      <c r="E194" s="1" t="str">
        <f t="shared" si="9"/>
        <v>February</v>
      </c>
      <c r="F194" s="1">
        <v>6</v>
      </c>
      <c r="G194" s="1" t="b">
        <f t="shared" si="10"/>
        <v>1</v>
      </c>
      <c r="H194" s="1" t="str">
        <f t="shared" si="11"/>
        <v>Sunday</v>
      </c>
      <c r="I194" s="1">
        <v>1</v>
      </c>
      <c r="J194" s="1">
        <v>0.26</v>
      </c>
      <c r="K194" s="1">
        <v>0.2576</v>
      </c>
      <c r="L194" s="1">
        <v>0.6</v>
      </c>
      <c r="M194" s="1">
        <v>0.22389999999999999</v>
      </c>
      <c r="N194" s="1">
        <v>0</v>
      </c>
      <c r="O194" s="1">
        <v>1</v>
      </c>
      <c r="P194" s="1">
        <v>1</v>
      </c>
    </row>
    <row r="195" spans="1:16" x14ac:dyDescent="0.2">
      <c r="A195" s="1">
        <v>804</v>
      </c>
      <c r="B195" s="2">
        <v>40580</v>
      </c>
      <c r="C195" s="1">
        <v>1</v>
      </c>
      <c r="D195" s="1">
        <f t="shared" ref="D195:D258" si="12">YEAR(B195)</f>
        <v>2011</v>
      </c>
      <c r="E195" s="1" t="str">
        <f t="shared" ref="E195:E258" si="13">TEXT(B195,"mmmm")</f>
        <v>February</v>
      </c>
      <c r="F195" s="1">
        <v>7</v>
      </c>
      <c r="G195" s="1" t="b">
        <f t="shared" ref="G195:G258" si="14">IF(H195="Sunday",TRUE,FALSE)</f>
        <v>1</v>
      </c>
      <c r="H195" s="1" t="str">
        <f t="shared" ref="H195:H258" si="15">TEXT(B195,"dddd")</f>
        <v>Sunday</v>
      </c>
      <c r="I195" s="1">
        <v>1</v>
      </c>
      <c r="J195" s="1">
        <v>0.24</v>
      </c>
      <c r="K195" s="1">
        <v>0.2424</v>
      </c>
      <c r="L195" s="1">
        <v>0.65</v>
      </c>
      <c r="M195" s="1">
        <v>0.16420000000000001</v>
      </c>
      <c r="N195" s="1">
        <v>0</v>
      </c>
      <c r="O195" s="1">
        <v>8</v>
      </c>
      <c r="P195" s="1">
        <v>8</v>
      </c>
    </row>
    <row r="196" spans="1:16" x14ac:dyDescent="0.2">
      <c r="A196" s="1">
        <v>805</v>
      </c>
      <c r="B196" s="2">
        <v>40580</v>
      </c>
      <c r="C196" s="1">
        <v>1</v>
      </c>
      <c r="D196" s="1">
        <f t="shared" si="12"/>
        <v>2011</v>
      </c>
      <c r="E196" s="1" t="str">
        <f t="shared" si="13"/>
        <v>February</v>
      </c>
      <c r="F196" s="1">
        <v>8</v>
      </c>
      <c r="G196" s="1" t="b">
        <f t="shared" si="14"/>
        <v>1</v>
      </c>
      <c r="H196" s="1" t="str">
        <f t="shared" si="15"/>
        <v>Sunday</v>
      </c>
      <c r="I196" s="1">
        <v>1</v>
      </c>
      <c r="J196" s="1">
        <v>0.24</v>
      </c>
      <c r="K196" s="1">
        <v>0.2576</v>
      </c>
      <c r="L196" s="1">
        <v>0.65</v>
      </c>
      <c r="M196" s="1">
        <v>0.1045</v>
      </c>
      <c r="N196" s="1">
        <v>2</v>
      </c>
      <c r="O196" s="1">
        <v>21</v>
      </c>
      <c r="P196" s="1">
        <v>23</v>
      </c>
    </row>
    <row r="197" spans="1:16" x14ac:dyDescent="0.2">
      <c r="A197" s="1">
        <v>806</v>
      </c>
      <c r="B197" s="2">
        <v>40580</v>
      </c>
      <c r="C197" s="1">
        <v>1</v>
      </c>
      <c r="D197" s="1">
        <f t="shared" si="12"/>
        <v>2011</v>
      </c>
      <c r="E197" s="1" t="str">
        <f t="shared" si="13"/>
        <v>February</v>
      </c>
      <c r="F197" s="1">
        <v>9</v>
      </c>
      <c r="G197" s="1" t="b">
        <f t="shared" si="14"/>
        <v>1</v>
      </c>
      <c r="H197" s="1" t="str">
        <f t="shared" si="15"/>
        <v>Sunday</v>
      </c>
      <c r="I197" s="1">
        <v>1</v>
      </c>
      <c r="J197" s="1">
        <v>0.28000000000000003</v>
      </c>
      <c r="K197" s="1">
        <v>0.28789999999999999</v>
      </c>
      <c r="L197" s="1">
        <v>0.56000000000000005</v>
      </c>
      <c r="M197" s="1">
        <v>0.1045</v>
      </c>
      <c r="N197" s="1">
        <v>7</v>
      </c>
      <c r="O197" s="1">
        <v>38</v>
      </c>
      <c r="P197" s="1">
        <v>45</v>
      </c>
    </row>
    <row r="198" spans="1:16" x14ac:dyDescent="0.2">
      <c r="A198" s="1">
        <v>807</v>
      </c>
      <c r="B198" s="2">
        <v>40580</v>
      </c>
      <c r="C198" s="1">
        <v>1</v>
      </c>
      <c r="D198" s="1">
        <f t="shared" si="12"/>
        <v>2011</v>
      </c>
      <c r="E198" s="1" t="str">
        <f t="shared" si="13"/>
        <v>February</v>
      </c>
      <c r="F198" s="1">
        <v>10</v>
      </c>
      <c r="G198" s="1" t="b">
        <f t="shared" si="14"/>
        <v>1</v>
      </c>
      <c r="H198" s="1" t="str">
        <f t="shared" si="15"/>
        <v>Sunday</v>
      </c>
      <c r="I198" s="1">
        <v>1</v>
      </c>
      <c r="J198" s="1">
        <v>0.3</v>
      </c>
      <c r="K198" s="1">
        <v>0.28789999999999999</v>
      </c>
      <c r="L198" s="1">
        <v>0.52</v>
      </c>
      <c r="M198" s="1">
        <v>0.25369999999999998</v>
      </c>
      <c r="N198" s="1">
        <v>15</v>
      </c>
      <c r="O198" s="1">
        <v>74</v>
      </c>
      <c r="P198" s="1">
        <v>89</v>
      </c>
    </row>
    <row r="199" spans="1:16" x14ac:dyDescent="0.2">
      <c r="A199" s="1">
        <v>808</v>
      </c>
      <c r="B199" s="2">
        <v>40580</v>
      </c>
      <c r="C199" s="1">
        <v>1</v>
      </c>
      <c r="D199" s="1">
        <f t="shared" si="12"/>
        <v>2011</v>
      </c>
      <c r="E199" s="1" t="str">
        <f t="shared" si="13"/>
        <v>February</v>
      </c>
      <c r="F199" s="1">
        <v>11</v>
      </c>
      <c r="G199" s="1" t="b">
        <f t="shared" si="14"/>
        <v>1</v>
      </c>
      <c r="H199" s="1" t="str">
        <f t="shared" si="15"/>
        <v>Sunday</v>
      </c>
      <c r="I199" s="1">
        <v>1</v>
      </c>
      <c r="J199" s="1">
        <v>0.32</v>
      </c>
      <c r="K199" s="1">
        <v>0.30299999999999999</v>
      </c>
      <c r="L199" s="1">
        <v>0.49</v>
      </c>
      <c r="M199" s="1">
        <v>0.25369999999999998</v>
      </c>
      <c r="N199" s="1">
        <v>28</v>
      </c>
      <c r="O199" s="1">
        <v>89</v>
      </c>
      <c r="P199" s="1">
        <v>117</v>
      </c>
    </row>
    <row r="200" spans="1:16" x14ac:dyDescent="0.2">
      <c r="A200" s="1">
        <v>809</v>
      </c>
      <c r="B200" s="2">
        <v>40580</v>
      </c>
      <c r="C200" s="1">
        <v>1</v>
      </c>
      <c r="D200" s="1">
        <f t="shared" si="12"/>
        <v>2011</v>
      </c>
      <c r="E200" s="1" t="str">
        <f t="shared" si="13"/>
        <v>February</v>
      </c>
      <c r="F200" s="1">
        <v>12</v>
      </c>
      <c r="G200" s="1" t="b">
        <f t="shared" si="14"/>
        <v>1</v>
      </c>
      <c r="H200" s="1" t="str">
        <f t="shared" si="15"/>
        <v>Sunday</v>
      </c>
      <c r="I200" s="1">
        <v>1</v>
      </c>
      <c r="J200" s="1">
        <v>0.34</v>
      </c>
      <c r="K200" s="1">
        <v>0.33329999999999999</v>
      </c>
      <c r="L200" s="1">
        <v>0.46</v>
      </c>
      <c r="M200" s="1">
        <v>0</v>
      </c>
      <c r="N200" s="1">
        <v>48</v>
      </c>
      <c r="O200" s="1">
        <v>126</v>
      </c>
      <c r="P200" s="1">
        <v>174</v>
      </c>
    </row>
    <row r="201" spans="1:16" x14ac:dyDescent="0.2">
      <c r="A201" s="1">
        <v>810</v>
      </c>
      <c r="B201" s="2">
        <v>40580</v>
      </c>
      <c r="C201" s="1">
        <v>1</v>
      </c>
      <c r="D201" s="1">
        <f t="shared" si="12"/>
        <v>2011</v>
      </c>
      <c r="E201" s="1" t="str">
        <f t="shared" si="13"/>
        <v>February</v>
      </c>
      <c r="F201" s="1">
        <v>13</v>
      </c>
      <c r="G201" s="1" t="b">
        <f t="shared" si="14"/>
        <v>1</v>
      </c>
      <c r="H201" s="1" t="str">
        <f t="shared" si="15"/>
        <v>Sunday</v>
      </c>
      <c r="I201" s="1">
        <v>1</v>
      </c>
      <c r="J201" s="1">
        <v>0.34</v>
      </c>
      <c r="K201" s="1">
        <v>0.36359999999999998</v>
      </c>
      <c r="L201" s="1">
        <v>0.46</v>
      </c>
      <c r="M201" s="1">
        <v>0</v>
      </c>
      <c r="N201" s="1">
        <v>47</v>
      </c>
      <c r="O201" s="1">
        <v>135</v>
      </c>
      <c r="P201" s="1">
        <v>182</v>
      </c>
    </row>
    <row r="202" spans="1:16" x14ac:dyDescent="0.2">
      <c r="A202" s="1">
        <v>811</v>
      </c>
      <c r="B202" s="2">
        <v>40580</v>
      </c>
      <c r="C202" s="1">
        <v>1</v>
      </c>
      <c r="D202" s="1">
        <f t="shared" si="12"/>
        <v>2011</v>
      </c>
      <c r="E202" s="1" t="str">
        <f t="shared" si="13"/>
        <v>February</v>
      </c>
      <c r="F202" s="1">
        <v>14</v>
      </c>
      <c r="G202" s="1" t="b">
        <f t="shared" si="14"/>
        <v>1</v>
      </c>
      <c r="H202" s="1" t="str">
        <f t="shared" si="15"/>
        <v>Sunday</v>
      </c>
      <c r="I202" s="1">
        <v>1</v>
      </c>
      <c r="J202" s="1">
        <v>0.34</v>
      </c>
      <c r="K202" s="1">
        <v>0.34849999999999998</v>
      </c>
      <c r="L202" s="1">
        <v>0.46</v>
      </c>
      <c r="M202" s="1">
        <v>8.9599999999999999E-2</v>
      </c>
      <c r="N202" s="1">
        <v>47</v>
      </c>
      <c r="O202" s="1">
        <v>114</v>
      </c>
      <c r="P202" s="1">
        <v>161</v>
      </c>
    </row>
    <row r="203" spans="1:16" x14ac:dyDescent="0.2">
      <c r="A203" s="1">
        <v>812</v>
      </c>
      <c r="B203" s="2">
        <v>40580</v>
      </c>
      <c r="C203" s="1">
        <v>1</v>
      </c>
      <c r="D203" s="1">
        <f t="shared" si="12"/>
        <v>2011</v>
      </c>
      <c r="E203" s="1" t="str">
        <f t="shared" si="13"/>
        <v>February</v>
      </c>
      <c r="F203" s="1">
        <v>15</v>
      </c>
      <c r="G203" s="1" t="b">
        <f t="shared" si="14"/>
        <v>1</v>
      </c>
      <c r="H203" s="1" t="str">
        <f t="shared" si="15"/>
        <v>Sunday</v>
      </c>
      <c r="I203" s="1">
        <v>1</v>
      </c>
      <c r="J203" s="1">
        <v>0.34</v>
      </c>
      <c r="K203" s="1">
        <v>0.34849999999999998</v>
      </c>
      <c r="L203" s="1">
        <v>0.46</v>
      </c>
      <c r="M203" s="1">
        <v>8.9599999999999999E-2</v>
      </c>
      <c r="N203" s="1">
        <v>52</v>
      </c>
      <c r="O203" s="1">
        <v>130</v>
      </c>
      <c r="P203" s="1">
        <v>182</v>
      </c>
    </row>
    <row r="204" spans="1:16" x14ac:dyDescent="0.2">
      <c r="A204" s="1">
        <v>813</v>
      </c>
      <c r="B204" s="2">
        <v>40580</v>
      </c>
      <c r="C204" s="1">
        <v>1</v>
      </c>
      <c r="D204" s="1">
        <f t="shared" si="12"/>
        <v>2011</v>
      </c>
      <c r="E204" s="1" t="str">
        <f t="shared" si="13"/>
        <v>February</v>
      </c>
      <c r="F204" s="1">
        <v>16</v>
      </c>
      <c r="G204" s="1" t="b">
        <f t="shared" si="14"/>
        <v>1</v>
      </c>
      <c r="H204" s="1" t="str">
        <f t="shared" si="15"/>
        <v>Sunday</v>
      </c>
      <c r="I204" s="1">
        <v>1</v>
      </c>
      <c r="J204" s="1">
        <v>0.34</v>
      </c>
      <c r="K204" s="1">
        <v>0.34849999999999998</v>
      </c>
      <c r="L204" s="1">
        <v>0.49</v>
      </c>
      <c r="M204" s="1">
        <v>0.1045</v>
      </c>
      <c r="N204" s="1">
        <v>42</v>
      </c>
      <c r="O204" s="1">
        <v>115</v>
      </c>
      <c r="P204" s="1">
        <v>157</v>
      </c>
    </row>
    <row r="205" spans="1:16" x14ac:dyDescent="0.2">
      <c r="A205" s="1">
        <v>814</v>
      </c>
      <c r="B205" s="2">
        <v>40580</v>
      </c>
      <c r="C205" s="1">
        <v>1</v>
      </c>
      <c r="D205" s="1">
        <f t="shared" si="12"/>
        <v>2011</v>
      </c>
      <c r="E205" s="1" t="str">
        <f t="shared" si="13"/>
        <v>February</v>
      </c>
      <c r="F205" s="1">
        <v>17</v>
      </c>
      <c r="G205" s="1" t="b">
        <f t="shared" si="14"/>
        <v>1</v>
      </c>
      <c r="H205" s="1" t="str">
        <f t="shared" si="15"/>
        <v>Sunday</v>
      </c>
      <c r="I205" s="1">
        <v>1</v>
      </c>
      <c r="J205" s="1">
        <v>0.34</v>
      </c>
      <c r="K205" s="1">
        <v>0.36359999999999998</v>
      </c>
      <c r="L205" s="1">
        <v>0.46</v>
      </c>
      <c r="M205" s="1">
        <v>0</v>
      </c>
      <c r="N205" s="1">
        <v>24</v>
      </c>
      <c r="O205" s="1">
        <v>97</v>
      </c>
      <c r="P205" s="1">
        <v>121</v>
      </c>
    </row>
    <row r="206" spans="1:16" x14ac:dyDescent="0.2">
      <c r="A206" s="1">
        <v>815</v>
      </c>
      <c r="B206" s="2">
        <v>40580</v>
      </c>
      <c r="C206" s="1">
        <v>1</v>
      </c>
      <c r="D206" s="1">
        <f t="shared" si="12"/>
        <v>2011</v>
      </c>
      <c r="E206" s="1" t="str">
        <f t="shared" si="13"/>
        <v>February</v>
      </c>
      <c r="F206" s="1">
        <v>18</v>
      </c>
      <c r="G206" s="1" t="b">
        <f t="shared" si="14"/>
        <v>1</v>
      </c>
      <c r="H206" s="1" t="str">
        <f t="shared" si="15"/>
        <v>Sunday</v>
      </c>
      <c r="I206" s="1">
        <v>1</v>
      </c>
      <c r="J206" s="1">
        <v>0.3</v>
      </c>
      <c r="K206" s="1">
        <v>0.30299999999999999</v>
      </c>
      <c r="L206" s="1">
        <v>0.56000000000000005</v>
      </c>
      <c r="M206" s="1">
        <v>0.16420000000000001</v>
      </c>
      <c r="N206" s="1">
        <v>13</v>
      </c>
      <c r="O206" s="1">
        <v>65</v>
      </c>
      <c r="P206" s="1">
        <v>78</v>
      </c>
    </row>
    <row r="207" spans="1:16" x14ac:dyDescent="0.2">
      <c r="A207" s="1">
        <v>816</v>
      </c>
      <c r="B207" s="2">
        <v>40580</v>
      </c>
      <c r="C207" s="1">
        <v>1</v>
      </c>
      <c r="D207" s="1">
        <f t="shared" si="12"/>
        <v>2011</v>
      </c>
      <c r="E207" s="1" t="str">
        <f t="shared" si="13"/>
        <v>February</v>
      </c>
      <c r="F207" s="1">
        <v>19</v>
      </c>
      <c r="G207" s="1" t="b">
        <f t="shared" si="14"/>
        <v>1</v>
      </c>
      <c r="H207" s="1" t="str">
        <f t="shared" si="15"/>
        <v>Sunday</v>
      </c>
      <c r="I207" s="1">
        <v>1</v>
      </c>
      <c r="J207" s="1">
        <v>0.28000000000000003</v>
      </c>
      <c r="K207" s="1">
        <v>0.28789999999999999</v>
      </c>
      <c r="L207" s="1">
        <v>0.61</v>
      </c>
      <c r="M207" s="1">
        <v>0.1343</v>
      </c>
      <c r="N207" s="1">
        <v>1</v>
      </c>
      <c r="O207" s="1">
        <v>20</v>
      </c>
      <c r="P207" s="1">
        <v>21</v>
      </c>
    </row>
    <row r="208" spans="1:16" x14ac:dyDescent="0.2">
      <c r="A208" s="1">
        <v>817</v>
      </c>
      <c r="B208" s="2">
        <v>40580</v>
      </c>
      <c r="C208" s="1">
        <v>1</v>
      </c>
      <c r="D208" s="1">
        <f t="shared" si="12"/>
        <v>2011</v>
      </c>
      <c r="E208" s="1" t="str">
        <f t="shared" si="13"/>
        <v>February</v>
      </c>
      <c r="F208" s="1">
        <v>20</v>
      </c>
      <c r="G208" s="1" t="b">
        <f t="shared" si="14"/>
        <v>1</v>
      </c>
      <c r="H208" s="1" t="str">
        <f t="shared" si="15"/>
        <v>Sunday</v>
      </c>
      <c r="I208" s="1">
        <v>1</v>
      </c>
      <c r="J208" s="1">
        <v>0.28000000000000003</v>
      </c>
      <c r="K208" s="1">
        <v>0.28789999999999999</v>
      </c>
      <c r="L208" s="1">
        <v>0.61</v>
      </c>
      <c r="M208" s="1">
        <v>0.1045</v>
      </c>
      <c r="N208" s="1">
        <v>5</v>
      </c>
      <c r="O208" s="1">
        <v>21</v>
      </c>
      <c r="P208" s="1">
        <v>26</v>
      </c>
    </row>
    <row r="209" spans="1:16" x14ac:dyDescent="0.2">
      <c r="A209" s="1">
        <v>818</v>
      </c>
      <c r="B209" s="2">
        <v>40580</v>
      </c>
      <c r="C209" s="1">
        <v>1</v>
      </c>
      <c r="D209" s="1">
        <f t="shared" si="12"/>
        <v>2011</v>
      </c>
      <c r="E209" s="1" t="str">
        <f t="shared" si="13"/>
        <v>February</v>
      </c>
      <c r="F209" s="1">
        <v>21</v>
      </c>
      <c r="G209" s="1" t="b">
        <f t="shared" si="14"/>
        <v>1</v>
      </c>
      <c r="H209" s="1" t="str">
        <f t="shared" si="15"/>
        <v>Sunday</v>
      </c>
      <c r="I209" s="1">
        <v>1</v>
      </c>
      <c r="J209" s="1">
        <v>0.26</v>
      </c>
      <c r="K209" s="1">
        <v>0.30299999999999999</v>
      </c>
      <c r="L209" s="1">
        <v>0.6</v>
      </c>
      <c r="M209" s="1">
        <v>0</v>
      </c>
      <c r="N209" s="1">
        <v>5</v>
      </c>
      <c r="O209" s="1">
        <v>22</v>
      </c>
      <c r="P209" s="1">
        <v>27</v>
      </c>
    </row>
    <row r="210" spans="1:16" x14ac:dyDescent="0.2">
      <c r="A210" s="1">
        <v>819</v>
      </c>
      <c r="B210" s="2">
        <v>40580</v>
      </c>
      <c r="C210" s="1">
        <v>1</v>
      </c>
      <c r="D210" s="1">
        <f t="shared" si="12"/>
        <v>2011</v>
      </c>
      <c r="E210" s="1" t="str">
        <f t="shared" si="13"/>
        <v>February</v>
      </c>
      <c r="F210" s="1">
        <v>22</v>
      </c>
      <c r="G210" s="1" t="b">
        <f t="shared" si="14"/>
        <v>1</v>
      </c>
      <c r="H210" s="1" t="str">
        <f t="shared" si="15"/>
        <v>Sunday</v>
      </c>
      <c r="I210" s="1">
        <v>1</v>
      </c>
      <c r="J210" s="1">
        <v>0.26</v>
      </c>
      <c r="K210" s="1">
        <v>0.30299999999999999</v>
      </c>
      <c r="L210" s="1">
        <v>0.6</v>
      </c>
      <c r="M210" s="1">
        <v>0</v>
      </c>
      <c r="N210" s="1">
        <v>5</v>
      </c>
      <c r="O210" s="1">
        <v>57</v>
      </c>
      <c r="P210" s="1">
        <v>62</v>
      </c>
    </row>
    <row r="211" spans="1:16" x14ac:dyDescent="0.2">
      <c r="A211" s="1">
        <v>820</v>
      </c>
      <c r="B211" s="2">
        <v>40580</v>
      </c>
      <c r="C211" s="1">
        <v>1</v>
      </c>
      <c r="D211" s="1">
        <f t="shared" si="12"/>
        <v>2011</v>
      </c>
      <c r="E211" s="1" t="str">
        <f t="shared" si="13"/>
        <v>February</v>
      </c>
      <c r="F211" s="1">
        <v>23</v>
      </c>
      <c r="G211" s="1" t="b">
        <f t="shared" si="14"/>
        <v>1</v>
      </c>
      <c r="H211" s="1" t="str">
        <f t="shared" si="15"/>
        <v>Sunday</v>
      </c>
      <c r="I211" s="1">
        <v>1</v>
      </c>
      <c r="J211" s="1">
        <v>0.24</v>
      </c>
      <c r="K211" s="1">
        <v>0.28789999999999999</v>
      </c>
      <c r="L211" s="1">
        <v>0.65</v>
      </c>
      <c r="M211" s="1">
        <v>0</v>
      </c>
      <c r="N211" s="1">
        <v>4</v>
      </c>
      <c r="O211" s="1">
        <v>26</v>
      </c>
      <c r="P211" s="1">
        <v>30</v>
      </c>
    </row>
    <row r="212" spans="1:16" x14ac:dyDescent="0.2">
      <c r="A212" s="1">
        <v>821</v>
      </c>
      <c r="B212" s="2">
        <v>40581</v>
      </c>
      <c r="C212" s="1">
        <v>1</v>
      </c>
      <c r="D212" s="1">
        <f t="shared" si="12"/>
        <v>2011</v>
      </c>
      <c r="E212" s="1" t="str">
        <f t="shared" si="13"/>
        <v>February</v>
      </c>
      <c r="F212" s="1">
        <v>0</v>
      </c>
      <c r="G212" s="1" t="b">
        <f t="shared" si="14"/>
        <v>0</v>
      </c>
      <c r="H212" s="1" t="str">
        <f t="shared" si="15"/>
        <v>Monday</v>
      </c>
      <c r="I212" s="1">
        <v>1</v>
      </c>
      <c r="J212" s="1">
        <v>0.24</v>
      </c>
      <c r="K212" s="1">
        <v>0.28789999999999999</v>
      </c>
      <c r="L212" s="1">
        <v>0.65</v>
      </c>
      <c r="M212" s="1">
        <v>0</v>
      </c>
      <c r="N212" s="1">
        <v>1</v>
      </c>
      <c r="O212" s="1">
        <v>14</v>
      </c>
      <c r="P212" s="1">
        <v>15</v>
      </c>
    </row>
    <row r="213" spans="1:16" x14ac:dyDescent="0.2">
      <c r="A213" s="1">
        <v>822</v>
      </c>
      <c r="B213" s="2">
        <v>40581</v>
      </c>
      <c r="C213" s="1">
        <v>1</v>
      </c>
      <c r="D213" s="1">
        <f t="shared" si="12"/>
        <v>2011</v>
      </c>
      <c r="E213" s="1" t="str">
        <f t="shared" si="13"/>
        <v>February</v>
      </c>
      <c r="F213" s="1">
        <v>1</v>
      </c>
      <c r="G213" s="1" t="b">
        <f t="shared" si="14"/>
        <v>0</v>
      </c>
      <c r="H213" s="1" t="str">
        <f t="shared" si="15"/>
        <v>Monday</v>
      </c>
      <c r="I213" s="1">
        <v>1</v>
      </c>
      <c r="J213" s="1">
        <v>0.22</v>
      </c>
      <c r="K213" s="1">
        <v>0.2727</v>
      </c>
      <c r="L213" s="1">
        <v>0.75</v>
      </c>
      <c r="M213" s="1">
        <v>0</v>
      </c>
      <c r="N213" s="1">
        <v>1</v>
      </c>
      <c r="O213" s="1">
        <v>4</v>
      </c>
      <c r="P213" s="1">
        <v>5</v>
      </c>
    </row>
    <row r="214" spans="1:16" x14ac:dyDescent="0.2">
      <c r="A214" s="1">
        <v>823</v>
      </c>
      <c r="B214" s="2">
        <v>40581</v>
      </c>
      <c r="C214" s="1">
        <v>1</v>
      </c>
      <c r="D214" s="1">
        <f t="shared" si="12"/>
        <v>2011</v>
      </c>
      <c r="E214" s="1" t="str">
        <f t="shared" si="13"/>
        <v>February</v>
      </c>
      <c r="F214" s="1">
        <v>2</v>
      </c>
      <c r="G214" s="1" t="b">
        <f t="shared" si="14"/>
        <v>0</v>
      </c>
      <c r="H214" s="1" t="str">
        <f t="shared" si="15"/>
        <v>Monday</v>
      </c>
      <c r="I214" s="1">
        <v>1</v>
      </c>
      <c r="J214" s="1">
        <v>0.2</v>
      </c>
      <c r="K214" s="1">
        <v>0.2576</v>
      </c>
      <c r="L214" s="1">
        <v>0.8</v>
      </c>
      <c r="M214" s="1">
        <v>0</v>
      </c>
      <c r="N214" s="1">
        <v>0</v>
      </c>
      <c r="O214" s="1">
        <v>3</v>
      </c>
      <c r="P214" s="1">
        <v>3</v>
      </c>
    </row>
    <row r="215" spans="1:16" x14ac:dyDescent="0.2">
      <c r="A215" s="1">
        <v>824</v>
      </c>
      <c r="B215" s="2">
        <v>40581</v>
      </c>
      <c r="C215" s="1">
        <v>1</v>
      </c>
      <c r="D215" s="1">
        <f t="shared" si="12"/>
        <v>2011</v>
      </c>
      <c r="E215" s="1" t="str">
        <f t="shared" si="13"/>
        <v>February</v>
      </c>
      <c r="F215" s="1">
        <v>3</v>
      </c>
      <c r="G215" s="1" t="b">
        <f t="shared" si="14"/>
        <v>0</v>
      </c>
      <c r="H215" s="1" t="str">
        <f t="shared" si="15"/>
        <v>Monday</v>
      </c>
      <c r="I215" s="1">
        <v>1</v>
      </c>
      <c r="J215" s="1">
        <v>0.2</v>
      </c>
      <c r="K215" s="1">
        <v>0.2576</v>
      </c>
      <c r="L215" s="1">
        <v>0.86</v>
      </c>
      <c r="M215" s="1">
        <v>0</v>
      </c>
      <c r="N215" s="1">
        <v>0</v>
      </c>
      <c r="O215" s="1">
        <v>1</v>
      </c>
      <c r="P215" s="1">
        <v>1</v>
      </c>
    </row>
    <row r="216" spans="1:16" x14ac:dyDescent="0.2">
      <c r="A216" s="1">
        <v>825</v>
      </c>
      <c r="B216" s="2">
        <v>40581</v>
      </c>
      <c r="C216" s="1">
        <v>1</v>
      </c>
      <c r="D216" s="1">
        <f t="shared" si="12"/>
        <v>2011</v>
      </c>
      <c r="E216" s="1" t="str">
        <f t="shared" si="13"/>
        <v>February</v>
      </c>
      <c r="F216" s="1">
        <v>4</v>
      </c>
      <c r="G216" s="1" t="b">
        <f t="shared" si="14"/>
        <v>0</v>
      </c>
      <c r="H216" s="1" t="str">
        <f t="shared" si="15"/>
        <v>Monday</v>
      </c>
      <c r="I216" s="1">
        <v>1</v>
      </c>
      <c r="J216" s="1">
        <v>0.2</v>
      </c>
      <c r="K216" s="1">
        <v>0.2576</v>
      </c>
      <c r="L216" s="1">
        <v>0.86</v>
      </c>
      <c r="M216" s="1">
        <v>0</v>
      </c>
      <c r="N216" s="1">
        <v>1</v>
      </c>
      <c r="O216" s="1">
        <v>1</v>
      </c>
      <c r="P216" s="1">
        <v>2</v>
      </c>
    </row>
    <row r="217" spans="1:16" x14ac:dyDescent="0.2">
      <c r="A217" s="1">
        <v>826</v>
      </c>
      <c r="B217" s="2">
        <v>40581</v>
      </c>
      <c r="C217" s="1">
        <v>1</v>
      </c>
      <c r="D217" s="1">
        <f t="shared" si="12"/>
        <v>2011</v>
      </c>
      <c r="E217" s="1" t="str">
        <f t="shared" si="13"/>
        <v>February</v>
      </c>
      <c r="F217" s="1">
        <v>5</v>
      </c>
      <c r="G217" s="1" t="b">
        <f t="shared" si="14"/>
        <v>0</v>
      </c>
      <c r="H217" s="1" t="str">
        <f t="shared" si="15"/>
        <v>Monday</v>
      </c>
      <c r="I217" s="1">
        <v>1</v>
      </c>
      <c r="J217" s="1">
        <v>0.2</v>
      </c>
      <c r="K217" s="1">
        <v>0.2576</v>
      </c>
      <c r="L217" s="1">
        <v>0.86</v>
      </c>
      <c r="M217" s="1">
        <v>0</v>
      </c>
      <c r="N217" s="1">
        <v>1</v>
      </c>
      <c r="O217" s="1">
        <v>9</v>
      </c>
      <c r="P217" s="1">
        <v>10</v>
      </c>
    </row>
    <row r="218" spans="1:16" x14ac:dyDescent="0.2">
      <c r="A218" s="1">
        <v>827</v>
      </c>
      <c r="B218" s="2">
        <v>40581</v>
      </c>
      <c r="C218" s="1">
        <v>1</v>
      </c>
      <c r="D218" s="1">
        <f t="shared" si="12"/>
        <v>2011</v>
      </c>
      <c r="E218" s="1" t="str">
        <f t="shared" si="13"/>
        <v>February</v>
      </c>
      <c r="F218" s="1">
        <v>6</v>
      </c>
      <c r="G218" s="1" t="b">
        <f t="shared" si="14"/>
        <v>0</v>
      </c>
      <c r="H218" s="1" t="str">
        <f t="shared" si="15"/>
        <v>Monday</v>
      </c>
      <c r="I218" s="1">
        <v>1</v>
      </c>
      <c r="J218" s="1">
        <v>0.18</v>
      </c>
      <c r="K218" s="1">
        <v>0.2424</v>
      </c>
      <c r="L218" s="1">
        <v>0.93</v>
      </c>
      <c r="M218" s="1">
        <v>0</v>
      </c>
      <c r="N218" s="1">
        <v>1</v>
      </c>
      <c r="O218" s="1">
        <v>29</v>
      </c>
      <c r="P218" s="1">
        <v>30</v>
      </c>
    </row>
    <row r="219" spans="1:16" x14ac:dyDescent="0.2">
      <c r="A219" s="1">
        <v>828</v>
      </c>
      <c r="B219" s="2">
        <v>40581</v>
      </c>
      <c r="C219" s="1">
        <v>1</v>
      </c>
      <c r="D219" s="1">
        <f t="shared" si="12"/>
        <v>2011</v>
      </c>
      <c r="E219" s="1" t="str">
        <f t="shared" si="13"/>
        <v>February</v>
      </c>
      <c r="F219" s="1">
        <v>7</v>
      </c>
      <c r="G219" s="1" t="b">
        <f t="shared" si="14"/>
        <v>0</v>
      </c>
      <c r="H219" s="1" t="str">
        <f t="shared" si="15"/>
        <v>Monday</v>
      </c>
      <c r="I219" s="1">
        <v>1</v>
      </c>
      <c r="J219" s="1">
        <v>0.18</v>
      </c>
      <c r="K219" s="1">
        <v>0.2424</v>
      </c>
      <c r="L219" s="1">
        <v>0.86</v>
      </c>
      <c r="M219" s="1">
        <v>0</v>
      </c>
      <c r="N219" s="1">
        <v>6</v>
      </c>
      <c r="O219" s="1">
        <v>89</v>
      </c>
      <c r="P219" s="1">
        <v>95</v>
      </c>
    </row>
    <row r="220" spans="1:16" x14ac:dyDescent="0.2">
      <c r="A220" s="1">
        <v>829</v>
      </c>
      <c r="B220" s="2">
        <v>40581</v>
      </c>
      <c r="C220" s="1">
        <v>1</v>
      </c>
      <c r="D220" s="1">
        <f t="shared" si="12"/>
        <v>2011</v>
      </c>
      <c r="E220" s="1" t="str">
        <f t="shared" si="13"/>
        <v>February</v>
      </c>
      <c r="F220" s="1">
        <v>8</v>
      </c>
      <c r="G220" s="1" t="b">
        <f t="shared" si="14"/>
        <v>0</v>
      </c>
      <c r="H220" s="1" t="str">
        <f t="shared" si="15"/>
        <v>Monday</v>
      </c>
      <c r="I220" s="1">
        <v>2</v>
      </c>
      <c r="J220" s="1">
        <v>0.16</v>
      </c>
      <c r="K220" s="1">
        <v>0.2273</v>
      </c>
      <c r="L220" s="1">
        <v>1</v>
      </c>
      <c r="M220" s="1">
        <v>0</v>
      </c>
      <c r="N220" s="1">
        <v>7</v>
      </c>
      <c r="O220" s="1">
        <v>223</v>
      </c>
      <c r="P220" s="1">
        <v>230</v>
      </c>
    </row>
    <row r="221" spans="1:16" x14ac:dyDescent="0.2">
      <c r="A221" s="1">
        <v>830</v>
      </c>
      <c r="B221" s="2">
        <v>40581</v>
      </c>
      <c r="C221" s="1">
        <v>1</v>
      </c>
      <c r="D221" s="1">
        <f t="shared" si="12"/>
        <v>2011</v>
      </c>
      <c r="E221" s="1" t="str">
        <f t="shared" si="13"/>
        <v>February</v>
      </c>
      <c r="F221" s="1">
        <v>9</v>
      </c>
      <c r="G221" s="1" t="b">
        <f t="shared" si="14"/>
        <v>0</v>
      </c>
      <c r="H221" s="1" t="str">
        <f t="shared" si="15"/>
        <v>Monday</v>
      </c>
      <c r="I221" s="1">
        <v>1</v>
      </c>
      <c r="J221" s="1">
        <v>0.22</v>
      </c>
      <c r="K221" s="1">
        <v>0.2727</v>
      </c>
      <c r="L221" s="1">
        <v>0.8</v>
      </c>
      <c r="M221" s="1">
        <v>0</v>
      </c>
      <c r="N221" s="1">
        <v>3</v>
      </c>
      <c r="O221" s="1">
        <v>115</v>
      </c>
      <c r="P221" s="1">
        <v>118</v>
      </c>
    </row>
    <row r="222" spans="1:16" x14ac:dyDescent="0.2">
      <c r="A222" s="1">
        <v>831</v>
      </c>
      <c r="B222" s="2">
        <v>40581</v>
      </c>
      <c r="C222" s="1">
        <v>1</v>
      </c>
      <c r="D222" s="1">
        <f t="shared" si="12"/>
        <v>2011</v>
      </c>
      <c r="E222" s="1" t="str">
        <f t="shared" si="13"/>
        <v>February</v>
      </c>
      <c r="F222" s="1">
        <v>10</v>
      </c>
      <c r="G222" s="1" t="b">
        <f t="shared" si="14"/>
        <v>0</v>
      </c>
      <c r="H222" s="1" t="str">
        <f t="shared" si="15"/>
        <v>Monday</v>
      </c>
      <c r="I222" s="1">
        <v>1</v>
      </c>
      <c r="J222" s="1">
        <v>0.24</v>
      </c>
      <c r="K222" s="1">
        <v>0.2576</v>
      </c>
      <c r="L222" s="1">
        <v>0.75</v>
      </c>
      <c r="M222" s="1">
        <v>0.1045</v>
      </c>
      <c r="N222" s="1">
        <v>6</v>
      </c>
      <c r="O222" s="1">
        <v>49</v>
      </c>
      <c r="P222" s="1">
        <v>55</v>
      </c>
    </row>
    <row r="223" spans="1:16" x14ac:dyDescent="0.2">
      <c r="A223" s="1">
        <v>832</v>
      </c>
      <c r="B223" s="2">
        <v>40581</v>
      </c>
      <c r="C223" s="1">
        <v>1</v>
      </c>
      <c r="D223" s="1">
        <f t="shared" si="12"/>
        <v>2011</v>
      </c>
      <c r="E223" s="1" t="str">
        <f t="shared" si="13"/>
        <v>February</v>
      </c>
      <c r="F223" s="1">
        <v>11</v>
      </c>
      <c r="G223" s="1" t="b">
        <f t="shared" si="14"/>
        <v>0</v>
      </c>
      <c r="H223" s="1" t="str">
        <f t="shared" si="15"/>
        <v>Monday</v>
      </c>
      <c r="I223" s="1">
        <v>1</v>
      </c>
      <c r="J223" s="1">
        <v>0.3</v>
      </c>
      <c r="K223" s="1">
        <v>0.31819999999999998</v>
      </c>
      <c r="L223" s="1">
        <v>0.65</v>
      </c>
      <c r="M223" s="1">
        <v>8.9599999999999999E-2</v>
      </c>
      <c r="N223" s="1">
        <v>11</v>
      </c>
      <c r="O223" s="1">
        <v>36</v>
      </c>
      <c r="P223" s="1">
        <v>47</v>
      </c>
    </row>
    <row r="224" spans="1:16" x14ac:dyDescent="0.2">
      <c r="A224" s="1">
        <v>833</v>
      </c>
      <c r="B224" s="2">
        <v>40581</v>
      </c>
      <c r="C224" s="1">
        <v>1</v>
      </c>
      <c r="D224" s="1">
        <f t="shared" si="12"/>
        <v>2011</v>
      </c>
      <c r="E224" s="1" t="str">
        <f t="shared" si="13"/>
        <v>February</v>
      </c>
      <c r="F224" s="1">
        <v>12</v>
      </c>
      <c r="G224" s="1" t="b">
        <f t="shared" si="14"/>
        <v>0</v>
      </c>
      <c r="H224" s="1" t="str">
        <f t="shared" si="15"/>
        <v>Monday</v>
      </c>
      <c r="I224" s="1">
        <v>2</v>
      </c>
      <c r="J224" s="1">
        <v>0.32</v>
      </c>
      <c r="K224" s="1">
        <v>0.34849999999999998</v>
      </c>
      <c r="L224" s="1">
        <v>0.62</v>
      </c>
      <c r="M224" s="1">
        <v>0</v>
      </c>
      <c r="N224" s="1">
        <v>7</v>
      </c>
      <c r="O224" s="1">
        <v>59</v>
      </c>
      <c r="P224" s="1">
        <v>66</v>
      </c>
    </row>
    <row r="225" spans="1:16" x14ac:dyDescent="0.2">
      <c r="A225" s="1">
        <v>834</v>
      </c>
      <c r="B225" s="2">
        <v>40581</v>
      </c>
      <c r="C225" s="1">
        <v>1</v>
      </c>
      <c r="D225" s="1">
        <f t="shared" si="12"/>
        <v>2011</v>
      </c>
      <c r="E225" s="1" t="str">
        <f t="shared" si="13"/>
        <v>February</v>
      </c>
      <c r="F225" s="1">
        <v>13</v>
      </c>
      <c r="G225" s="1" t="b">
        <f t="shared" si="14"/>
        <v>0</v>
      </c>
      <c r="H225" s="1" t="str">
        <f t="shared" si="15"/>
        <v>Monday</v>
      </c>
      <c r="I225" s="1">
        <v>2</v>
      </c>
      <c r="J225" s="1">
        <v>0.36</v>
      </c>
      <c r="K225" s="1">
        <v>0.36359999999999998</v>
      </c>
      <c r="L225" s="1">
        <v>0.56999999999999995</v>
      </c>
      <c r="M225" s="1">
        <v>8.9599999999999999E-2</v>
      </c>
      <c r="N225" s="1">
        <v>10</v>
      </c>
      <c r="O225" s="1">
        <v>54</v>
      </c>
      <c r="P225" s="1">
        <v>64</v>
      </c>
    </row>
    <row r="226" spans="1:16" x14ac:dyDescent="0.2">
      <c r="A226" s="1">
        <v>835</v>
      </c>
      <c r="B226" s="2">
        <v>40581</v>
      </c>
      <c r="C226" s="1">
        <v>1</v>
      </c>
      <c r="D226" s="1">
        <f t="shared" si="12"/>
        <v>2011</v>
      </c>
      <c r="E226" s="1" t="str">
        <f t="shared" si="13"/>
        <v>February</v>
      </c>
      <c r="F226" s="1">
        <v>14</v>
      </c>
      <c r="G226" s="1" t="b">
        <f t="shared" si="14"/>
        <v>0</v>
      </c>
      <c r="H226" s="1" t="str">
        <f t="shared" si="15"/>
        <v>Monday</v>
      </c>
      <c r="I226" s="1">
        <v>2</v>
      </c>
      <c r="J226" s="1">
        <v>0.36</v>
      </c>
      <c r="K226" s="1">
        <v>0.36359999999999998</v>
      </c>
      <c r="L226" s="1">
        <v>0.56999999999999995</v>
      </c>
      <c r="M226" s="1">
        <v>8.9599999999999999E-2</v>
      </c>
      <c r="N226" s="1">
        <v>8</v>
      </c>
      <c r="O226" s="1">
        <v>52</v>
      </c>
      <c r="P226" s="1">
        <v>60</v>
      </c>
    </row>
    <row r="227" spans="1:16" x14ac:dyDescent="0.2">
      <c r="A227" s="1">
        <v>836</v>
      </c>
      <c r="B227" s="2">
        <v>40581</v>
      </c>
      <c r="C227" s="1">
        <v>1</v>
      </c>
      <c r="D227" s="1">
        <f t="shared" si="12"/>
        <v>2011</v>
      </c>
      <c r="E227" s="1" t="str">
        <f t="shared" si="13"/>
        <v>February</v>
      </c>
      <c r="F227" s="1">
        <v>15</v>
      </c>
      <c r="G227" s="1" t="b">
        <f t="shared" si="14"/>
        <v>0</v>
      </c>
      <c r="H227" s="1" t="str">
        <f t="shared" si="15"/>
        <v>Monday</v>
      </c>
      <c r="I227" s="1">
        <v>2</v>
      </c>
      <c r="J227" s="1">
        <v>0.38</v>
      </c>
      <c r="K227" s="1">
        <v>0.39389999999999997</v>
      </c>
      <c r="L227" s="1">
        <v>0.54</v>
      </c>
      <c r="M227" s="1">
        <v>8.9599999999999999E-2</v>
      </c>
      <c r="N227" s="1">
        <v>4</v>
      </c>
      <c r="O227" s="1">
        <v>46</v>
      </c>
      <c r="P227" s="1">
        <v>50</v>
      </c>
    </row>
    <row r="228" spans="1:16" x14ac:dyDescent="0.2">
      <c r="A228" s="1">
        <v>837</v>
      </c>
      <c r="B228" s="2">
        <v>40581</v>
      </c>
      <c r="C228" s="1">
        <v>1</v>
      </c>
      <c r="D228" s="1">
        <f t="shared" si="12"/>
        <v>2011</v>
      </c>
      <c r="E228" s="1" t="str">
        <f t="shared" si="13"/>
        <v>February</v>
      </c>
      <c r="F228" s="1">
        <v>16</v>
      </c>
      <c r="G228" s="1" t="b">
        <f t="shared" si="14"/>
        <v>0</v>
      </c>
      <c r="H228" s="1" t="str">
        <f t="shared" si="15"/>
        <v>Monday</v>
      </c>
      <c r="I228" s="1">
        <v>2</v>
      </c>
      <c r="J228" s="1">
        <v>0.36</v>
      </c>
      <c r="K228" s="1">
        <v>0.34849999999999998</v>
      </c>
      <c r="L228" s="1">
        <v>0.56999999999999995</v>
      </c>
      <c r="M228" s="1">
        <v>0.1343</v>
      </c>
      <c r="N228" s="1">
        <v>16</v>
      </c>
      <c r="O228" s="1">
        <v>98</v>
      </c>
      <c r="P228" s="1">
        <v>114</v>
      </c>
    </row>
    <row r="229" spans="1:16" x14ac:dyDescent="0.2">
      <c r="A229" s="1">
        <v>838</v>
      </c>
      <c r="B229" s="2">
        <v>40581</v>
      </c>
      <c r="C229" s="1">
        <v>1</v>
      </c>
      <c r="D229" s="1">
        <f t="shared" si="12"/>
        <v>2011</v>
      </c>
      <c r="E229" s="1" t="str">
        <f t="shared" si="13"/>
        <v>February</v>
      </c>
      <c r="F229" s="1">
        <v>17</v>
      </c>
      <c r="G229" s="1" t="b">
        <f t="shared" si="14"/>
        <v>0</v>
      </c>
      <c r="H229" s="1" t="str">
        <f t="shared" si="15"/>
        <v>Monday</v>
      </c>
      <c r="I229" s="1">
        <v>2</v>
      </c>
      <c r="J229" s="1">
        <v>0.32</v>
      </c>
      <c r="K229" s="1">
        <v>0.31819999999999998</v>
      </c>
      <c r="L229" s="1">
        <v>0.7</v>
      </c>
      <c r="M229" s="1">
        <v>0.16420000000000001</v>
      </c>
      <c r="N229" s="1">
        <v>9</v>
      </c>
      <c r="O229" s="1">
        <v>207</v>
      </c>
      <c r="P229" s="1">
        <v>216</v>
      </c>
    </row>
    <row r="230" spans="1:16" x14ac:dyDescent="0.2">
      <c r="A230" s="1">
        <v>839</v>
      </c>
      <c r="B230" s="2">
        <v>40581</v>
      </c>
      <c r="C230" s="1">
        <v>1</v>
      </c>
      <c r="D230" s="1">
        <f t="shared" si="12"/>
        <v>2011</v>
      </c>
      <c r="E230" s="1" t="str">
        <f t="shared" si="13"/>
        <v>February</v>
      </c>
      <c r="F230" s="1">
        <v>18</v>
      </c>
      <c r="G230" s="1" t="b">
        <f t="shared" si="14"/>
        <v>0</v>
      </c>
      <c r="H230" s="1" t="str">
        <f t="shared" si="15"/>
        <v>Monday</v>
      </c>
      <c r="I230" s="1">
        <v>2</v>
      </c>
      <c r="J230" s="1">
        <v>0.34</v>
      </c>
      <c r="K230" s="1">
        <v>0.33329999999999999</v>
      </c>
      <c r="L230" s="1">
        <v>0.66</v>
      </c>
      <c r="M230" s="1">
        <v>0.1343</v>
      </c>
      <c r="N230" s="1">
        <v>5</v>
      </c>
      <c r="O230" s="1">
        <v>170</v>
      </c>
      <c r="P230" s="1">
        <v>175</v>
      </c>
    </row>
    <row r="231" spans="1:16" x14ac:dyDescent="0.2">
      <c r="A231" s="1">
        <v>840</v>
      </c>
      <c r="B231" s="2">
        <v>40581</v>
      </c>
      <c r="C231" s="1">
        <v>1</v>
      </c>
      <c r="D231" s="1">
        <f t="shared" si="12"/>
        <v>2011</v>
      </c>
      <c r="E231" s="1" t="str">
        <f t="shared" si="13"/>
        <v>February</v>
      </c>
      <c r="F231" s="1">
        <v>19</v>
      </c>
      <c r="G231" s="1" t="b">
        <f t="shared" si="14"/>
        <v>0</v>
      </c>
      <c r="H231" s="1" t="str">
        <f t="shared" si="15"/>
        <v>Monday</v>
      </c>
      <c r="I231" s="1">
        <v>2</v>
      </c>
      <c r="J231" s="1">
        <v>0.32</v>
      </c>
      <c r="K231" s="1">
        <v>0.34849999999999998</v>
      </c>
      <c r="L231" s="1">
        <v>0.7</v>
      </c>
      <c r="M231" s="1">
        <v>0</v>
      </c>
      <c r="N231" s="1">
        <v>5</v>
      </c>
      <c r="O231" s="1">
        <v>123</v>
      </c>
      <c r="P231" s="1">
        <v>128</v>
      </c>
    </row>
    <row r="232" spans="1:16" x14ac:dyDescent="0.2">
      <c r="A232" s="1">
        <v>841</v>
      </c>
      <c r="B232" s="2">
        <v>40581</v>
      </c>
      <c r="C232" s="1">
        <v>1</v>
      </c>
      <c r="D232" s="1">
        <f t="shared" si="12"/>
        <v>2011</v>
      </c>
      <c r="E232" s="1" t="str">
        <f t="shared" si="13"/>
        <v>February</v>
      </c>
      <c r="F232" s="1">
        <v>20</v>
      </c>
      <c r="G232" s="1" t="b">
        <f t="shared" si="14"/>
        <v>0</v>
      </c>
      <c r="H232" s="1" t="str">
        <f t="shared" si="15"/>
        <v>Monday</v>
      </c>
      <c r="I232" s="1">
        <v>2</v>
      </c>
      <c r="J232" s="1">
        <v>0.32</v>
      </c>
      <c r="K232" s="1">
        <v>0.33329999999999999</v>
      </c>
      <c r="L232" s="1">
        <v>0.7</v>
      </c>
      <c r="M232" s="1">
        <v>0.1045</v>
      </c>
      <c r="N232" s="1">
        <v>6</v>
      </c>
      <c r="O232" s="1">
        <v>82</v>
      </c>
      <c r="P232" s="1">
        <v>88</v>
      </c>
    </row>
    <row r="233" spans="1:16" x14ac:dyDescent="0.2">
      <c r="A233" s="1">
        <v>842</v>
      </c>
      <c r="B233" s="2">
        <v>40581</v>
      </c>
      <c r="C233" s="1">
        <v>1</v>
      </c>
      <c r="D233" s="1">
        <f t="shared" si="12"/>
        <v>2011</v>
      </c>
      <c r="E233" s="1" t="str">
        <f t="shared" si="13"/>
        <v>February</v>
      </c>
      <c r="F233" s="1">
        <v>21</v>
      </c>
      <c r="G233" s="1" t="b">
        <f t="shared" si="14"/>
        <v>0</v>
      </c>
      <c r="H233" s="1" t="str">
        <f t="shared" si="15"/>
        <v>Monday</v>
      </c>
      <c r="I233" s="1">
        <v>1</v>
      </c>
      <c r="J233" s="1">
        <v>0.32</v>
      </c>
      <c r="K233" s="1">
        <v>0.34849999999999998</v>
      </c>
      <c r="L233" s="1">
        <v>0.7</v>
      </c>
      <c r="M233" s="1">
        <v>0</v>
      </c>
      <c r="N233" s="1">
        <v>3</v>
      </c>
      <c r="O233" s="1">
        <v>75</v>
      </c>
      <c r="P233" s="1">
        <v>78</v>
      </c>
    </row>
    <row r="234" spans="1:16" x14ac:dyDescent="0.2">
      <c r="A234" s="1">
        <v>843</v>
      </c>
      <c r="B234" s="2">
        <v>40581</v>
      </c>
      <c r="C234" s="1">
        <v>1</v>
      </c>
      <c r="D234" s="1">
        <f t="shared" si="12"/>
        <v>2011</v>
      </c>
      <c r="E234" s="1" t="str">
        <f t="shared" si="13"/>
        <v>February</v>
      </c>
      <c r="F234" s="1">
        <v>22</v>
      </c>
      <c r="G234" s="1" t="b">
        <f t="shared" si="14"/>
        <v>0</v>
      </c>
      <c r="H234" s="1" t="str">
        <f t="shared" si="15"/>
        <v>Monday</v>
      </c>
      <c r="I234" s="1">
        <v>1</v>
      </c>
      <c r="J234" s="1">
        <v>0.28000000000000003</v>
      </c>
      <c r="K234" s="1">
        <v>0.30299999999999999</v>
      </c>
      <c r="L234" s="1">
        <v>0.81</v>
      </c>
      <c r="M234" s="1">
        <v>8.9599999999999999E-2</v>
      </c>
      <c r="N234" s="1">
        <v>3</v>
      </c>
      <c r="O234" s="1">
        <v>34</v>
      </c>
      <c r="P234" s="1">
        <v>37</v>
      </c>
    </row>
    <row r="235" spans="1:16" x14ac:dyDescent="0.2">
      <c r="A235" s="1">
        <v>844</v>
      </c>
      <c r="B235" s="2">
        <v>40581</v>
      </c>
      <c r="C235" s="1">
        <v>1</v>
      </c>
      <c r="D235" s="1">
        <f t="shared" si="12"/>
        <v>2011</v>
      </c>
      <c r="E235" s="1" t="str">
        <f t="shared" si="13"/>
        <v>February</v>
      </c>
      <c r="F235" s="1">
        <v>23</v>
      </c>
      <c r="G235" s="1" t="b">
        <f t="shared" si="14"/>
        <v>0</v>
      </c>
      <c r="H235" s="1" t="str">
        <f t="shared" si="15"/>
        <v>Monday</v>
      </c>
      <c r="I235" s="1">
        <v>2</v>
      </c>
      <c r="J235" s="1">
        <v>0.3</v>
      </c>
      <c r="K235" s="1">
        <v>0.33329999999999999</v>
      </c>
      <c r="L235" s="1">
        <v>0.81</v>
      </c>
      <c r="M235" s="1">
        <v>0</v>
      </c>
      <c r="N235" s="1">
        <v>6</v>
      </c>
      <c r="O235" s="1">
        <v>19</v>
      </c>
      <c r="P235" s="1">
        <v>25</v>
      </c>
    </row>
    <row r="236" spans="1:16" x14ac:dyDescent="0.2">
      <c r="A236" s="1">
        <v>845</v>
      </c>
      <c r="B236" s="2">
        <v>40582</v>
      </c>
      <c r="C236" s="1">
        <v>1</v>
      </c>
      <c r="D236" s="1">
        <f t="shared" si="12"/>
        <v>2011</v>
      </c>
      <c r="E236" s="1" t="str">
        <f t="shared" si="13"/>
        <v>February</v>
      </c>
      <c r="F236" s="1">
        <v>0</v>
      </c>
      <c r="G236" s="1" t="b">
        <f t="shared" si="14"/>
        <v>0</v>
      </c>
      <c r="H236" s="1" t="str">
        <f t="shared" si="15"/>
        <v>Tuesday</v>
      </c>
      <c r="I236" s="1">
        <v>2</v>
      </c>
      <c r="J236" s="1">
        <v>0.28000000000000003</v>
      </c>
      <c r="K236" s="1">
        <v>0.31819999999999998</v>
      </c>
      <c r="L236" s="1">
        <v>0.87</v>
      </c>
      <c r="M236" s="1">
        <v>0</v>
      </c>
      <c r="N236" s="1">
        <v>4</v>
      </c>
      <c r="O236" s="1">
        <v>6</v>
      </c>
      <c r="P236" s="1">
        <v>10</v>
      </c>
    </row>
    <row r="237" spans="1:16" x14ac:dyDescent="0.2">
      <c r="A237" s="1">
        <v>846</v>
      </c>
      <c r="B237" s="2">
        <v>40582</v>
      </c>
      <c r="C237" s="1">
        <v>1</v>
      </c>
      <c r="D237" s="1">
        <f t="shared" si="12"/>
        <v>2011</v>
      </c>
      <c r="E237" s="1" t="str">
        <f t="shared" si="13"/>
        <v>February</v>
      </c>
      <c r="F237" s="1">
        <v>1</v>
      </c>
      <c r="G237" s="1" t="b">
        <f t="shared" si="14"/>
        <v>0</v>
      </c>
      <c r="H237" s="1" t="str">
        <f t="shared" si="15"/>
        <v>Tuesday</v>
      </c>
      <c r="I237" s="1">
        <v>2</v>
      </c>
      <c r="J237" s="1">
        <v>0.28000000000000003</v>
      </c>
      <c r="K237" s="1">
        <v>0.31819999999999998</v>
      </c>
      <c r="L237" s="1">
        <v>0.87</v>
      </c>
      <c r="M237" s="1">
        <v>0</v>
      </c>
      <c r="N237" s="1">
        <v>0</v>
      </c>
      <c r="O237" s="1">
        <v>4</v>
      </c>
      <c r="P237" s="1">
        <v>4</v>
      </c>
    </row>
    <row r="238" spans="1:16" x14ac:dyDescent="0.2">
      <c r="A238" s="1">
        <v>847</v>
      </c>
      <c r="B238" s="2">
        <v>40582</v>
      </c>
      <c r="C238" s="1">
        <v>1</v>
      </c>
      <c r="D238" s="1">
        <f t="shared" si="12"/>
        <v>2011</v>
      </c>
      <c r="E238" s="1" t="str">
        <f t="shared" si="13"/>
        <v>February</v>
      </c>
      <c r="F238" s="1">
        <v>2</v>
      </c>
      <c r="G238" s="1" t="b">
        <f t="shared" si="14"/>
        <v>0</v>
      </c>
      <c r="H238" s="1" t="str">
        <f t="shared" si="15"/>
        <v>Tuesday</v>
      </c>
      <c r="I238" s="1">
        <v>2</v>
      </c>
      <c r="J238" s="1">
        <v>0.26</v>
      </c>
      <c r="K238" s="1">
        <v>0.2727</v>
      </c>
      <c r="L238" s="1">
        <v>0.93</v>
      </c>
      <c r="M238" s="1">
        <v>0.1045</v>
      </c>
      <c r="N238" s="1">
        <v>1</v>
      </c>
      <c r="O238" s="1">
        <v>1</v>
      </c>
      <c r="P238" s="1">
        <v>2</v>
      </c>
    </row>
    <row r="239" spans="1:16" x14ac:dyDescent="0.2">
      <c r="A239" s="1">
        <v>848</v>
      </c>
      <c r="B239" s="2">
        <v>40582</v>
      </c>
      <c r="C239" s="1">
        <v>1</v>
      </c>
      <c r="D239" s="1">
        <f t="shared" si="12"/>
        <v>2011</v>
      </c>
      <c r="E239" s="1" t="str">
        <f t="shared" si="13"/>
        <v>February</v>
      </c>
      <c r="F239" s="1">
        <v>3</v>
      </c>
      <c r="G239" s="1" t="b">
        <f t="shared" si="14"/>
        <v>0</v>
      </c>
      <c r="H239" s="1" t="str">
        <f t="shared" si="15"/>
        <v>Tuesday</v>
      </c>
      <c r="I239" s="1">
        <v>3</v>
      </c>
      <c r="J239" s="1">
        <v>0.28000000000000003</v>
      </c>
      <c r="K239" s="1">
        <v>0.2727</v>
      </c>
      <c r="L239" s="1">
        <v>0.93</v>
      </c>
      <c r="M239" s="1">
        <v>0.16420000000000001</v>
      </c>
      <c r="N239" s="1">
        <v>0</v>
      </c>
      <c r="O239" s="1">
        <v>1</v>
      </c>
      <c r="P239" s="1">
        <v>1</v>
      </c>
    </row>
    <row r="240" spans="1:16" x14ac:dyDescent="0.2">
      <c r="A240" s="1">
        <v>849</v>
      </c>
      <c r="B240" s="2">
        <v>40582</v>
      </c>
      <c r="C240" s="1">
        <v>1</v>
      </c>
      <c r="D240" s="1">
        <f t="shared" si="12"/>
        <v>2011</v>
      </c>
      <c r="E240" s="1" t="str">
        <f t="shared" si="13"/>
        <v>February</v>
      </c>
      <c r="F240" s="1">
        <v>4</v>
      </c>
      <c r="G240" s="1" t="b">
        <f t="shared" si="14"/>
        <v>0</v>
      </c>
      <c r="H240" s="1" t="str">
        <f t="shared" si="15"/>
        <v>Tuesday</v>
      </c>
      <c r="I240" s="1">
        <v>1</v>
      </c>
      <c r="J240" s="1">
        <v>0.26</v>
      </c>
      <c r="K240" s="1">
        <v>0.2576</v>
      </c>
      <c r="L240" s="1">
        <v>0.93</v>
      </c>
      <c r="M240" s="1">
        <v>0.16420000000000001</v>
      </c>
      <c r="N240" s="1">
        <v>0</v>
      </c>
      <c r="O240" s="1">
        <v>3</v>
      </c>
      <c r="P240" s="1">
        <v>3</v>
      </c>
    </row>
    <row r="241" spans="1:16" x14ac:dyDescent="0.2">
      <c r="A241" s="1">
        <v>850</v>
      </c>
      <c r="B241" s="2">
        <v>40582</v>
      </c>
      <c r="C241" s="1">
        <v>1</v>
      </c>
      <c r="D241" s="1">
        <f t="shared" si="12"/>
        <v>2011</v>
      </c>
      <c r="E241" s="1" t="str">
        <f t="shared" si="13"/>
        <v>February</v>
      </c>
      <c r="F241" s="1">
        <v>5</v>
      </c>
      <c r="G241" s="1" t="b">
        <f t="shared" si="14"/>
        <v>0</v>
      </c>
      <c r="H241" s="1" t="str">
        <f t="shared" si="15"/>
        <v>Tuesday</v>
      </c>
      <c r="I241" s="1">
        <v>1</v>
      </c>
      <c r="J241" s="1">
        <v>0.26</v>
      </c>
      <c r="K241" s="1">
        <v>0.2273</v>
      </c>
      <c r="L241" s="1">
        <v>0.81</v>
      </c>
      <c r="M241" s="1">
        <v>0.32840000000000003</v>
      </c>
      <c r="N241" s="1">
        <v>0</v>
      </c>
      <c r="O241" s="1">
        <v>2</v>
      </c>
      <c r="P241" s="1">
        <v>2</v>
      </c>
    </row>
    <row r="242" spans="1:16" x14ac:dyDescent="0.2">
      <c r="A242" s="1">
        <v>851</v>
      </c>
      <c r="B242" s="2">
        <v>40582</v>
      </c>
      <c r="C242" s="1">
        <v>1</v>
      </c>
      <c r="D242" s="1">
        <f t="shared" si="12"/>
        <v>2011</v>
      </c>
      <c r="E242" s="1" t="str">
        <f t="shared" si="13"/>
        <v>February</v>
      </c>
      <c r="F242" s="1">
        <v>6</v>
      </c>
      <c r="G242" s="1" t="b">
        <f t="shared" si="14"/>
        <v>0</v>
      </c>
      <c r="H242" s="1" t="str">
        <f t="shared" si="15"/>
        <v>Tuesday</v>
      </c>
      <c r="I242" s="1">
        <v>1</v>
      </c>
      <c r="J242" s="1">
        <v>0.26</v>
      </c>
      <c r="K242" s="1">
        <v>0.2273</v>
      </c>
      <c r="L242" s="1">
        <v>0.7</v>
      </c>
      <c r="M242" s="1">
        <v>0.32840000000000003</v>
      </c>
      <c r="N242" s="1">
        <v>0</v>
      </c>
      <c r="O242" s="1">
        <v>39</v>
      </c>
      <c r="P242" s="1">
        <v>39</v>
      </c>
    </row>
    <row r="243" spans="1:16" x14ac:dyDescent="0.2">
      <c r="A243" s="1">
        <v>852</v>
      </c>
      <c r="B243" s="2">
        <v>40582</v>
      </c>
      <c r="C243" s="1">
        <v>1</v>
      </c>
      <c r="D243" s="1">
        <f t="shared" si="12"/>
        <v>2011</v>
      </c>
      <c r="E243" s="1" t="str">
        <f t="shared" si="13"/>
        <v>February</v>
      </c>
      <c r="F243" s="1">
        <v>7</v>
      </c>
      <c r="G243" s="1" t="b">
        <f t="shared" si="14"/>
        <v>0</v>
      </c>
      <c r="H243" s="1" t="str">
        <f t="shared" si="15"/>
        <v>Tuesday</v>
      </c>
      <c r="I243" s="1">
        <v>1</v>
      </c>
      <c r="J243" s="1">
        <v>0.24</v>
      </c>
      <c r="K243" s="1">
        <v>0.19700000000000001</v>
      </c>
      <c r="L243" s="1">
        <v>0.65</v>
      </c>
      <c r="M243" s="1">
        <v>0.41789999999999999</v>
      </c>
      <c r="N243" s="1">
        <v>3</v>
      </c>
      <c r="O243" s="1">
        <v>97</v>
      </c>
      <c r="P243" s="1">
        <v>100</v>
      </c>
    </row>
    <row r="244" spans="1:16" x14ac:dyDescent="0.2">
      <c r="A244" s="1">
        <v>853</v>
      </c>
      <c r="B244" s="2">
        <v>40582</v>
      </c>
      <c r="C244" s="1">
        <v>1</v>
      </c>
      <c r="D244" s="1">
        <f t="shared" si="12"/>
        <v>2011</v>
      </c>
      <c r="E244" s="1" t="str">
        <f t="shared" si="13"/>
        <v>February</v>
      </c>
      <c r="F244" s="1">
        <v>8</v>
      </c>
      <c r="G244" s="1" t="b">
        <f t="shared" si="14"/>
        <v>0</v>
      </c>
      <c r="H244" s="1" t="str">
        <f t="shared" si="15"/>
        <v>Tuesday</v>
      </c>
      <c r="I244" s="1">
        <v>1</v>
      </c>
      <c r="J244" s="1">
        <v>0.24</v>
      </c>
      <c r="K244" s="1">
        <v>0.19700000000000001</v>
      </c>
      <c r="L244" s="1">
        <v>0.56000000000000005</v>
      </c>
      <c r="M244" s="1">
        <v>0.49249999999999999</v>
      </c>
      <c r="N244" s="1">
        <v>7</v>
      </c>
      <c r="O244" s="1">
        <v>236</v>
      </c>
      <c r="P244" s="1">
        <v>243</v>
      </c>
    </row>
    <row r="245" spans="1:16" x14ac:dyDescent="0.2">
      <c r="A245" s="1">
        <v>854</v>
      </c>
      <c r="B245" s="2">
        <v>40582</v>
      </c>
      <c r="C245" s="1">
        <v>1</v>
      </c>
      <c r="D245" s="1">
        <f t="shared" si="12"/>
        <v>2011</v>
      </c>
      <c r="E245" s="1" t="str">
        <f t="shared" si="13"/>
        <v>February</v>
      </c>
      <c r="F245" s="1">
        <v>9</v>
      </c>
      <c r="G245" s="1" t="b">
        <f t="shared" si="14"/>
        <v>0</v>
      </c>
      <c r="H245" s="1" t="str">
        <f t="shared" si="15"/>
        <v>Tuesday</v>
      </c>
      <c r="I245" s="1">
        <v>1</v>
      </c>
      <c r="J245" s="1">
        <v>0.24</v>
      </c>
      <c r="K245" s="1">
        <v>0.19700000000000001</v>
      </c>
      <c r="L245" s="1">
        <v>0.52</v>
      </c>
      <c r="M245" s="1">
        <v>0.49249999999999999</v>
      </c>
      <c r="N245" s="1">
        <v>7</v>
      </c>
      <c r="O245" s="1">
        <v>128</v>
      </c>
      <c r="P245" s="1">
        <v>135</v>
      </c>
    </row>
    <row r="246" spans="1:16" x14ac:dyDescent="0.2">
      <c r="A246" s="1">
        <v>855</v>
      </c>
      <c r="B246" s="2">
        <v>40582</v>
      </c>
      <c r="C246" s="1">
        <v>1</v>
      </c>
      <c r="D246" s="1">
        <f t="shared" si="12"/>
        <v>2011</v>
      </c>
      <c r="E246" s="1" t="str">
        <f t="shared" si="13"/>
        <v>February</v>
      </c>
      <c r="F246" s="1">
        <v>10</v>
      </c>
      <c r="G246" s="1" t="b">
        <f t="shared" si="14"/>
        <v>0</v>
      </c>
      <c r="H246" s="1" t="str">
        <f t="shared" si="15"/>
        <v>Tuesday</v>
      </c>
      <c r="I246" s="1">
        <v>1</v>
      </c>
      <c r="J246" s="1">
        <v>0.22</v>
      </c>
      <c r="K246" s="1">
        <v>0.18179999999999999</v>
      </c>
      <c r="L246" s="1">
        <v>0.47</v>
      </c>
      <c r="M246" s="1">
        <v>0.55220000000000002</v>
      </c>
      <c r="N246" s="1">
        <v>4</v>
      </c>
      <c r="O246" s="1">
        <v>44</v>
      </c>
      <c r="P246" s="1">
        <v>48</v>
      </c>
    </row>
    <row r="247" spans="1:16" x14ac:dyDescent="0.2">
      <c r="A247" s="1">
        <v>856</v>
      </c>
      <c r="B247" s="2">
        <v>40582</v>
      </c>
      <c r="C247" s="1">
        <v>1</v>
      </c>
      <c r="D247" s="1">
        <f t="shared" si="12"/>
        <v>2011</v>
      </c>
      <c r="E247" s="1" t="str">
        <f t="shared" si="13"/>
        <v>February</v>
      </c>
      <c r="F247" s="1">
        <v>11</v>
      </c>
      <c r="G247" s="1" t="b">
        <f t="shared" si="14"/>
        <v>0</v>
      </c>
      <c r="H247" s="1" t="str">
        <f t="shared" si="15"/>
        <v>Tuesday</v>
      </c>
      <c r="I247" s="1">
        <v>1</v>
      </c>
      <c r="J247" s="1">
        <v>0.22</v>
      </c>
      <c r="K247" s="1">
        <v>0.18179999999999999</v>
      </c>
      <c r="L247" s="1">
        <v>0.47</v>
      </c>
      <c r="M247" s="1">
        <v>0.4627</v>
      </c>
      <c r="N247" s="1">
        <v>1</v>
      </c>
      <c r="O247" s="1">
        <v>49</v>
      </c>
      <c r="P247" s="1">
        <v>50</v>
      </c>
    </row>
    <row r="248" spans="1:16" x14ac:dyDescent="0.2">
      <c r="A248" s="1">
        <v>857</v>
      </c>
      <c r="B248" s="2">
        <v>40582</v>
      </c>
      <c r="C248" s="1">
        <v>1</v>
      </c>
      <c r="D248" s="1">
        <f t="shared" si="12"/>
        <v>2011</v>
      </c>
      <c r="E248" s="1" t="str">
        <f t="shared" si="13"/>
        <v>February</v>
      </c>
      <c r="F248" s="1">
        <v>12</v>
      </c>
      <c r="G248" s="1" t="b">
        <f t="shared" si="14"/>
        <v>0</v>
      </c>
      <c r="H248" s="1" t="str">
        <f t="shared" si="15"/>
        <v>Tuesday</v>
      </c>
      <c r="I248" s="1">
        <v>1</v>
      </c>
      <c r="J248" s="1">
        <v>0.24</v>
      </c>
      <c r="K248" s="1">
        <v>0.19700000000000001</v>
      </c>
      <c r="L248" s="1">
        <v>0.38</v>
      </c>
      <c r="M248" s="1">
        <v>0.49249999999999999</v>
      </c>
      <c r="N248" s="1">
        <v>2</v>
      </c>
      <c r="O248" s="1">
        <v>63</v>
      </c>
      <c r="P248" s="1">
        <v>65</v>
      </c>
    </row>
    <row r="249" spans="1:16" x14ac:dyDescent="0.2">
      <c r="A249" s="1">
        <v>858</v>
      </c>
      <c r="B249" s="2">
        <v>40582</v>
      </c>
      <c r="C249" s="1">
        <v>1</v>
      </c>
      <c r="D249" s="1">
        <f t="shared" si="12"/>
        <v>2011</v>
      </c>
      <c r="E249" s="1" t="str">
        <f t="shared" si="13"/>
        <v>February</v>
      </c>
      <c r="F249" s="1">
        <v>13</v>
      </c>
      <c r="G249" s="1" t="b">
        <f t="shared" si="14"/>
        <v>0</v>
      </c>
      <c r="H249" s="1" t="str">
        <f t="shared" si="15"/>
        <v>Tuesday</v>
      </c>
      <c r="I249" s="1">
        <v>2</v>
      </c>
      <c r="J249" s="1">
        <v>0.24</v>
      </c>
      <c r="K249" s="1">
        <v>0.19700000000000001</v>
      </c>
      <c r="L249" s="1">
        <v>0.32</v>
      </c>
      <c r="M249" s="1">
        <v>0.44779999999999998</v>
      </c>
      <c r="N249" s="1">
        <v>2</v>
      </c>
      <c r="O249" s="1">
        <v>48</v>
      </c>
      <c r="P249" s="1">
        <v>50</v>
      </c>
    </row>
    <row r="250" spans="1:16" x14ac:dyDescent="0.2">
      <c r="A250" s="1">
        <v>859</v>
      </c>
      <c r="B250" s="2">
        <v>40582</v>
      </c>
      <c r="C250" s="1">
        <v>1</v>
      </c>
      <c r="D250" s="1">
        <f t="shared" si="12"/>
        <v>2011</v>
      </c>
      <c r="E250" s="1" t="str">
        <f t="shared" si="13"/>
        <v>February</v>
      </c>
      <c r="F250" s="1">
        <v>14</v>
      </c>
      <c r="G250" s="1" t="b">
        <f t="shared" si="14"/>
        <v>0</v>
      </c>
      <c r="H250" s="1" t="str">
        <f t="shared" si="15"/>
        <v>Tuesday</v>
      </c>
      <c r="I250" s="1">
        <v>1</v>
      </c>
      <c r="J250" s="1">
        <v>0.22</v>
      </c>
      <c r="K250" s="1">
        <v>0.19700000000000001</v>
      </c>
      <c r="L250" s="1">
        <v>0.37</v>
      </c>
      <c r="M250" s="1">
        <v>0.41789999999999999</v>
      </c>
      <c r="N250" s="1">
        <v>3</v>
      </c>
      <c r="O250" s="1">
        <v>61</v>
      </c>
      <c r="P250" s="1">
        <v>64</v>
      </c>
    </row>
    <row r="251" spans="1:16" x14ac:dyDescent="0.2">
      <c r="A251" s="1">
        <v>860</v>
      </c>
      <c r="B251" s="2">
        <v>40582</v>
      </c>
      <c r="C251" s="1">
        <v>1</v>
      </c>
      <c r="D251" s="1">
        <f t="shared" si="12"/>
        <v>2011</v>
      </c>
      <c r="E251" s="1" t="str">
        <f t="shared" si="13"/>
        <v>February</v>
      </c>
      <c r="F251" s="1">
        <v>15</v>
      </c>
      <c r="G251" s="1" t="b">
        <f t="shared" si="14"/>
        <v>0</v>
      </c>
      <c r="H251" s="1" t="str">
        <f t="shared" si="15"/>
        <v>Tuesday</v>
      </c>
      <c r="I251" s="1">
        <v>1</v>
      </c>
      <c r="J251" s="1">
        <v>0.22</v>
      </c>
      <c r="K251" s="1">
        <v>0.19700000000000001</v>
      </c>
      <c r="L251" s="1">
        <v>0.35</v>
      </c>
      <c r="M251" s="1">
        <v>0.3881</v>
      </c>
      <c r="N251" s="1">
        <v>6</v>
      </c>
      <c r="O251" s="1">
        <v>45</v>
      </c>
      <c r="P251" s="1">
        <v>51</v>
      </c>
    </row>
    <row r="252" spans="1:16" x14ac:dyDescent="0.2">
      <c r="A252" s="1">
        <v>861</v>
      </c>
      <c r="B252" s="2">
        <v>40582</v>
      </c>
      <c r="C252" s="1">
        <v>1</v>
      </c>
      <c r="D252" s="1">
        <f t="shared" si="12"/>
        <v>2011</v>
      </c>
      <c r="E252" s="1" t="str">
        <f t="shared" si="13"/>
        <v>February</v>
      </c>
      <c r="F252" s="1">
        <v>16</v>
      </c>
      <c r="G252" s="1" t="b">
        <f t="shared" si="14"/>
        <v>0</v>
      </c>
      <c r="H252" s="1" t="str">
        <f t="shared" si="15"/>
        <v>Tuesday</v>
      </c>
      <c r="I252" s="1">
        <v>1</v>
      </c>
      <c r="J252" s="1">
        <v>0.22</v>
      </c>
      <c r="K252" s="1">
        <v>0.18179999999999999</v>
      </c>
      <c r="L252" s="1">
        <v>0.35</v>
      </c>
      <c r="M252" s="1">
        <v>0.52239999999999998</v>
      </c>
      <c r="N252" s="1">
        <v>4</v>
      </c>
      <c r="O252" s="1">
        <v>79</v>
      </c>
      <c r="P252" s="1">
        <v>83</v>
      </c>
    </row>
    <row r="253" spans="1:16" x14ac:dyDescent="0.2">
      <c r="A253" s="1">
        <v>862</v>
      </c>
      <c r="B253" s="2">
        <v>40582</v>
      </c>
      <c r="C253" s="1">
        <v>1</v>
      </c>
      <c r="D253" s="1">
        <f t="shared" si="12"/>
        <v>2011</v>
      </c>
      <c r="E253" s="1" t="str">
        <f t="shared" si="13"/>
        <v>February</v>
      </c>
      <c r="F253" s="1">
        <v>17</v>
      </c>
      <c r="G253" s="1" t="b">
        <f t="shared" si="14"/>
        <v>0</v>
      </c>
      <c r="H253" s="1" t="str">
        <f t="shared" si="15"/>
        <v>Tuesday</v>
      </c>
      <c r="I253" s="1">
        <v>1</v>
      </c>
      <c r="J253" s="1">
        <v>0.22</v>
      </c>
      <c r="K253" s="1">
        <v>0.18179999999999999</v>
      </c>
      <c r="L253" s="1">
        <v>0.32</v>
      </c>
      <c r="M253" s="1">
        <v>0.58209999999999995</v>
      </c>
      <c r="N253" s="1">
        <v>4</v>
      </c>
      <c r="O253" s="1">
        <v>172</v>
      </c>
      <c r="P253" s="1">
        <v>176</v>
      </c>
    </row>
    <row r="254" spans="1:16" x14ac:dyDescent="0.2">
      <c r="A254" s="1">
        <v>863</v>
      </c>
      <c r="B254" s="2">
        <v>40582</v>
      </c>
      <c r="C254" s="1">
        <v>1</v>
      </c>
      <c r="D254" s="1">
        <f t="shared" si="12"/>
        <v>2011</v>
      </c>
      <c r="E254" s="1" t="str">
        <f t="shared" si="13"/>
        <v>February</v>
      </c>
      <c r="F254" s="1">
        <v>18</v>
      </c>
      <c r="G254" s="1" t="b">
        <f t="shared" si="14"/>
        <v>0</v>
      </c>
      <c r="H254" s="1" t="str">
        <f t="shared" si="15"/>
        <v>Tuesday</v>
      </c>
      <c r="I254" s="1">
        <v>1</v>
      </c>
      <c r="J254" s="1">
        <v>0.2</v>
      </c>
      <c r="K254" s="1">
        <v>0.18179999999999999</v>
      </c>
      <c r="L254" s="1">
        <v>0.32</v>
      </c>
      <c r="M254" s="1">
        <v>0.3881</v>
      </c>
      <c r="N254" s="1">
        <v>1</v>
      </c>
      <c r="O254" s="1">
        <v>151</v>
      </c>
      <c r="P254" s="1">
        <v>152</v>
      </c>
    </row>
    <row r="255" spans="1:16" x14ac:dyDescent="0.2">
      <c r="A255" s="1">
        <v>864</v>
      </c>
      <c r="B255" s="2">
        <v>40582</v>
      </c>
      <c r="C255" s="1">
        <v>1</v>
      </c>
      <c r="D255" s="1">
        <f t="shared" si="12"/>
        <v>2011</v>
      </c>
      <c r="E255" s="1" t="str">
        <f t="shared" si="13"/>
        <v>February</v>
      </c>
      <c r="F255" s="1">
        <v>19</v>
      </c>
      <c r="G255" s="1" t="b">
        <f t="shared" si="14"/>
        <v>0</v>
      </c>
      <c r="H255" s="1" t="str">
        <f t="shared" si="15"/>
        <v>Tuesday</v>
      </c>
      <c r="I255" s="1">
        <v>1</v>
      </c>
      <c r="J255" s="1">
        <v>0.16</v>
      </c>
      <c r="K255" s="1">
        <v>0.1212</v>
      </c>
      <c r="L255" s="1">
        <v>0.4</v>
      </c>
      <c r="M255" s="1">
        <v>0.4627</v>
      </c>
      <c r="N255" s="1">
        <v>1</v>
      </c>
      <c r="O255" s="1">
        <v>100</v>
      </c>
      <c r="P255" s="1">
        <v>101</v>
      </c>
    </row>
    <row r="256" spans="1:16" x14ac:dyDescent="0.2">
      <c r="A256" s="1">
        <v>865</v>
      </c>
      <c r="B256" s="2">
        <v>40582</v>
      </c>
      <c r="C256" s="1">
        <v>1</v>
      </c>
      <c r="D256" s="1">
        <f t="shared" si="12"/>
        <v>2011</v>
      </c>
      <c r="E256" s="1" t="str">
        <f t="shared" si="13"/>
        <v>February</v>
      </c>
      <c r="F256" s="1">
        <v>20</v>
      </c>
      <c r="G256" s="1" t="b">
        <f t="shared" si="14"/>
        <v>0</v>
      </c>
      <c r="H256" s="1" t="str">
        <f t="shared" si="15"/>
        <v>Tuesday</v>
      </c>
      <c r="I256" s="1">
        <v>1</v>
      </c>
      <c r="J256" s="1">
        <v>0.16</v>
      </c>
      <c r="K256" s="1">
        <v>0.13639999999999999</v>
      </c>
      <c r="L256" s="1">
        <v>0.4</v>
      </c>
      <c r="M256" s="1">
        <v>0.32840000000000003</v>
      </c>
      <c r="N256" s="1">
        <v>3</v>
      </c>
      <c r="O256" s="1">
        <v>53</v>
      </c>
      <c r="P256" s="1">
        <v>56</v>
      </c>
    </row>
    <row r="257" spans="1:16" x14ac:dyDescent="0.2">
      <c r="A257" s="1">
        <v>866</v>
      </c>
      <c r="B257" s="2">
        <v>40582</v>
      </c>
      <c r="C257" s="1">
        <v>1</v>
      </c>
      <c r="D257" s="1">
        <f t="shared" si="12"/>
        <v>2011</v>
      </c>
      <c r="E257" s="1" t="str">
        <f t="shared" si="13"/>
        <v>February</v>
      </c>
      <c r="F257" s="1">
        <v>21</v>
      </c>
      <c r="G257" s="1" t="b">
        <f t="shared" si="14"/>
        <v>0</v>
      </c>
      <c r="H257" s="1" t="str">
        <f t="shared" si="15"/>
        <v>Tuesday</v>
      </c>
      <c r="I257" s="1">
        <v>1</v>
      </c>
      <c r="J257" s="1">
        <v>0.14000000000000001</v>
      </c>
      <c r="K257" s="1">
        <v>0.1061</v>
      </c>
      <c r="L257" s="1">
        <v>0.33</v>
      </c>
      <c r="M257" s="1">
        <v>0.4627</v>
      </c>
      <c r="N257" s="1">
        <v>8</v>
      </c>
      <c r="O257" s="1">
        <v>46</v>
      </c>
      <c r="P257" s="1">
        <v>54</v>
      </c>
    </row>
    <row r="258" spans="1:16" x14ac:dyDescent="0.2">
      <c r="A258" s="1">
        <v>867</v>
      </c>
      <c r="B258" s="2">
        <v>40582</v>
      </c>
      <c r="C258" s="1">
        <v>1</v>
      </c>
      <c r="D258" s="1">
        <f t="shared" si="12"/>
        <v>2011</v>
      </c>
      <c r="E258" s="1" t="str">
        <f t="shared" si="13"/>
        <v>February</v>
      </c>
      <c r="F258" s="1">
        <v>22</v>
      </c>
      <c r="G258" s="1" t="b">
        <f t="shared" si="14"/>
        <v>0</v>
      </c>
      <c r="H258" s="1" t="str">
        <f t="shared" si="15"/>
        <v>Tuesday</v>
      </c>
      <c r="I258" s="1">
        <v>1</v>
      </c>
      <c r="J258" s="1">
        <v>0.12</v>
      </c>
      <c r="K258" s="1">
        <v>0.1061</v>
      </c>
      <c r="L258" s="1">
        <v>0.33</v>
      </c>
      <c r="M258" s="1">
        <v>0.35820000000000002</v>
      </c>
      <c r="N258" s="1">
        <v>0</v>
      </c>
      <c r="O258" s="1">
        <v>29</v>
      </c>
      <c r="P258" s="1">
        <v>29</v>
      </c>
    </row>
    <row r="259" spans="1:16" x14ac:dyDescent="0.2">
      <c r="A259" s="1">
        <v>868</v>
      </c>
      <c r="B259" s="2">
        <v>40582</v>
      </c>
      <c r="C259" s="1">
        <v>1</v>
      </c>
      <c r="D259" s="1">
        <f t="shared" ref="D259:D322" si="16">YEAR(B259)</f>
        <v>2011</v>
      </c>
      <c r="E259" s="1" t="str">
        <f t="shared" ref="E259:E322" si="17">TEXT(B259,"mmmm")</f>
        <v>February</v>
      </c>
      <c r="F259" s="1">
        <v>23</v>
      </c>
      <c r="G259" s="1" t="b">
        <f t="shared" ref="G259:G322" si="18">IF(H259="Sunday",TRUE,FALSE)</f>
        <v>0</v>
      </c>
      <c r="H259" s="1" t="str">
        <f t="shared" ref="H259:H322" si="19">TEXT(B259,"dddd")</f>
        <v>Tuesday</v>
      </c>
      <c r="I259" s="1">
        <v>1</v>
      </c>
      <c r="J259" s="1">
        <v>0.12</v>
      </c>
      <c r="K259" s="1">
        <v>0.1061</v>
      </c>
      <c r="L259" s="1">
        <v>0.33</v>
      </c>
      <c r="M259" s="1">
        <v>0.32840000000000003</v>
      </c>
      <c r="N259" s="1">
        <v>3</v>
      </c>
      <c r="O259" s="1">
        <v>9</v>
      </c>
      <c r="P259" s="1">
        <v>12</v>
      </c>
    </row>
    <row r="260" spans="1:16" x14ac:dyDescent="0.2">
      <c r="A260" s="1">
        <v>869</v>
      </c>
      <c r="B260" s="2">
        <v>40583</v>
      </c>
      <c r="C260" s="1">
        <v>1</v>
      </c>
      <c r="D260" s="1">
        <f t="shared" si="16"/>
        <v>2011</v>
      </c>
      <c r="E260" s="1" t="str">
        <f t="shared" si="17"/>
        <v>February</v>
      </c>
      <c r="F260" s="1">
        <v>0</v>
      </c>
      <c r="G260" s="1" t="b">
        <f t="shared" si="18"/>
        <v>0</v>
      </c>
      <c r="H260" s="1" t="str">
        <f t="shared" si="19"/>
        <v>Wednesday</v>
      </c>
      <c r="I260" s="1">
        <v>1</v>
      </c>
      <c r="J260" s="1">
        <v>0.1</v>
      </c>
      <c r="K260" s="1">
        <v>7.5800000000000006E-2</v>
      </c>
      <c r="L260" s="1">
        <v>0.36</v>
      </c>
      <c r="M260" s="1">
        <v>0.35820000000000002</v>
      </c>
      <c r="N260" s="1">
        <v>0</v>
      </c>
      <c r="O260" s="1">
        <v>17</v>
      </c>
      <c r="P260" s="1">
        <v>17</v>
      </c>
    </row>
    <row r="261" spans="1:16" x14ac:dyDescent="0.2">
      <c r="A261" s="1">
        <v>870</v>
      </c>
      <c r="B261" s="2">
        <v>40583</v>
      </c>
      <c r="C261" s="1">
        <v>1</v>
      </c>
      <c r="D261" s="1">
        <f t="shared" si="16"/>
        <v>2011</v>
      </c>
      <c r="E261" s="1" t="str">
        <f t="shared" si="17"/>
        <v>February</v>
      </c>
      <c r="F261" s="1">
        <v>1</v>
      </c>
      <c r="G261" s="1" t="b">
        <f t="shared" si="18"/>
        <v>0</v>
      </c>
      <c r="H261" s="1" t="str">
        <f t="shared" si="19"/>
        <v>Wednesday</v>
      </c>
      <c r="I261" s="1">
        <v>1</v>
      </c>
      <c r="J261" s="1">
        <v>0.1</v>
      </c>
      <c r="K261" s="1">
        <v>0.1061</v>
      </c>
      <c r="L261" s="1">
        <v>0.36</v>
      </c>
      <c r="M261" s="1">
        <v>0.22389999999999999</v>
      </c>
      <c r="N261" s="1">
        <v>0</v>
      </c>
      <c r="O261" s="1">
        <v>7</v>
      </c>
      <c r="P261" s="1">
        <v>7</v>
      </c>
    </row>
    <row r="262" spans="1:16" x14ac:dyDescent="0.2">
      <c r="A262" s="1">
        <v>871</v>
      </c>
      <c r="B262" s="2">
        <v>40583</v>
      </c>
      <c r="C262" s="1">
        <v>1</v>
      </c>
      <c r="D262" s="1">
        <f t="shared" si="16"/>
        <v>2011</v>
      </c>
      <c r="E262" s="1" t="str">
        <f t="shared" si="17"/>
        <v>February</v>
      </c>
      <c r="F262" s="1">
        <v>2</v>
      </c>
      <c r="G262" s="1" t="b">
        <f t="shared" si="18"/>
        <v>0</v>
      </c>
      <c r="H262" s="1" t="str">
        <f t="shared" si="19"/>
        <v>Wednesday</v>
      </c>
      <c r="I262" s="1">
        <v>1</v>
      </c>
      <c r="J262" s="1">
        <v>0.08</v>
      </c>
      <c r="K262" s="1">
        <v>7.5800000000000006E-2</v>
      </c>
      <c r="L262" s="1">
        <v>0.38</v>
      </c>
      <c r="M262" s="1">
        <v>0.28360000000000002</v>
      </c>
      <c r="N262" s="1">
        <v>1</v>
      </c>
      <c r="O262" s="1">
        <v>2</v>
      </c>
      <c r="P262" s="1">
        <v>3</v>
      </c>
    </row>
    <row r="263" spans="1:16" x14ac:dyDescent="0.2">
      <c r="A263" s="1">
        <v>872</v>
      </c>
      <c r="B263" s="2">
        <v>40583</v>
      </c>
      <c r="C263" s="1">
        <v>1</v>
      </c>
      <c r="D263" s="1">
        <f t="shared" si="16"/>
        <v>2011</v>
      </c>
      <c r="E263" s="1" t="str">
        <f t="shared" si="17"/>
        <v>February</v>
      </c>
      <c r="F263" s="1">
        <v>3</v>
      </c>
      <c r="G263" s="1" t="b">
        <f t="shared" si="18"/>
        <v>0</v>
      </c>
      <c r="H263" s="1" t="str">
        <f t="shared" si="19"/>
        <v>Wednesday</v>
      </c>
      <c r="I263" s="1">
        <v>1</v>
      </c>
      <c r="J263" s="1">
        <v>0.06</v>
      </c>
      <c r="K263" s="1">
        <v>7.5800000000000006E-2</v>
      </c>
      <c r="L263" s="1">
        <v>0.45</v>
      </c>
      <c r="M263" s="1">
        <v>0.1343</v>
      </c>
      <c r="N263" s="1">
        <v>0</v>
      </c>
      <c r="O263" s="1">
        <v>2</v>
      </c>
      <c r="P263" s="1">
        <v>2</v>
      </c>
    </row>
    <row r="264" spans="1:16" x14ac:dyDescent="0.2">
      <c r="A264" s="1">
        <v>873</v>
      </c>
      <c r="B264" s="2">
        <v>40583</v>
      </c>
      <c r="C264" s="1">
        <v>1</v>
      </c>
      <c r="D264" s="1">
        <f t="shared" si="16"/>
        <v>2011</v>
      </c>
      <c r="E264" s="1" t="str">
        <f t="shared" si="17"/>
        <v>February</v>
      </c>
      <c r="F264" s="1">
        <v>5</v>
      </c>
      <c r="G264" s="1" t="b">
        <f t="shared" si="18"/>
        <v>0</v>
      </c>
      <c r="H264" s="1" t="str">
        <f t="shared" si="19"/>
        <v>Wednesday</v>
      </c>
      <c r="I264" s="1">
        <v>1</v>
      </c>
      <c r="J264" s="1">
        <v>0.06</v>
      </c>
      <c r="K264" s="1">
        <v>0.1061</v>
      </c>
      <c r="L264" s="1">
        <v>0.45</v>
      </c>
      <c r="M264" s="1">
        <v>0.1045</v>
      </c>
      <c r="N264" s="1">
        <v>0</v>
      </c>
      <c r="O264" s="1">
        <v>7</v>
      </c>
      <c r="P264" s="1">
        <v>7</v>
      </c>
    </row>
    <row r="265" spans="1:16" x14ac:dyDescent="0.2">
      <c r="A265" s="1">
        <v>874</v>
      </c>
      <c r="B265" s="2">
        <v>40583</v>
      </c>
      <c r="C265" s="1">
        <v>1</v>
      </c>
      <c r="D265" s="1">
        <f t="shared" si="16"/>
        <v>2011</v>
      </c>
      <c r="E265" s="1" t="str">
        <f t="shared" si="17"/>
        <v>February</v>
      </c>
      <c r="F265" s="1">
        <v>6</v>
      </c>
      <c r="G265" s="1" t="b">
        <f t="shared" si="18"/>
        <v>0</v>
      </c>
      <c r="H265" s="1" t="str">
        <f t="shared" si="19"/>
        <v>Wednesday</v>
      </c>
      <c r="I265" s="1">
        <v>1</v>
      </c>
      <c r="J265" s="1">
        <v>0.06</v>
      </c>
      <c r="K265" s="1">
        <v>0.1515</v>
      </c>
      <c r="L265" s="1">
        <v>0.45</v>
      </c>
      <c r="M265" s="1">
        <v>0</v>
      </c>
      <c r="N265" s="1">
        <v>0</v>
      </c>
      <c r="O265" s="1">
        <v>43</v>
      </c>
      <c r="P265" s="1">
        <v>43</v>
      </c>
    </row>
    <row r="266" spans="1:16" x14ac:dyDescent="0.2">
      <c r="A266" s="1">
        <v>875</v>
      </c>
      <c r="B266" s="2">
        <v>40583</v>
      </c>
      <c r="C266" s="1">
        <v>1</v>
      </c>
      <c r="D266" s="1">
        <f t="shared" si="16"/>
        <v>2011</v>
      </c>
      <c r="E266" s="1" t="str">
        <f t="shared" si="17"/>
        <v>February</v>
      </c>
      <c r="F266" s="1">
        <v>7</v>
      </c>
      <c r="G266" s="1" t="b">
        <f t="shared" si="18"/>
        <v>0</v>
      </c>
      <c r="H266" s="1" t="str">
        <f t="shared" si="19"/>
        <v>Wednesday</v>
      </c>
      <c r="I266" s="1">
        <v>1</v>
      </c>
      <c r="J266" s="1">
        <v>0.06</v>
      </c>
      <c r="K266" s="1">
        <v>0.1061</v>
      </c>
      <c r="L266" s="1">
        <v>0.49</v>
      </c>
      <c r="M266" s="1">
        <v>0.1045</v>
      </c>
      <c r="N266" s="1">
        <v>4</v>
      </c>
      <c r="O266" s="1">
        <v>95</v>
      </c>
      <c r="P266" s="1">
        <v>99</v>
      </c>
    </row>
    <row r="267" spans="1:16" x14ac:dyDescent="0.2">
      <c r="A267" s="1">
        <v>876</v>
      </c>
      <c r="B267" s="2">
        <v>40583</v>
      </c>
      <c r="C267" s="1">
        <v>1</v>
      </c>
      <c r="D267" s="1">
        <f t="shared" si="16"/>
        <v>2011</v>
      </c>
      <c r="E267" s="1" t="str">
        <f t="shared" si="17"/>
        <v>February</v>
      </c>
      <c r="F267" s="1">
        <v>8</v>
      </c>
      <c r="G267" s="1" t="b">
        <f t="shared" si="18"/>
        <v>0</v>
      </c>
      <c r="H267" s="1" t="str">
        <f t="shared" si="19"/>
        <v>Wednesday</v>
      </c>
      <c r="I267" s="1">
        <v>1</v>
      </c>
      <c r="J267" s="1">
        <v>0.1</v>
      </c>
      <c r="K267" s="1">
        <v>0.13639999999999999</v>
      </c>
      <c r="L267" s="1">
        <v>0.42</v>
      </c>
      <c r="M267" s="1">
        <v>0</v>
      </c>
      <c r="N267" s="1">
        <v>1</v>
      </c>
      <c r="O267" s="1">
        <v>198</v>
      </c>
      <c r="P267" s="1">
        <v>199</v>
      </c>
    </row>
    <row r="268" spans="1:16" x14ac:dyDescent="0.2">
      <c r="A268" s="1">
        <v>877</v>
      </c>
      <c r="B268" s="2">
        <v>40583</v>
      </c>
      <c r="C268" s="1">
        <v>1</v>
      </c>
      <c r="D268" s="1">
        <f t="shared" si="16"/>
        <v>2011</v>
      </c>
      <c r="E268" s="1" t="str">
        <f t="shared" si="17"/>
        <v>February</v>
      </c>
      <c r="F268" s="1">
        <v>9</v>
      </c>
      <c r="G268" s="1" t="b">
        <f t="shared" si="18"/>
        <v>0</v>
      </c>
      <c r="H268" s="1" t="str">
        <f t="shared" si="19"/>
        <v>Wednesday</v>
      </c>
      <c r="I268" s="1">
        <v>1</v>
      </c>
      <c r="J268" s="1">
        <v>0.12</v>
      </c>
      <c r="K268" s="1">
        <v>0.13639999999999999</v>
      </c>
      <c r="L268" s="1">
        <v>0.39</v>
      </c>
      <c r="M268" s="1">
        <v>0.16420000000000001</v>
      </c>
      <c r="N268" s="1">
        <v>4</v>
      </c>
      <c r="O268" s="1">
        <v>119</v>
      </c>
      <c r="P268" s="1">
        <v>123</v>
      </c>
    </row>
    <row r="269" spans="1:16" x14ac:dyDescent="0.2">
      <c r="A269" s="1">
        <v>878</v>
      </c>
      <c r="B269" s="2">
        <v>40583</v>
      </c>
      <c r="C269" s="1">
        <v>1</v>
      </c>
      <c r="D269" s="1">
        <f t="shared" si="16"/>
        <v>2011</v>
      </c>
      <c r="E269" s="1" t="str">
        <f t="shared" si="17"/>
        <v>February</v>
      </c>
      <c r="F269" s="1">
        <v>10</v>
      </c>
      <c r="G269" s="1" t="b">
        <f t="shared" si="18"/>
        <v>0</v>
      </c>
      <c r="H269" s="1" t="str">
        <f t="shared" si="19"/>
        <v>Wednesday</v>
      </c>
      <c r="I269" s="1">
        <v>1</v>
      </c>
      <c r="J269" s="1">
        <v>0.14000000000000001</v>
      </c>
      <c r="K269" s="1">
        <v>0.18179999999999999</v>
      </c>
      <c r="L269" s="1">
        <v>0.36</v>
      </c>
      <c r="M269" s="1">
        <v>0</v>
      </c>
      <c r="N269" s="1">
        <v>8</v>
      </c>
      <c r="O269" s="1">
        <v>51</v>
      </c>
      <c r="P269" s="1">
        <v>59</v>
      </c>
    </row>
    <row r="270" spans="1:16" x14ac:dyDescent="0.2">
      <c r="A270" s="1">
        <v>879</v>
      </c>
      <c r="B270" s="2">
        <v>40583</v>
      </c>
      <c r="C270" s="1">
        <v>1</v>
      </c>
      <c r="D270" s="1">
        <f t="shared" si="16"/>
        <v>2011</v>
      </c>
      <c r="E270" s="1" t="str">
        <f t="shared" si="17"/>
        <v>February</v>
      </c>
      <c r="F270" s="1">
        <v>11</v>
      </c>
      <c r="G270" s="1" t="b">
        <f t="shared" si="18"/>
        <v>0</v>
      </c>
      <c r="H270" s="1" t="str">
        <f t="shared" si="19"/>
        <v>Wednesday</v>
      </c>
      <c r="I270" s="1">
        <v>2</v>
      </c>
      <c r="J270" s="1">
        <v>0.14000000000000001</v>
      </c>
      <c r="K270" s="1">
        <v>0.1515</v>
      </c>
      <c r="L270" s="1">
        <v>0.43</v>
      </c>
      <c r="M270" s="1">
        <v>0.16420000000000001</v>
      </c>
      <c r="N270" s="1">
        <v>1</v>
      </c>
      <c r="O270" s="1">
        <v>40</v>
      </c>
      <c r="P270" s="1">
        <v>41</v>
      </c>
    </row>
    <row r="271" spans="1:16" x14ac:dyDescent="0.2">
      <c r="A271" s="1">
        <v>880</v>
      </c>
      <c r="B271" s="2">
        <v>40583</v>
      </c>
      <c r="C271" s="1">
        <v>1</v>
      </c>
      <c r="D271" s="1">
        <f t="shared" si="16"/>
        <v>2011</v>
      </c>
      <c r="E271" s="1" t="str">
        <f t="shared" si="17"/>
        <v>February</v>
      </c>
      <c r="F271" s="1">
        <v>12</v>
      </c>
      <c r="G271" s="1" t="b">
        <f t="shared" si="18"/>
        <v>0</v>
      </c>
      <c r="H271" s="1" t="str">
        <f t="shared" si="19"/>
        <v>Wednesday</v>
      </c>
      <c r="I271" s="1">
        <v>2</v>
      </c>
      <c r="J271" s="1">
        <v>0.18</v>
      </c>
      <c r="K271" s="1">
        <v>0.18179999999999999</v>
      </c>
      <c r="L271" s="1">
        <v>0.4</v>
      </c>
      <c r="M271" s="1">
        <v>0.22389999999999999</v>
      </c>
      <c r="N271" s="1">
        <v>4</v>
      </c>
      <c r="O271" s="1">
        <v>57</v>
      </c>
      <c r="P271" s="1">
        <v>61</v>
      </c>
    </row>
    <row r="272" spans="1:16" x14ac:dyDescent="0.2">
      <c r="A272" s="1">
        <v>881</v>
      </c>
      <c r="B272" s="2">
        <v>40583</v>
      </c>
      <c r="C272" s="1">
        <v>1</v>
      </c>
      <c r="D272" s="1">
        <f t="shared" si="16"/>
        <v>2011</v>
      </c>
      <c r="E272" s="1" t="str">
        <f t="shared" si="17"/>
        <v>February</v>
      </c>
      <c r="F272" s="1">
        <v>13</v>
      </c>
      <c r="G272" s="1" t="b">
        <f t="shared" si="18"/>
        <v>0</v>
      </c>
      <c r="H272" s="1" t="str">
        <f t="shared" si="19"/>
        <v>Wednesday</v>
      </c>
      <c r="I272" s="1">
        <v>1</v>
      </c>
      <c r="J272" s="1">
        <v>0.18</v>
      </c>
      <c r="K272" s="1">
        <v>0.16669999999999999</v>
      </c>
      <c r="L272" s="1">
        <v>0.4</v>
      </c>
      <c r="M272" s="1">
        <v>0.25369999999999998</v>
      </c>
      <c r="N272" s="1">
        <v>2</v>
      </c>
      <c r="O272" s="1">
        <v>67</v>
      </c>
      <c r="P272" s="1">
        <v>69</v>
      </c>
    </row>
    <row r="273" spans="1:16" x14ac:dyDescent="0.2">
      <c r="A273" s="1">
        <v>882</v>
      </c>
      <c r="B273" s="2">
        <v>40583</v>
      </c>
      <c r="C273" s="1">
        <v>1</v>
      </c>
      <c r="D273" s="1">
        <f t="shared" si="16"/>
        <v>2011</v>
      </c>
      <c r="E273" s="1" t="str">
        <f t="shared" si="17"/>
        <v>February</v>
      </c>
      <c r="F273" s="1">
        <v>14</v>
      </c>
      <c r="G273" s="1" t="b">
        <f t="shared" si="18"/>
        <v>0</v>
      </c>
      <c r="H273" s="1" t="str">
        <f t="shared" si="19"/>
        <v>Wednesday</v>
      </c>
      <c r="I273" s="1">
        <v>1</v>
      </c>
      <c r="J273" s="1">
        <v>0.2</v>
      </c>
      <c r="K273" s="1">
        <v>0.18179999999999999</v>
      </c>
      <c r="L273" s="1">
        <v>0.34</v>
      </c>
      <c r="M273" s="1">
        <v>0.29849999999999999</v>
      </c>
      <c r="N273" s="1">
        <v>2</v>
      </c>
      <c r="O273" s="1">
        <v>56</v>
      </c>
      <c r="P273" s="1">
        <v>58</v>
      </c>
    </row>
    <row r="274" spans="1:16" x14ac:dyDescent="0.2">
      <c r="A274" s="1">
        <v>883</v>
      </c>
      <c r="B274" s="2">
        <v>40583</v>
      </c>
      <c r="C274" s="1">
        <v>1</v>
      </c>
      <c r="D274" s="1">
        <f t="shared" si="16"/>
        <v>2011</v>
      </c>
      <c r="E274" s="1" t="str">
        <f t="shared" si="17"/>
        <v>February</v>
      </c>
      <c r="F274" s="1">
        <v>15</v>
      </c>
      <c r="G274" s="1" t="b">
        <f t="shared" si="18"/>
        <v>0</v>
      </c>
      <c r="H274" s="1" t="str">
        <f t="shared" si="19"/>
        <v>Wednesday</v>
      </c>
      <c r="I274" s="1">
        <v>2</v>
      </c>
      <c r="J274" s="1">
        <v>0.2</v>
      </c>
      <c r="K274" s="1">
        <v>0.18179999999999999</v>
      </c>
      <c r="L274" s="1">
        <v>0.34</v>
      </c>
      <c r="M274" s="1">
        <v>0.28360000000000002</v>
      </c>
      <c r="N274" s="1">
        <v>3</v>
      </c>
      <c r="O274" s="1">
        <v>61</v>
      </c>
      <c r="P274" s="1">
        <v>64</v>
      </c>
    </row>
    <row r="275" spans="1:16" x14ac:dyDescent="0.2">
      <c r="A275" s="1">
        <v>884</v>
      </c>
      <c r="B275" s="2">
        <v>40583</v>
      </c>
      <c r="C275" s="1">
        <v>1</v>
      </c>
      <c r="D275" s="1">
        <f t="shared" si="16"/>
        <v>2011</v>
      </c>
      <c r="E275" s="1" t="str">
        <f t="shared" si="17"/>
        <v>February</v>
      </c>
      <c r="F275" s="1">
        <v>16</v>
      </c>
      <c r="G275" s="1" t="b">
        <f t="shared" si="18"/>
        <v>0</v>
      </c>
      <c r="H275" s="1" t="str">
        <f t="shared" si="19"/>
        <v>Wednesday</v>
      </c>
      <c r="I275" s="1">
        <v>2</v>
      </c>
      <c r="J275" s="1">
        <v>0.2</v>
      </c>
      <c r="K275" s="1">
        <v>0.19700000000000001</v>
      </c>
      <c r="L275" s="1">
        <v>0.37</v>
      </c>
      <c r="M275" s="1">
        <v>0.25369999999999998</v>
      </c>
      <c r="N275" s="1">
        <v>7</v>
      </c>
      <c r="O275" s="1">
        <v>72</v>
      </c>
      <c r="P275" s="1">
        <v>79</v>
      </c>
    </row>
    <row r="276" spans="1:16" x14ac:dyDescent="0.2">
      <c r="A276" s="1">
        <v>885</v>
      </c>
      <c r="B276" s="2">
        <v>40583</v>
      </c>
      <c r="C276" s="1">
        <v>1</v>
      </c>
      <c r="D276" s="1">
        <f t="shared" si="16"/>
        <v>2011</v>
      </c>
      <c r="E276" s="1" t="str">
        <f t="shared" si="17"/>
        <v>February</v>
      </c>
      <c r="F276" s="1">
        <v>17</v>
      </c>
      <c r="G276" s="1" t="b">
        <f t="shared" si="18"/>
        <v>0</v>
      </c>
      <c r="H276" s="1" t="str">
        <f t="shared" si="19"/>
        <v>Wednesday</v>
      </c>
      <c r="I276" s="1">
        <v>2</v>
      </c>
      <c r="J276" s="1">
        <v>0.2</v>
      </c>
      <c r="K276" s="1">
        <v>0.19700000000000001</v>
      </c>
      <c r="L276" s="1">
        <v>0.34</v>
      </c>
      <c r="M276" s="1">
        <v>0.25369999999999998</v>
      </c>
      <c r="N276" s="1">
        <v>9</v>
      </c>
      <c r="O276" s="1">
        <v>157</v>
      </c>
      <c r="P276" s="1">
        <v>166</v>
      </c>
    </row>
    <row r="277" spans="1:16" x14ac:dyDescent="0.2">
      <c r="A277" s="1">
        <v>886</v>
      </c>
      <c r="B277" s="2">
        <v>40583</v>
      </c>
      <c r="C277" s="1">
        <v>1</v>
      </c>
      <c r="D277" s="1">
        <f t="shared" si="16"/>
        <v>2011</v>
      </c>
      <c r="E277" s="1" t="str">
        <f t="shared" si="17"/>
        <v>February</v>
      </c>
      <c r="F277" s="1">
        <v>18</v>
      </c>
      <c r="G277" s="1" t="b">
        <f t="shared" si="18"/>
        <v>0</v>
      </c>
      <c r="H277" s="1" t="str">
        <f t="shared" si="19"/>
        <v>Wednesday</v>
      </c>
      <c r="I277" s="1">
        <v>2</v>
      </c>
      <c r="J277" s="1">
        <v>0.18</v>
      </c>
      <c r="K277" s="1">
        <v>0.16669999999999999</v>
      </c>
      <c r="L277" s="1">
        <v>0.47</v>
      </c>
      <c r="M277" s="1">
        <v>0.29849999999999999</v>
      </c>
      <c r="N277" s="1">
        <v>2</v>
      </c>
      <c r="O277" s="1">
        <v>168</v>
      </c>
      <c r="P277" s="1">
        <v>170</v>
      </c>
    </row>
    <row r="278" spans="1:16" x14ac:dyDescent="0.2">
      <c r="A278" s="1">
        <v>887</v>
      </c>
      <c r="B278" s="2">
        <v>40583</v>
      </c>
      <c r="C278" s="1">
        <v>1</v>
      </c>
      <c r="D278" s="1">
        <f t="shared" si="16"/>
        <v>2011</v>
      </c>
      <c r="E278" s="1" t="str">
        <f t="shared" si="17"/>
        <v>February</v>
      </c>
      <c r="F278" s="1">
        <v>19</v>
      </c>
      <c r="G278" s="1" t="b">
        <f t="shared" si="18"/>
        <v>0</v>
      </c>
      <c r="H278" s="1" t="str">
        <f t="shared" si="19"/>
        <v>Wednesday</v>
      </c>
      <c r="I278" s="1">
        <v>3</v>
      </c>
      <c r="J278" s="1">
        <v>0.14000000000000001</v>
      </c>
      <c r="K278" s="1">
        <v>0.1212</v>
      </c>
      <c r="L278" s="1">
        <v>0.86</v>
      </c>
      <c r="M278" s="1">
        <v>0.25369999999999998</v>
      </c>
      <c r="N278" s="1">
        <v>1</v>
      </c>
      <c r="O278" s="1">
        <v>87</v>
      </c>
      <c r="P278" s="1">
        <v>88</v>
      </c>
    </row>
    <row r="279" spans="1:16" x14ac:dyDescent="0.2">
      <c r="A279" s="1">
        <v>888</v>
      </c>
      <c r="B279" s="2">
        <v>40583</v>
      </c>
      <c r="C279" s="1">
        <v>1</v>
      </c>
      <c r="D279" s="1">
        <f t="shared" si="16"/>
        <v>2011</v>
      </c>
      <c r="E279" s="1" t="str">
        <f t="shared" si="17"/>
        <v>February</v>
      </c>
      <c r="F279" s="1">
        <v>20</v>
      </c>
      <c r="G279" s="1" t="b">
        <f t="shared" si="18"/>
        <v>0</v>
      </c>
      <c r="H279" s="1" t="str">
        <f t="shared" si="19"/>
        <v>Wednesday</v>
      </c>
      <c r="I279" s="1">
        <v>3</v>
      </c>
      <c r="J279" s="1">
        <v>0.14000000000000001</v>
      </c>
      <c r="K279" s="1">
        <v>0.1515</v>
      </c>
      <c r="L279" s="1">
        <v>0.86</v>
      </c>
      <c r="M279" s="1">
        <v>0.16420000000000001</v>
      </c>
      <c r="N279" s="1">
        <v>0</v>
      </c>
      <c r="O279" s="1">
        <v>84</v>
      </c>
      <c r="P279" s="1">
        <v>84</v>
      </c>
    </row>
    <row r="280" spans="1:16" x14ac:dyDescent="0.2">
      <c r="A280" s="1">
        <v>889</v>
      </c>
      <c r="B280" s="2">
        <v>40583</v>
      </c>
      <c r="C280" s="1">
        <v>1</v>
      </c>
      <c r="D280" s="1">
        <f t="shared" si="16"/>
        <v>2011</v>
      </c>
      <c r="E280" s="1" t="str">
        <f t="shared" si="17"/>
        <v>February</v>
      </c>
      <c r="F280" s="1">
        <v>21</v>
      </c>
      <c r="G280" s="1" t="b">
        <f t="shared" si="18"/>
        <v>0</v>
      </c>
      <c r="H280" s="1" t="str">
        <f t="shared" si="19"/>
        <v>Wednesday</v>
      </c>
      <c r="I280" s="1">
        <v>2</v>
      </c>
      <c r="J280" s="1">
        <v>0.14000000000000001</v>
      </c>
      <c r="K280" s="1">
        <v>0.1515</v>
      </c>
      <c r="L280" s="1">
        <v>0.86</v>
      </c>
      <c r="M280" s="1">
        <v>0.16420000000000001</v>
      </c>
      <c r="N280" s="1">
        <v>0</v>
      </c>
      <c r="O280" s="1">
        <v>83</v>
      </c>
      <c r="P280" s="1">
        <v>83</v>
      </c>
    </row>
    <row r="281" spans="1:16" x14ac:dyDescent="0.2">
      <c r="A281" s="1">
        <v>890</v>
      </c>
      <c r="B281" s="2">
        <v>40583</v>
      </c>
      <c r="C281" s="1">
        <v>1</v>
      </c>
      <c r="D281" s="1">
        <f t="shared" si="16"/>
        <v>2011</v>
      </c>
      <c r="E281" s="1" t="str">
        <f t="shared" si="17"/>
        <v>February</v>
      </c>
      <c r="F281" s="1">
        <v>22</v>
      </c>
      <c r="G281" s="1" t="b">
        <f t="shared" si="18"/>
        <v>0</v>
      </c>
      <c r="H281" s="1" t="str">
        <f t="shared" si="19"/>
        <v>Wednesday</v>
      </c>
      <c r="I281" s="1">
        <v>3</v>
      </c>
      <c r="J281" s="1">
        <v>0.16</v>
      </c>
      <c r="K281" s="1">
        <v>0.16669999999999999</v>
      </c>
      <c r="L281" s="1">
        <v>0.8</v>
      </c>
      <c r="M281" s="1">
        <v>0.16420000000000001</v>
      </c>
      <c r="N281" s="1">
        <v>4</v>
      </c>
      <c r="O281" s="1">
        <v>42</v>
      </c>
      <c r="P281" s="1">
        <v>46</v>
      </c>
    </row>
    <row r="282" spans="1:16" x14ac:dyDescent="0.2">
      <c r="A282" s="1">
        <v>891</v>
      </c>
      <c r="B282" s="2">
        <v>40583</v>
      </c>
      <c r="C282" s="1">
        <v>1</v>
      </c>
      <c r="D282" s="1">
        <f t="shared" si="16"/>
        <v>2011</v>
      </c>
      <c r="E282" s="1" t="str">
        <f t="shared" si="17"/>
        <v>February</v>
      </c>
      <c r="F282" s="1">
        <v>23</v>
      </c>
      <c r="G282" s="1" t="b">
        <f t="shared" si="18"/>
        <v>0</v>
      </c>
      <c r="H282" s="1" t="str">
        <f t="shared" si="19"/>
        <v>Wednesday</v>
      </c>
      <c r="I282" s="1">
        <v>3</v>
      </c>
      <c r="J282" s="1">
        <v>0.16</v>
      </c>
      <c r="K282" s="1">
        <v>0.1515</v>
      </c>
      <c r="L282" s="1">
        <v>0.8</v>
      </c>
      <c r="M282" s="1">
        <v>0.19400000000000001</v>
      </c>
      <c r="N282" s="1">
        <v>0</v>
      </c>
      <c r="O282" s="1">
        <v>37</v>
      </c>
      <c r="P282" s="1">
        <v>37</v>
      </c>
    </row>
    <row r="283" spans="1:16" x14ac:dyDescent="0.2">
      <c r="A283" s="1">
        <v>892</v>
      </c>
      <c r="B283" s="2">
        <v>40584</v>
      </c>
      <c r="C283" s="1">
        <v>1</v>
      </c>
      <c r="D283" s="1">
        <f t="shared" si="16"/>
        <v>2011</v>
      </c>
      <c r="E283" s="1" t="str">
        <f t="shared" si="17"/>
        <v>February</v>
      </c>
      <c r="F283" s="1">
        <v>0</v>
      </c>
      <c r="G283" s="1" t="b">
        <f t="shared" si="18"/>
        <v>0</v>
      </c>
      <c r="H283" s="1" t="str">
        <f t="shared" si="19"/>
        <v>Thursday</v>
      </c>
      <c r="I283" s="1">
        <v>3</v>
      </c>
      <c r="J283" s="1">
        <v>0.14000000000000001</v>
      </c>
      <c r="K283" s="1">
        <v>0.13639999999999999</v>
      </c>
      <c r="L283" s="1">
        <v>0.86</v>
      </c>
      <c r="M283" s="1">
        <v>0.19400000000000001</v>
      </c>
      <c r="N283" s="1">
        <v>0</v>
      </c>
      <c r="O283" s="1">
        <v>16</v>
      </c>
      <c r="P283" s="1">
        <v>16</v>
      </c>
    </row>
    <row r="284" spans="1:16" x14ac:dyDescent="0.2">
      <c r="A284" s="1">
        <v>893</v>
      </c>
      <c r="B284" s="2">
        <v>40584</v>
      </c>
      <c r="C284" s="1">
        <v>1</v>
      </c>
      <c r="D284" s="1">
        <f t="shared" si="16"/>
        <v>2011</v>
      </c>
      <c r="E284" s="1" t="str">
        <f t="shared" si="17"/>
        <v>February</v>
      </c>
      <c r="F284" s="1">
        <v>1</v>
      </c>
      <c r="G284" s="1" t="b">
        <f t="shared" si="18"/>
        <v>0</v>
      </c>
      <c r="H284" s="1" t="str">
        <f t="shared" si="19"/>
        <v>Thursday</v>
      </c>
      <c r="I284" s="1">
        <v>3</v>
      </c>
      <c r="J284" s="1">
        <v>0.14000000000000001</v>
      </c>
      <c r="K284" s="1">
        <v>0.1515</v>
      </c>
      <c r="L284" s="1">
        <v>0.8</v>
      </c>
      <c r="M284" s="1">
        <v>0.1343</v>
      </c>
      <c r="N284" s="1">
        <v>0</v>
      </c>
      <c r="O284" s="1">
        <v>7</v>
      </c>
      <c r="P284" s="1">
        <v>7</v>
      </c>
    </row>
    <row r="285" spans="1:16" x14ac:dyDescent="0.2">
      <c r="A285" s="1">
        <v>894</v>
      </c>
      <c r="B285" s="2">
        <v>40584</v>
      </c>
      <c r="C285" s="1">
        <v>1</v>
      </c>
      <c r="D285" s="1">
        <f t="shared" si="16"/>
        <v>2011</v>
      </c>
      <c r="E285" s="1" t="str">
        <f t="shared" si="17"/>
        <v>February</v>
      </c>
      <c r="F285" s="1">
        <v>2</v>
      </c>
      <c r="G285" s="1" t="b">
        <f t="shared" si="18"/>
        <v>0</v>
      </c>
      <c r="H285" s="1" t="str">
        <f t="shared" si="19"/>
        <v>Thursday</v>
      </c>
      <c r="I285" s="1">
        <v>3</v>
      </c>
      <c r="J285" s="1">
        <v>0.14000000000000001</v>
      </c>
      <c r="K285" s="1">
        <v>0.1515</v>
      </c>
      <c r="L285" s="1">
        <v>0.8</v>
      </c>
      <c r="M285" s="1">
        <v>0.1343</v>
      </c>
      <c r="N285" s="1">
        <v>0</v>
      </c>
      <c r="O285" s="1">
        <v>3</v>
      </c>
      <c r="P285" s="1">
        <v>3</v>
      </c>
    </row>
    <row r="286" spans="1:16" x14ac:dyDescent="0.2">
      <c r="A286" s="1">
        <v>895</v>
      </c>
      <c r="B286" s="2">
        <v>40584</v>
      </c>
      <c r="C286" s="1">
        <v>1</v>
      </c>
      <c r="D286" s="1">
        <f t="shared" si="16"/>
        <v>2011</v>
      </c>
      <c r="E286" s="1" t="str">
        <f t="shared" si="17"/>
        <v>February</v>
      </c>
      <c r="F286" s="1">
        <v>4</v>
      </c>
      <c r="G286" s="1" t="b">
        <f t="shared" si="18"/>
        <v>0</v>
      </c>
      <c r="H286" s="1" t="str">
        <f t="shared" si="19"/>
        <v>Thursday</v>
      </c>
      <c r="I286" s="1">
        <v>2</v>
      </c>
      <c r="J286" s="1">
        <v>0.14000000000000001</v>
      </c>
      <c r="K286" s="1">
        <v>0.13639999999999999</v>
      </c>
      <c r="L286" s="1">
        <v>0.59</v>
      </c>
      <c r="M286" s="1">
        <v>0.22389999999999999</v>
      </c>
      <c r="N286" s="1">
        <v>0</v>
      </c>
      <c r="O286" s="1">
        <v>1</v>
      </c>
      <c r="P286" s="1">
        <v>1</v>
      </c>
    </row>
    <row r="287" spans="1:16" x14ac:dyDescent="0.2">
      <c r="A287" s="1">
        <v>896</v>
      </c>
      <c r="B287" s="2">
        <v>40584</v>
      </c>
      <c r="C287" s="1">
        <v>1</v>
      </c>
      <c r="D287" s="1">
        <f t="shared" si="16"/>
        <v>2011</v>
      </c>
      <c r="E287" s="1" t="str">
        <f t="shared" si="17"/>
        <v>February</v>
      </c>
      <c r="F287" s="1">
        <v>5</v>
      </c>
      <c r="G287" s="1" t="b">
        <f t="shared" si="18"/>
        <v>0</v>
      </c>
      <c r="H287" s="1" t="str">
        <f t="shared" si="19"/>
        <v>Thursday</v>
      </c>
      <c r="I287" s="1">
        <v>2</v>
      </c>
      <c r="J287" s="1">
        <v>0.12</v>
      </c>
      <c r="K287" s="1">
        <v>0.1212</v>
      </c>
      <c r="L287" s="1">
        <v>0.5</v>
      </c>
      <c r="M287" s="1">
        <v>0.22389999999999999</v>
      </c>
      <c r="N287" s="1">
        <v>0</v>
      </c>
      <c r="O287" s="1">
        <v>6</v>
      </c>
      <c r="P287" s="1">
        <v>6</v>
      </c>
    </row>
    <row r="288" spans="1:16" x14ac:dyDescent="0.2">
      <c r="A288" s="1">
        <v>897</v>
      </c>
      <c r="B288" s="2">
        <v>40584</v>
      </c>
      <c r="C288" s="1">
        <v>1</v>
      </c>
      <c r="D288" s="1">
        <f t="shared" si="16"/>
        <v>2011</v>
      </c>
      <c r="E288" s="1" t="str">
        <f t="shared" si="17"/>
        <v>February</v>
      </c>
      <c r="F288" s="1">
        <v>6</v>
      </c>
      <c r="G288" s="1" t="b">
        <f t="shared" si="18"/>
        <v>0</v>
      </c>
      <c r="H288" s="1" t="str">
        <f t="shared" si="19"/>
        <v>Thursday</v>
      </c>
      <c r="I288" s="1">
        <v>2</v>
      </c>
      <c r="J288" s="1">
        <v>0.12</v>
      </c>
      <c r="K288" s="1">
        <v>0.1212</v>
      </c>
      <c r="L288" s="1">
        <v>0.54</v>
      </c>
      <c r="M288" s="1">
        <v>0.28360000000000002</v>
      </c>
      <c r="N288" s="1">
        <v>0</v>
      </c>
      <c r="O288" s="1">
        <v>26</v>
      </c>
      <c r="P288" s="1">
        <v>26</v>
      </c>
    </row>
    <row r="289" spans="1:16" x14ac:dyDescent="0.2">
      <c r="A289" s="1">
        <v>898</v>
      </c>
      <c r="B289" s="2">
        <v>40584</v>
      </c>
      <c r="C289" s="1">
        <v>1</v>
      </c>
      <c r="D289" s="1">
        <f t="shared" si="16"/>
        <v>2011</v>
      </c>
      <c r="E289" s="1" t="str">
        <f t="shared" si="17"/>
        <v>February</v>
      </c>
      <c r="F289" s="1">
        <v>7</v>
      </c>
      <c r="G289" s="1" t="b">
        <f t="shared" si="18"/>
        <v>0</v>
      </c>
      <c r="H289" s="1" t="str">
        <f t="shared" si="19"/>
        <v>Thursday</v>
      </c>
      <c r="I289" s="1">
        <v>1</v>
      </c>
      <c r="J289" s="1">
        <v>0.1</v>
      </c>
      <c r="K289" s="1">
        <v>7.5800000000000006E-2</v>
      </c>
      <c r="L289" s="1">
        <v>0.5</v>
      </c>
      <c r="M289" s="1">
        <v>0.41789999999999999</v>
      </c>
      <c r="N289" s="1">
        <v>0</v>
      </c>
      <c r="O289" s="1">
        <v>99</v>
      </c>
      <c r="P289" s="1">
        <v>99</v>
      </c>
    </row>
    <row r="290" spans="1:16" x14ac:dyDescent="0.2">
      <c r="A290" s="1">
        <v>899</v>
      </c>
      <c r="B290" s="2">
        <v>40584</v>
      </c>
      <c r="C290" s="1">
        <v>1</v>
      </c>
      <c r="D290" s="1">
        <f t="shared" si="16"/>
        <v>2011</v>
      </c>
      <c r="E290" s="1" t="str">
        <f t="shared" si="17"/>
        <v>February</v>
      </c>
      <c r="F290" s="1">
        <v>8</v>
      </c>
      <c r="G290" s="1" t="b">
        <f t="shared" si="18"/>
        <v>0</v>
      </c>
      <c r="H290" s="1" t="str">
        <f t="shared" si="19"/>
        <v>Thursday</v>
      </c>
      <c r="I290" s="1">
        <v>1</v>
      </c>
      <c r="J290" s="1">
        <v>0.1</v>
      </c>
      <c r="K290" s="1">
        <v>7.5800000000000006E-2</v>
      </c>
      <c r="L290" s="1">
        <v>0.49</v>
      </c>
      <c r="M290" s="1">
        <v>0.32840000000000003</v>
      </c>
      <c r="N290" s="1">
        <v>5</v>
      </c>
      <c r="O290" s="1">
        <v>173</v>
      </c>
      <c r="P290" s="1">
        <v>178</v>
      </c>
    </row>
    <row r="291" spans="1:16" x14ac:dyDescent="0.2">
      <c r="A291" s="1">
        <v>900</v>
      </c>
      <c r="B291" s="2">
        <v>40584</v>
      </c>
      <c r="C291" s="1">
        <v>1</v>
      </c>
      <c r="D291" s="1">
        <f t="shared" si="16"/>
        <v>2011</v>
      </c>
      <c r="E291" s="1" t="str">
        <f t="shared" si="17"/>
        <v>February</v>
      </c>
      <c r="F291" s="1">
        <v>9</v>
      </c>
      <c r="G291" s="1" t="b">
        <f t="shared" si="18"/>
        <v>0</v>
      </c>
      <c r="H291" s="1" t="str">
        <f t="shared" si="19"/>
        <v>Thursday</v>
      </c>
      <c r="I291" s="1">
        <v>1</v>
      </c>
      <c r="J291" s="1">
        <v>0.12</v>
      </c>
      <c r="K291" s="1">
        <v>0.1061</v>
      </c>
      <c r="L291" s="1">
        <v>0.42</v>
      </c>
      <c r="M291" s="1">
        <v>0.35820000000000002</v>
      </c>
      <c r="N291" s="1">
        <v>1</v>
      </c>
      <c r="O291" s="1">
        <v>121</v>
      </c>
      <c r="P291" s="1">
        <v>122</v>
      </c>
    </row>
    <row r="292" spans="1:16" x14ac:dyDescent="0.2">
      <c r="A292" s="1">
        <v>901</v>
      </c>
      <c r="B292" s="2">
        <v>40584</v>
      </c>
      <c r="C292" s="1">
        <v>1</v>
      </c>
      <c r="D292" s="1">
        <f t="shared" si="16"/>
        <v>2011</v>
      </c>
      <c r="E292" s="1" t="str">
        <f t="shared" si="17"/>
        <v>February</v>
      </c>
      <c r="F292" s="1">
        <v>10</v>
      </c>
      <c r="G292" s="1" t="b">
        <f t="shared" si="18"/>
        <v>0</v>
      </c>
      <c r="H292" s="1" t="str">
        <f t="shared" si="19"/>
        <v>Thursday</v>
      </c>
      <c r="I292" s="1">
        <v>1</v>
      </c>
      <c r="J292" s="1">
        <v>0.12</v>
      </c>
      <c r="K292" s="1">
        <v>0.1061</v>
      </c>
      <c r="L292" s="1">
        <v>0.42</v>
      </c>
      <c r="M292" s="1">
        <v>0.29849999999999999</v>
      </c>
      <c r="N292" s="1">
        <v>1</v>
      </c>
      <c r="O292" s="1">
        <v>34</v>
      </c>
      <c r="P292" s="1">
        <v>35</v>
      </c>
    </row>
    <row r="293" spans="1:16" x14ac:dyDescent="0.2">
      <c r="A293" s="1">
        <v>902</v>
      </c>
      <c r="B293" s="2">
        <v>40584</v>
      </c>
      <c r="C293" s="1">
        <v>1</v>
      </c>
      <c r="D293" s="1">
        <f t="shared" si="16"/>
        <v>2011</v>
      </c>
      <c r="E293" s="1" t="str">
        <f t="shared" si="17"/>
        <v>February</v>
      </c>
      <c r="F293" s="1">
        <v>11</v>
      </c>
      <c r="G293" s="1" t="b">
        <f t="shared" si="18"/>
        <v>0</v>
      </c>
      <c r="H293" s="1" t="str">
        <f t="shared" si="19"/>
        <v>Thursday</v>
      </c>
      <c r="I293" s="1">
        <v>1</v>
      </c>
      <c r="J293" s="1">
        <v>0.14000000000000001</v>
      </c>
      <c r="K293" s="1">
        <v>0.1212</v>
      </c>
      <c r="L293" s="1">
        <v>0.39</v>
      </c>
      <c r="M293" s="1">
        <v>0.35820000000000002</v>
      </c>
      <c r="N293" s="1">
        <v>1</v>
      </c>
      <c r="O293" s="1">
        <v>44</v>
      </c>
      <c r="P293" s="1">
        <v>45</v>
      </c>
    </row>
    <row r="294" spans="1:16" x14ac:dyDescent="0.2">
      <c r="A294" s="1">
        <v>903</v>
      </c>
      <c r="B294" s="2">
        <v>40584</v>
      </c>
      <c r="C294" s="1">
        <v>1</v>
      </c>
      <c r="D294" s="1">
        <f t="shared" si="16"/>
        <v>2011</v>
      </c>
      <c r="E294" s="1" t="str">
        <f t="shared" si="17"/>
        <v>February</v>
      </c>
      <c r="F294" s="1">
        <v>12</v>
      </c>
      <c r="G294" s="1" t="b">
        <f t="shared" si="18"/>
        <v>0</v>
      </c>
      <c r="H294" s="1" t="str">
        <f t="shared" si="19"/>
        <v>Thursday</v>
      </c>
      <c r="I294" s="1">
        <v>1</v>
      </c>
      <c r="J294" s="1">
        <v>0.16</v>
      </c>
      <c r="K294" s="1">
        <v>0.13639999999999999</v>
      </c>
      <c r="L294" s="1">
        <v>0.34</v>
      </c>
      <c r="M294" s="1">
        <v>0.3881</v>
      </c>
      <c r="N294" s="1">
        <v>4</v>
      </c>
      <c r="O294" s="1">
        <v>65</v>
      </c>
      <c r="P294" s="1">
        <v>69</v>
      </c>
    </row>
    <row r="295" spans="1:16" x14ac:dyDescent="0.2">
      <c r="A295" s="1">
        <v>904</v>
      </c>
      <c r="B295" s="2">
        <v>40584</v>
      </c>
      <c r="C295" s="1">
        <v>1</v>
      </c>
      <c r="D295" s="1">
        <f t="shared" si="16"/>
        <v>2011</v>
      </c>
      <c r="E295" s="1" t="str">
        <f t="shared" si="17"/>
        <v>February</v>
      </c>
      <c r="F295" s="1">
        <v>13</v>
      </c>
      <c r="G295" s="1" t="b">
        <f t="shared" si="18"/>
        <v>0</v>
      </c>
      <c r="H295" s="1" t="str">
        <f t="shared" si="19"/>
        <v>Thursday</v>
      </c>
      <c r="I295" s="1">
        <v>1</v>
      </c>
      <c r="J295" s="1">
        <v>0.18</v>
      </c>
      <c r="K295" s="1">
        <v>0.16669999999999999</v>
      </c>
      <c r="L295" s="1">
        <v>0.28999999999999998</v>
      </c>
      <c r="M295" s="1">
        <v>0.29849999999999999</v>
      </c>
      <c r="N295" s="1">
        <v>3</v>
      </c>
      <c r="O295" s="1">
        <v>59</v>
      </c>
      <c r="P295" s="1">
        <v>62</v>
      </c>
    </row>
    <row r="296" spans="1:16" x14ac:dyDescent="0.2">
      <c r="A296" s="1">
        <v>905</v>
      </c>
      <c r="B296" s="2">
        <v>40584</v>
      </c>
      <c r="C296" s="1">
        <v>1</v>
      </c>
      <c r="D296" s="1">
        <f t="shared" si="16"/>
        <v>2011</v>
      </c>
      <c r="E296" s="1" t="str">
        <f t="shared" si="17"/>
        <v>February</v>
      </c>
      <c r="F296" s="1">
        <v>14</v>
      </c>
      <c r="G296" s="1" t="b">
        <f t="shared" si="18"/>
        <v>0</v>
      </c>
      <c r="H296" s="1" t="str">
        <f t="shared" si="19"/>
        <v>Thursday</v>
      </c>
      <c r="I296" s="1">
        <v>1</v>
      </c>
      <c r="J296" s="1">
        <v>0.2</v>
      </c>
      <c r="K296" s="1">
        <v>0.18179999999999999</v>
      </c>
      <c r="L296" s="1">
        <v>0.27</v>
      </c>
      <c r="M296" s="1">
        <v>0.28360000000000002</v>
      </c>
      <c r="N296" s="1">
        <v>6</v>
      </c>
      <c r="O296" s="1">
        <v>42</v>
      </c>
      <c r="P296" s="1">
        <v>48</v>
      </c>
    </row>
    <row r="297" spans="1:16" x14ac:dyDescent="0.2">
      <c r="A297" s="1">
        <v>906</v>
      </c>
      <c r="B297" s="2">
        <v>40584</v>
      </c>
      <c r="C297" s="1">
        <v>1</v>
      </c>
      <c r="D297" s="1">
        <f t="shared" si="16"/>
        <v>2011</v>
      </c>
      <c r="E297" s="1" t="str">
        <f t="shared" si="17"/>
        <v>February</v>
      </c>
      <c r="F297" s="1">
        <v>15</v>
      </c>
      <c r="G297" s="1" t="b">
        <f t="shared" si="18"/>
        <v>0</v>
      </c>
      <c r="H297" s="1" t="str">
        <f t="shared" si="19"/>
        <v>Thursday</v>
      </c>
      <c r="I297" s="1">
        <v>1</v>
      </c>
      <c r="J297" s="1">
        <v>0.2</v>
      </c>
      <c r="K297" s="1">
        <v>0.19700000000000001</v>
      </c>
      <c r="L297" s="1">
        <v>0.25</v>
      </c>
      <c r="M297" s="1">
        <v>0.25369999999999998</v>
      </c>
      <c r="N297" s="1">
        <v>0</v>
      </c>
      <c r="O297" s="1">
        <v>50</v>
      </c>
      <c r="P297" s="1">
        <v>50</v>
      </c>
    </row>
    <row r="298" spans="1:16" x14ac:dyDescent="0.2">
      <c r="A298" s="1">
        <v>907</v>
      </c>
      <c r="B298" s="2">
        <v>40584</v>
      </c>
      <c r="C298" s="1">
        <v>1</v>
      </c>
      <c r="D298" s="1">
        <f t="shared" si="16"/>
        <v>2011</v>
      </c>
      <c r="E298" s="1" t="str">
        <f t="shared" si="17"/>
        <v>February</v>
      </c>
      <c r="F298" s="1">
        <v>16</v>
      </c>
      <c r="G298" s="1" t="b">
        <f t="shared" si="18"/>
        <v>0</v>
      </c>
      <c r="H298" s="1" t="str">
        <f t="shared" si="19"/>
        <v>Thursday</v>
      </c>
      <c r="I298" s="1">
        <v>1</v>
      </c>
      <c r="J298" s="1">
        <v>0.2</v>
      </c>
      <c r="K298" s="1">
        <v>0.18179999999999999</v>
      </c>
      <c r="L298" s="1">
        <v>0.27</v>
      </c>
      <c r="M298" s="1">
        <v>0.29849999999999999</v>
      </c>
      <c r="N298" s="1">
        <v>4</v>
      </c>
      <c r="O298" s="1">
        <v>76</v>
      </c>
      <c r="P298" s="1">
        <v>80</v>
      </c>
    </row>
    <row r="299" spans="1:16" x14ac:dyDescent="0.2">
      <c r="A299" s="1">
        <v>908</v>
      </c>
      <c r="B299" s="2">
        <v>40584</v>
      </c>
      <c r="C299" s="1">
        <v>1</v>
      </c>
      <c r="D299" s="1">
        <f t="shared" si="16"/>
        <v>2011</v>
      </c>
      <c r="E299" s="1" t="str">
        <f t="shared" si="17"/>
        <v>February</v>
      </c>
      <c r="F299" s="1">
        <v>17</v>
      </c>
      <c r="G299" s="1" t="b">
        <f t="shared" si="18"/>
        <v>0</v>
      </c>
      <c r="H299" s="1" t="str">
        <f t="shared" si="19"/>
        <v>Thursday</v>
      </c>
      <c r="I299" s="1">
        <v>1</v>
      </c>
      <c r="J299" s="1">
        <v>0.18</v>
      </c>
      <c r="K299" s="1">
        <v>0.18179999999999999</v>
      </c>
      <c r="L299" s="1">
        <v>0.26</v>
      </c>
      <c r="M299" s="1">
        <v>0.19400000000000001</v>
      </c>
      <c r="N299" s="1">
        <v>6</v>
      </c>
      <c r="O299" s="1">
        <v>159</v>
      </c>
      <c r="P299" s="1">
        <v>165</v>
      </c>
    </row>
    <row r="300" spans="1:16" x14ac:dyDescent="0.2">
      <c r="A300" s="1">
        <v>909</v>
      </c>
      <c r="B300" s="2">
        <v>40584</v>
      </c>
      <c r="C300" s="1">
        <v>1</v>
      </c>
      <c r="D300" s="1">
        <f t="shared" si="16"/>
        <v>2011</v>
      </c>
      <c r="E300" s="1" t="str">
        <f t="shared" si="17"/>
        <v>February</v>
      </c>
      <c r="F300" s="1">
        <v>18</v>
      </c>
      <c r="G300" s="1" t="b">
        <f t="shared" si="18"/>
        <v>0</v>
      </c>
      <c r="H300" s="1" t="str">
        <f t="shared" si="19"/>
        <v>Thursday</v>
      </c>
      <c r="I300" s="1">
        <v>1</v>
      </c>
      <c r="J300" s="1">
        <v>0.16</v>
      </c>
      <c r="K300" s="1">
        <v>0.18179999999999999</v>
      </c>
      <c r="L300" s="1">
        <v>0.28000000000000003</v>
      </c>
      <c r="M300" s="1">
        <v>0.1343</v>
      </c>
      <c r="N300" s="1">
        <v>3</v>
      </c>
      <c r="O300" s="1">
        <v>157</v>
      </c>
      <c r="P300" s="1">
        <v>160</v>
      </c>
    </row>
    <row r="301" spans="1:16" x14ac:dyDescent="0.2">
      <c r="A301" s="1">
        <v>910</v>
      </c>
      <c r="B301" s="2">
        <v>40584</v>
      </c>
      <c r="C301" s="1">
        <v>1</v>
      </c>
      <c r="D301" s="1">
        <f t="shared" si="16"/>
        <v>2011</v>
      </c>
      <c r="E301" s="1" t="str">
        <f t="shared" si="17"/>
        <v>February</v>
      </c>
      <c r="F301" s="1">
        <v>19</v>
      </c>
      <c r="G301" s="1" t="b">
        <f t="shared" si="18"/>
        <v>0</v>
      </c>
      <c r="H301" s="1" t="str">
        <f t="shared" si="19"/>
        <v>Thursday</v>
      </c>
      <c r="I301" s="1">
        <v>1</v>
      </c>
      <c r="J301" s="1">
        <v>0.14000000000000001</v>
      </c>
      <c r="K301" s="1">
        <v>0.16669999999999999</v>
      </c>
      <c r="L301" s="1">
        <v>0.28000000000000003</v>
      </c>
      <c r="M301" s="1">
        <v>0.1045</v>
      </c>
      <c r="N301" s="1">
        <v>2</v>
      </c>
      <c r="O301" s="1">
        <v>110</v>
      </c>
      <c r="P301" s="1">
        <v>112</v>
      </c>
    </row>
    <row r="302" spans="1:16" x14ac:dyDescent="0.2">
      <c r="A302" s="1">
        <v>911</v>
      </c>
      <c r="B302" s="2">
        <v>40584</v>
      </c>
      <c r="C302" s="1">
        <v>1</v>
      </c>
      <c r="D302" s="1">
        <f t="shared" si="16"/>
        <v>2011</v>
      </c>
      <c r="E302" s="1" t="str">
        <f t="shared" si="17"/>
        <v>February</v>
      </c>
      <c r="F302" s="1">
        <v>20</v>
      </c>
      <c r="G302" s="1" t="b">
        <f t="shared" si="18"/>
        <v>0</v>
      </c>
      <c r="H302" s="1" t="str">
        <f t="shared" si="19"/>
        <v>Thursday</v>
      </c>
      <c r="I302" s="1">
        <v>1</v>
      </c>
      <c r="J302" s="1">
        <v>0.14000000000000001</v>
      </c>
      <c r="K302" s="1">
        <v>0.18179999999999999</v>
      </c>
      <c r="L302" s="1">
        <v>0.31</v>
      </c>
      <c r="M302" s="1">
        <v>8.9599999999999999E-2</v>
      </c>
      <c r="N302" s="1">
        <v>4</v>
      </c>
      <c r="O302" s="1">
        <v>93</v>
      </c>
      <c r="P302" s="1">
        <v>97</v>
      </c>
    </row>
    <row r="303" spans="1:16" x14ac:dyDescent="0.2">
      <c r="A303" s="1">
        <v>912</v>
      </c>
      <c r="B303" s="2">
        <v>40584</v>
      </c>
      <c r="C303" s="1">
        <v>1</v>
      </c>
      <c r="D303" s="1">
        <f t="shared" si="16"/>
        <v>2011</v>
      </c>
      <c r="E303" s="1" t="str">
        <f t="shared" si="17"/>
        <v>February</v>
      </c>
      <c r="F303" s="1">
        <v>21</v>
      </c>
      <c r="G303" s="1" t="b">
        <f t="shared" si="18"/>
        <v>0</v>
      </c>
      <c r="H303" s="1" t="str">
        <f t="shared" si="19"/>
        <v>Thursday</v>
      </c>
      <c r="I303" s="1">
        <v>1</v>
      </c>
      <c r="J303" s="1">
        <v>0.14000000000000001</v>
      </c>
      <c r="K303" s="1">
        <v>0.21210000000000001</v>
      </c>
      <c r="L303" s="1">
        <v>0.39</v>
      </c>
      <c r="M303" s="1">
        <v>0</v>
      </c>
      <c r="N303" s="1">
        <v>2</v>
      </c>
      <c r="O303" s="1">
        <v>70</v>
      </c>
      <c r="P303" s="1">
        <v>72</v>
      </c>
    </row>
    <row r="304" spans="1:16" x14ac:dyDescent="0.2">
      <c r="A304" s="1">
        <v>913</v>
      </c>
      <c r="B304" s="2">
        <v>40584</v>
      </c>
      <c r="C304" s="1">
        <v>1</v>
      </c>
      <c r="D304" s="1">
        <f t="shared" si="16"/>
        <v>2011</v>
      </c>
      <c r="E304" s="1" t="str">
        <f t="shared" si="17"/>
        <v>February</v>
      </c>
      <c r="F304" s="1">
        <v>22</v>
      </c>
      <c r="G304" s="1" t="b">
        <f t="shared" si="18"/>
        <v>0</v>
      </c>
      <c r="H304" s="1" t="str">
        <f t="shared" si="19"/>
        <v>Thursday</v>
      </c>
      <c r="I304" s="1">
        <v>1</v>
      </c>
      <c r="J304" s="1">
        <v>0.12</v>
      </c>
      <c r="K304" s="1">
        <v>0.19700000000000001</v>
      </c>
      <c r="L304" s="1">
        <v>0.39</v>
      </c>
      <c r="M304" s="1">
        <v>0</v>
      </c>
      <c r="N304" s="1">
        <v>4</v>
      </c>
      <c r="O304" s="1">
        <v>47</v>
      </c>
      <c r="P304" s="1">
        <v>51</v>
      </c>
    </row>
    <row r="305" spans="1:16" x14ac:dyDescent="0.2">
      <c r="A305" s="1">
        <v>914</v>
      </c>
      <c r="B305" s="2">
        <v>40584</v>
      </c>
      <c r="C305" s="1">
        <v>1</v>
      </c>
      <c r="D305" s="1">
        <f t="shared" si="16"/>
        <v>2011</v>
      </c>
      <c r="E305" s="1" t="str">
        <f t="shared" si="17"/>
        <v>February</v>
      </c>
      <c r="F305" s="1">
        <v>23</v>
      </c>
      <c r="G305" s="1" t="b">
        <f t="shared" si="18"/>
        <v>0</v>
      </c>
      <c r="H305" s="1" t="str">
        <f t="shared" si="19"/>
        <v>Thursday</v>
      </c>
      <c r="I305" s="1">
        <v>1</v>
      </c>
      <c r="J305" s="1">
        <v>0.12</v>
      </c>
      <c r="K305" s="1">
        <v>0.1515</v>
      </c>
      <c r="L305" s="1">
        <v>0.42</v>
      </c>
      <c r="M305" s="1">
        <v>0.1045</v>
      </c>
      <c r="N305" s="1">
        <v>1</v>
      </c>
      <c r="O305" s="1">
        <v>33</v>
      </c>
      <c r="P305" s="1">
        <v>34</v>
      </c>
    </row>
    <row r="306" spans="1:16" x14ac:dyDescent="0.2">
      <c r="A306" s="1">
        <v>915</v>
      </c>
      <c r="B306" s="2">
        <v>40585</v>
      </c>
      <c r="C306" s="1">
        <v>1</v>
      </c>
      <c r="D306" s="1">
        <f t="shared" si="16"/>
        <v>2011</v>
      </c>
      <c r="E306" s="1" t="str">
        <f t="shared" si="17"/>
        <v>February</v>
      </c>
      <c r="F306" s="1">
        <v>0</v>
      </c>
      <c r="G306" s="1" t="b">
        <f t="shared" si="18"/>
        <v>0</v>
      </c>
      <c r="H306" s="1" t="str">
        <f t="shared" si="19"/>
        <v>Friday</v>
      </c>
      <c r="I306" s="1">
        <v>1</v>
      </c>
      <c r="J306" s="1">
        <v>0.1</v>
      </c>
      <c r="K306" s="1">
        <v>0.13639999999999999</v>
      </c>
      <c r="L306" s="1">
        <v>0.49</v>
      </c>
      <c r="M306" s="1">
        <v>0.1045</v>
      </c>
      <c r="N306" s="1">
        <v>2</v>
      </c>
      <c r="O306" s="1">
        <v>12</v>
      </c>
      <c r="P306" s="1">
        <v>14</v>
      </c>
    </row>
    <row r="307" spans="1:16" x14ac:dyDescent="0.2">
      <c r="A307" s="1">
        <v>916</v>
      </c>
      <c r="B307" s="2">
        <v>40585</v>
      </c>
      <c r="C307" s="1">
        <v>1</v>
      </c>
      <c r="D307" s="1">
        <f t="shared" si="16"/>
        <v>2011</v>
      </c>
      <c r="E307" s="1" t="str">
        <f t="shared" si="17"/>
        <v>February</v>
      </c>
      <c r="F307" s="1">
        <v>1</v>
      </c>
      <c r="G307" s="1" t="b">
        <f t="shared" si="18"/>
        <v>0</v>
      </c>
      <c r="H307" s="1" t="str">
        <f t="shared" si="19"/>
        <v>Friday</v>
      </c>
      <c r="I307" s="1">
        <v>1</v>
      </c>
      <c r="J307" s="1">
        <v>0.1</v>
      </c>
      <c r="K307" s="1">
        <v>0.13639999999999999</v>
      </c>
      <c r="L307" s="1">
        <v>0.54</v>
      </c>
      <c r="M307" s="1">
        <v>8.9599999999999999E-2</v>
      </c>
      <c r="N307" s="1">
        <v>1</v>
      </c>
      <c r="O307" s="1">
        <v>6</v>
      </c>
      <c r="P307" s="1">
        <v>7</v>
      </c>
    </row>
    <row r="308" spans="1:16" x14ac:dyDescent="0.2">
      <c r="A308" s="1">
        <v>917</v>
      </c>
      <c r="B308" s="2">
        <v>40585</v>
      </c>
      <c r="C308" s="1">
        <v>1</v>
      </c>
      <c r="D308" s="1">
        <f t="shared" si="16"/>
        <v>2011</v>
      </c>
      <c r="E308" s="1" t="str">
        <f t="shared" si="17"/>
        <v>February</v>
      </c>
      <c r="F308" s="1">
        <v>2</v>
      </c>
      <c r="G308" s="1" t="b">
        <f t="shared" si="18"/>
        <v>0</v>
      </c>
      <c r="H308" s="1" t="str">
        <f t="shared" si="19"/>
        <v>Friday</v>
      </c>
      <c r="I308" s="1">
        <v>1</v>
      </c>
      <c r="J308" s="1">
        <v>0.1</v>
      </c>
      <c r="K308" s="1">
        <v>0.13639999999999999</v>
      </c>
      <c r="L308" s="1">
        <v>0.54</v>
      </c>
      <c r="M308" s="1">
        <v>8.9599999999999999E-2</v>
      </c>
      <c r="N308" s="1">
        <v>0</v>
      </c>
      <c r="O308" s="1">
        <v>3</v>
      </c>
      <c r="P308" s="1">
        <v>3</v>
      </c>
    </row>
    <row r="309" spans="1:16" x14ac:dyDescent="0.2">
      <c r="A309" s="1">
        <v>918</v>
      </c>
      <c r="B309" s="2">
        <v>40585</v>
      </c>
      <c r="C309" s="1">
        <v>1</v>
      </c>
      <c r="D309" s="1">
        <f t="shared" si="16"/>
        <v>2011</v>
      </c>
      <c r="E309" s="1" t="str">
        <f t="shared" si="17"/>
        <v>February</v>
      </c>
      <c r="F309" s="1">
        <v>5</v>
      </c>
      <c r="G309" s="1" t="b">
        <f t="shared" si="18"/>
        <v>0</v>
      </c>
      <c r="H309" s="1" t="str">
        <f t="shared" si="19"/>
        <v>Friday</v>
      </c>
      <c r="I309" s="1">
        <v>1</v>
      </c>
      <c r="J309" s="1">
        <v>0.08</v>
      </c>
      <c r="K309" s="1">
        <v>0.1212</v>
      </c>
      <c r="L309" s="1">
        <v>0.63</v>
      </c>
      <c r="M309" s="1">
        <v>8.9599999999999999E-2</v>
      </c>
      <c r="N309" s="1">
        <v>0</v>
      </c>
      <c r="O309" s="1">
        <v>4</v>
      </c>
      <c r="P309" s="1">
        <v>4</v>
      </c>
    </row>
    <row r="310" spans="1:16" x14ac:dyDescent="0.2">
      <c r="A310" s="1">
        <v>919</v>
      </c>
      <c r="B310" s="2">
        <v>40585</v>
      </c>
      <c r="C310" s="1">
        <v>1</v>
      </c>
      <c r="D310" s="1">
        <f t="shared" si="16"/>
        <v>2011</v>
      </c>
      <c r="E310" s="1" t="str">
        <f t="shared" si="17"/>
        <v>February</v>
      </c>
      <c r="F310" s="1">
        <v>6</v>
      </c>
      <c r="G310" s="1" t="b">
        <f t="shared" si="18"/>
        <v>0</v>
      </c>
      <c r="H310" s="1" t="str">
        <f t="shared" si="19"/>
        <v>Friday</v>
      </c>
      <c r="I310" s="1">
        <v>1</v>
      </c>
      <c r="J310" s="1">
        <v>0.1</v>
      </c>
      <c r="K310" s="1">
        <v>0.18179999999999999</v>
      </c>
      <c r="L310" s="1">
        <v>0.68</v>
      </c>
      <c r="M310" s="1">
        <v>0</v>
      </c>
      <c r="N310" s="1">
        <v>1</v>
      </c>
      <c r="O310" s="1">
        <v>23</v>
      </c>
      <c r="P310" s="1">
        <v>24</v>
      </c>
    </row>
    <row r="311" spans="1:16" x14ac:dyDescent="0.2">
      <c r="A311" s="1">
        <v>920</v>
      </c>
      <c r="B311" s="2">
        <v>40585</v>
      </c>
      <c r="C311" s="1">
        <v>1</v>
      </c>
      <c r="D311" s="1">
        <f t="shared" si="16"/>
        <v>2011</v>
      </c>
      <c r="E311" s="1" t="str">
        <f t="shared" si="17"/>
        <v>February</v>
      </c>
      <c r="F311" s="1">
        <v>7</v>
      </c>
      <c r="G311" s="1" t="b">
        <f t="shared" si="18"/>
        <v>0</v>
      </c>
      <c r="H311" s="1" t="str">
        <f t="shared" si="19"/>
        <v>Friday</v>
      </c>
      <c r="I311" s="1">
        <v>1</v>
      </c>
      <c r="J311" s="1">
        <v>0.08</v>
      </c>
      <c r="K311" s="1">
        <v>0.16669999999999999</v>
      </c>
      <c r="L311" s="1">
        <v>0.73</v>
      </c>
      <c r="M311" s="1">
        <v>0</v>
      </c>
      <c r="N311" s="1">
        <v>1</v>
      </c>
      <c r="O311" s="1">
        <v>73</v>
      </c>
      <c r="P311" s="1">
        <v>74</v>
      </c>
    </row>
    <row r="312" spans="1:16" x14ac:dyDescent="0.2">
      <c r="A312" s="1">
        <v>921</v>
      </c>
      <c r="B312" s="2">
        <v>40585</v>
      </c>
      <c r="C312" s="1">
        <v>1</v>
      </c>
      <c r="D312" s="1">
        <f t="shared" si="16"/>
        <v>2011</v>
      </c>
      <c r="E312" s="1" t="str">
        <f t="shared" si="17"/>
        <v>February</v>
      </c>
      <c r="F312" s="1">
        <v>8</v>
      </c>
      <c r="G312" s="1" t="b">
        <f t="shared" si="18"/>
        <v>0</v>
      </c>
      <c r="H312" s="1" t="str">
        <f t="shared" si="19"/>
        <v>Friday</v>
      </c>
      <c r="I312" s="1">
        <v>1</v>
      </c>
      <c r="J312" s="1">
        <v>0.1</v>
      </c>
      <c r="K312" s="1">
        <v>0.1212</v>
      </c>
      <c r="L312" s="1">
        <v>0.74</v>
      </c>
      <c r="M312" s="1">
        <v>0.16420000000000001</v>
      </c>
      <c r="N312" s="1">
        <v>4</v>
      </c>
      <c r="O312" s="1">
        <v>212</v>
      </c>
      <c r="P312" s="1">
        <v>216</v>
      </c>
    </row>
    <row r="313" spans="1:16" x14ac:dyDescent="0.2">
      <c r="A313" s="1">
        <v>922</v>
      </c>
      <c r="B313" s="2">
        <v>40585</v>
      </c>
      <c r="C313" s="1">
        <v>1</v>
      </c>
      <c r="D313" s="1">
        <f t="shared" si="16"/>
        <v>2011</v>
      </c>
      <c r="E313" s="1" t="str">
        <f t="shared" si="17"/>
        <v>February</v>
      </c>
      <c r="F313" s="1">
        <v>9</v>
      </c>
      <c r="G313" s="1" t="b">
        <f t="shared" si="18"/>
        <v>0</v>
      </c>
      <c r="H313" s="1" t="str">
        <f t="shared" si="19"/>
        <v>Friday</v>
      </c>
      <c r="I313" s="1">
        <v>1</v>
      </c>
      <c r="J313" s="1">
        <v>0.12</v>
      </c>
      <c r="K313" s="1">
        <v>0.1212</v>
      </c>
      <c r="L313" s="1">
        <v>0.74</v>
      </c>
      <c r="M313" s="1">
        <v>0.22389999999999999</v>
      </c>
      <c r="N313" s="1">
        <v>8</v>
      </c>
      <c r="O313" s="1">
        <v>132</v>
      </c>
      <c r="P313" s="1">
        <v>140</v>
      </c>
    </row>
    <row r="314" spans="1:16" x14ac:dyDescent="0.2">
      <c r="A314" s="1">
        <v>923</v>
      </c>
      <c r="B314" s="2">
        <v>40585</v>
      </c>
      <c r="C314" s="1">
        <v>1</v>
      </c>
      <c r="D314" s="1">
        <f t="shared" si="16"/>
        <v>2011</v>
      </c>
      <c r="E314" s="1" t="str">
        <f t="shared" si="17"/>
        <v>February</v>
      </c>
      <c r="F314" s="1">
        <v>10</v>
      </c>
      <c r="G314" s="1" t="b">
        <f t="shared" si="18"/>
        <v>0</v>
      </c>
      <c r="H314" s="1" t="str">
        <f t="shared" si="19"/>
        <v>Friday</v>
      </c>
      <c r="I314" s="1">
        <v>1</v>
      </c>
      <c r="J314" s="1">
        <v>0.14000000000000001</v>
      </c>
      <c r="K314" s="1">
        <v>0.13639999999999999</v>
      </c>
      <c r="L314" s="1">
        <v>0.69</v>
      </c>
      <c r="M314" s="1">
        <v>0.19400000000000001</v>
      </c>
      <c r="N314" s="1">
        <v>5</v>
      </c>
      <c r="O314" s="1">
        <v>39</v>
      </c>
      <c r="P314" s="1">
        <v>44</v>
      </c>
    </row>
    <row r="315" spans="1:16" x14ac:dyDescent="0.2">
      <c r="A315" s="1">
        <v>924</v>
      </c>
      <c r="B315" s="2">
        <v>40585</v>
      </c>
      <c r="C315" s="1">
        <v>1</v>
      </c>
      <c r="D315" s="1">
        <f t="shared" si="16"/>
        <v>2011</v>
      </c>
      <c r="E315" s="1" t="str">
        <f t="shared" si="17"/>
        <v>February</v>
      </c>
      <c r="F315" s="1">
        <v>11</v>
      </c>
      <c r="G315" s="1" t="b">
        <f t="shared" si="18"/>
        <v>0</v>
      </c>
      <c r="H315" s="1" t="str">
        <f t="shared" si="19"/>
        <v>Friday</v>
      </c>
      <c r="I315" s="1">
        <v>1</v>
      </c>
      <c r="J315" s="1">
        <v>0.22</v>
      </c>
      <c r="K315" s="1">
        <v>0.2273</v>
      </c>
      <c r="L315" s="1">
        <v>0.47</v>
      </c>
      <c r="M315" s="1">
        <v>0.1343</v>
      </c>
      <c r="N315" s="1">
        <v>12</v>
      </c>
      <c r="O315" s="1">
        <v>52</v>
      </c>
      <c r="P315" s="1">
        <v>64</v>
      </c>
    </row>
    <row r="316" spans="1:16" x14ac:dyDescent="0.2">
      <c r="A316" s="1">
        <v>925</v>
      </c>
      <c r="B316" s="2">
        <v>40585</v>
      </c>
      <c r="C316" s="1">
        <v>1</v>
      </c>
      <c r="D316" s="1">
        <f t="shared" si="16"/>
        <v>2011</v>
      </c>
      <c r="E316" s="1" t="str">
        <f t="shared" si="17"/>
        <v>February</v>
      </c>
      <c r="F316" s="1">
        <v>12</v>
      </c>
      <c r="G316" s="1" t="b">
        <f t="shared" si="18"/>
        <v>0</v>
      </c>
      <c r="H316" s="1" t="str">
        <f t="shared" si="19"/>
        <v>Friday</v>
      </c>
      <c r="I316" s="1">
        <v>1</v>
      </c>
      <c r="J316" s="1">
        <v>0.22</v>
      </c>
      <c r="K316" s="1">
        <v>0.2273</v>
      </c>
      <c r="L316" s="1">
        <v>0.47</v>
      </c>
      <c r="M316" s="1">
        <v>0.1343</v>
      </c>
      <c r="N316" s="1">
        <v>7</v>
      </c>
      <c r="O316" s="1">
        <v>64</v>
      </c>
      <c r="P316" s="1">
        <v>71</v>
      </c>
    </row>
    <row r="317" spans="1:16" x14ac:dyDescent="0.2">
      <c r="A317" s="1">
        <v>926</v>
      </c>
      <c r="B317" s="2">
        <v>40585</v>
      </c>
      <c r="C317" s="1">
        <v>1</v>
      </c>
      <c r="D317" s="1">
        <f t="shared" si="16"/>
        <v>2011</v>
      </c>
      <c r="E317" s="1" t="str">
        <f t="shared" si="17"/>
        <v>February</v>
      </c>
      <c r="F317" s="1">
        <v>13</v>
      </c>
      <c r="G317" s="1" t="b">
        <f t="shared" si="18"/>
        <v>0</v>
      </c>
      <c r="H317" s="1" t="str">
        <f t="shared" si="19"/>
        <v>Friday</v>
      </c>
      <c r="I317" s="1">
        <v>1</v>
      </c>
      <c r="J317" s="1">
        <v>0.24</v>
      </c>
      <c r="K317" s="1">
        <v>0.2273</v>
      </c>
      <c r="L317" s="1">
        <v>0.35</v>
      </c>
      <c r="M317" s="1">
        <v>0.19400000000000001</v>
      </c>
      <c r="N317" s="1">
        <v>21</v>
      </c>
      <c r="O317" s="1">
        <v>89</v>
      </c>
      <c r="P317" s="1">
        <v>110</v>
      </c>
    </row>
    <row r="318" spans="1:16" x14ac:dyDescent="0.2">
      <c r="A318" s="1">
        <v>927</v>
      </c>
      <c r="B318" s="2">
        <v>40585</v>
      </c>
      <c r="C318" s="1">
        <v>1</v>
      </c>
      <c r="D318" s="1">
        <f t="shared" si="16"/>
        <v>2011</v>
      </c>
      <c r="E318" s="1" t="str">
        <f t="shared" si="17"/>
        <v>February</v>
      </c>
      <c r="F318" s="1">
        <v>14</v>
      </c>
      <c r="G318" s="1" t="b">
        <f t="shared" si="18"/>
        <v>0</v>
      </c>
      <c r="H318" s="1" t="str">
        <f t="shared" si="19"/>
        <v>Friday</v>
      </c>
      <c r="I318" s="1">
        <v>1</v>
      </c>
      <c r="J318" s="1">
        <v>0.3</v>
      </c>
      <c r="K318" s="1">
        <v>0.28789999999999999</v>
      </c>
      <c r="L318" s="1">
        <v>0.26</v>
      </c>
      <c r="M318" s="1">
        <v>0.25369999999999998</v>
      </c>
      <c r="N318" s="1">
        <v>17</v>
      </c>
      <c r="O318" s="1">
        <v>67</v>
      </c>
      <c r="P318" s="1">
        <v>84</v>
      </c>
    </row>
    <row r="319" spans="1:16" x14ac:dyDescent="0.2">
      <c r="A319" s="1">
        <v>928</v>
      </c>
      <c r="B319" s="2">
        <v>40585</v>
      </c>
      <c r="C319" s="1">
        <v>1</v>
      </c>
      <c r="D319" s="1">
        <f t="shared" si="16"/>
        <v>2011</v>
      </c>
      <c r="E319" s="1" t="str">
        <f t="shared" si="17"/>
        <v>February</v>
      </c>
      <c r="F319" s="1">
        <v>15</v>
      </c>
      <c r="G319" s="1" t="b">
        <f t="shared" si="18"/>
        <v>0</v>
      </c>
      <c r="H319" s="1" t="str">
        <f t="shared" si="19"/>
        <v>Friday</v>
      </c>
      <c r="I319" s="1">
        <v>1</v>
      </c>
      <c r="J319" s="1">
        <v>0.32</v>
      </c>
      <c r="K319" s="1">
        <v>0.31819999999999998</v>
      </c>
      <c r="L319" s="1">
        <v>0.21</v>
      </c>
      <c r="M319" s="1">
        <v>0.16420000000000001</v>
      </c>
      <c r="N319" s="1">
        <v>12</v>
      </c>
      <c r="O319" s="1">
        <v>62</v>
      </c>
      <c r="P319" s="1">
        <v>74</v>
      </c>
    </row>
    <row r="320" spans="1:16" x14ac:dyDescent="0.2">
      <c r="A320" s="1">
        <v>929</v>
      </c>
      <c r="B320" s="2">
        <v>40585</v>
      </c>
      <c r="C320" s="1">
        <v>1</v>
      </c>
      <c r="D320" s="1">
        <f t="shared" si="16"/>
        <v>2011</v>
      </c>
      <c r="E320" s="1" t="str">
        <f t="shared" si="17"/>
        <v>February</v>
      </c>
      <c r="F320" s="1">
        <v>16</v>
      </c>
      <c r="G320" s="1" t="b">
        <f t="shared" si="18"/>
        <v>0</v>
      </c>
      <c r="H320" s="1" t="str">
        <f t="shared" si="19"/>
        <v>Friday</v>
      </c>
      <c r="I320" s="1">
        <v>1</v>
      </c>
      <c r="J320" s="1">
        <v>0.3</v>
      </c>
      <c r="K320" s="1">
        <v>0.28789999999999999</v>
      </c>
      <c r="L320" s="1">
        <v>0.28000000000000003</v>
      </c>
      <c r="M320" s="1">
        <v>0.19400000000000001</v>
      </c>
      <c r="N320" s="1">
        <v>14</v>
      </c>
      <c r="O320" s="1">
        <v>111</v>
      </c>
      <c r="P320" s="1">
        <v>125</v>
      </c>
    </row>
    <row r="321" spans="1:16" x14ac:dyDescent="0.2">
      <c r="A321" s="1">
        <v>930</v>
      </c>
      <c r="B321" s="2">
        <v>40585</v>
      </c>
      <c r="C321" s="1">
        <v>1</v>
      </c>
      <c r="D321" s="1">
        <f t="shared" si="16"/>
        <v>2011</v>
      </c>
      <c r="E321" s="1" t="str">
        <f t="shared" si="17"/>
        <v>February</v>
      </c>
      <c r="F321" s="1">
        <v>17</v>
      </c>
      <c r="G321" s="1" t="b">
        <f t="shared" si="18"/>
        <v>0</v>
      </c>
      <c r="H321" s="1" t="str">
        <f t="shared" si="19"/>
        <v>Friday</v>
      </c>
      <c r="I321" s="1">
        <v>1</v>
      </c>
      <c r="J321" s="1">
        <v>0.3</v>
      </c>
      <c r="K321" s="1">
        <v>0.33329999999999999</v>
      </c>
      <c r="L321" s="1">
        <v>0.24</v>
      </c>
      <c r="M321" s="1">
        <v>0</v>
      </c>
      <c r="N321" s="1">
        <v>18</v>
      </c>
      <c r="O321" s="1">
        <v>193</v>
      </c>
      <c r="P321" s="1">
        <v>211</v>
      </c>
    </row>
    <row r="322" spans="1:16" x14ac:dyDescent="0.2">
      <c r="A322" s="1">
        <v>931</v>
      </c>
      <c r="B322" s="2">
        <v>40585</v>
      </c>
      <c r="C322" s="1">
        <v>1</v>
      </c>
      <c r="D322" s="1">
        <f t="shared" si="16"/>
        <v>2011</v>
      </c>
      <c r="E322" s="1" t="str">
        <f t="shared" si="17"/>
        <v>February</v>
      </c>
      <c r="F322" s="1">
        <v>18</v>
      </c>
      <c r="G322" s="1" t="b">
        <f t="shared" si="18"/>
        <v>0</v>
      </c>
      <c r="H322" s="1" t="str">
        <f t="shared" si="19"/>
        <v>Friday</v>
      </c>
      <c r="I322" s="1">
        <v>1</v>
      </c>
      <c r="J322" s="1">
        <v>0.28000000000000003</v>
      </c>
      <c r="K322" s="1">
        <v>0.31819999999999998</v>
      </c>
      <c r="L322" s="1">
        <v>0.28000000000000003</v>
      </c>
      <c r="M322" s="1">
        <v>0</v>
      </c>
      <c r="N322" s="1">
        <v>9</v>
      </c>
      <c r="O322" s="1">
        <v>165</v>
      </c>
      <c r="P322" s="1">
        <v>174</v>
      </c>
    </row>
    <row r="323" spans="1:16" x14ac:dyDescent="0.2">
      <c r="A323" s="1">
        <v>932</v>
      </c>
      <c r="B323" s="2">
        <v>40585</v>
      </c>
      <c r="C323" s="1">
        <v>1</v>
      </c>
      <c r="D323" s="1">
        <f t="shared" ref="D323:D386" si="20">YEAR(B323)</f>
        <v>2011</v>
      </c>
      <c r="E323" s="1" t="str">
        <f t="shared" ref="E323:E386" si="21">TEXT(B323,"mmmm")</f>
        <v>February</v>
      </c>
      <c r="F323" s="1">
        <v>19</v>
      </c>
      <c r="G323" s="1" t="b">
        <f t="shared" ref="G323:G386" si="22">IF(H323="Sunday",TRUE,FALSE)</f>
        <v>0</v>
      </c>
      <c r="H323" s="1" t="str">
        <f t="shared" ref="H323:H386" si="23">TEXT(B323,"dddd")</f>
        <v>Friday</v>
      </c>
      <c r="I323" s="1">
        <v>1</v>
      </c>
      <c r="J323" s="1">
        <v>0.26</v>
      </c>
      <c r="K323" s="1">
        <v>0.30299999999999999</v>
      </c>
      <c r="L323" s="1">
        <v>0.33</v>
      </c>
      <c r="M323" s="1">
        <v>0</v>
      </c>
      <c r="N323" s="1">
        <v>7</v>
      </c>
      <c r="O323" s="1">
        <v>94</v>
      </c>
      <c r="P323" s="1">
        <v>101</v>
      </c>
    </row>
    <row r="324" spans="1:16" x14ac:dyDescent="0.2">
      <c r="A324" s="1">
        <v>933</v>
      </c>
      <c r="B324" s="2">
        <v>40585</v>
      </c>
      <c r="C324" s="1">
        <v>1</v>
      </c>
      <c r="D324" s="1">
        <f t="shared" si="20"/>
        <v>2011</v>
      </c>
      <c r="E324" s="1" t="str">
        <f t="shared" si="21"/>
        <v>February</v>
      </c>
      <c r="F324" s="1">
        <v>20</v>
      </c>
      <c r="G324" s="1" t="b">
        <f t="shared" si="22"/>
        <v>0</v>
      </c>
      <c r="H324" s="1" t="str">
        <f t="shared" si="23"/>
        <v>Friday</v>
      </c>
      <c r="I324" s="1">
        <v>1</v>
      </c>
      <c r="J324" s="1">
        <v>0.22</v>
      </c>
      <c r="K324" s="1">
        <v>0.2273</v>
      </c>
      <c r="L324" s="1">
        <v>0.55000000000000004</v>
      </c>
      <c r="M324" s="1">
        <v>0.1343</v>
      </c>
      <c r="N324" s="1">
        <v>2</v>
      </c>
      <c r="O324" s="1">
        <v>61</v>
      </c>
      <c r="P324" s="1">
        <v>63</v>
      </c>
    </row>
    <row r="325" spans="1:16" x14ac:dyDescent="0.2">
      <c r="A325" s="1">
        <v>934</v>
      </c>
      <c r="B325" s="2">
        <v>40585</v>
      </c>
      <c r="C325" s="1">
        <v>1</v>
      </c>
      <c r="D325" s="1">
        <f t="shared" si="20"/>
        <v>2011</v>
      </c>
      <c r="E325" s="1" t="str">
        <f t="shared" si="21"/>
        <v>February</v>
      </c>
      <c r="F325" s="1">
        <v>21</v>
      </c>
      <c r="G325" s="1" t="b">
        <f t="shared" si="22"/>
        <v>0</v>
      </c>
      <c r="H325" s="1" t="str">
        <f t="shared" si="23"/>
        <v>Friday</v>
      </c>
      <c r="I325" s="1">
        <v>1</v>
      </c>
      <c r="J325" s="1">
        <v>0.2</v>
      </c>
      <c r="K325" s="1">
        <v>0.21210000000000001</v>
      </c>
      <c r="L325" s="1">
        <v>0.59</v>
      </c>
      <c r="M325" s="1">
        <v>0.1343</v>
      </c>
      <c r="N325" s="1">
        <v>1</v>
      </c>
      <c r="O325" s="1">
        <v>46</v>
      </c>
      <c r="P325" s="1">
        <v>47</v>
      </c>
    </row>
    <row r="326" spans="1:16" x14ac:dyDescent="0.2">
      <c r="A326" s="1">
        <v>935</v>
      </c>
      <c r="B326" s="2">
        <v>40585</v>
      </c>
      <c r="C326" s="1">
        <v>1</v>
      </c>
      <c r="D326" s="1">
        <f t="shared" si="20"/>
        <v>2011</v>
      </c>
      <c r="E326" s="1" t="str">
        <f t="shared" si="21"/>
        <v>February</v>
      </c>
      <c r="F326" s="1">
        <v>22</v>
      </c>
      <c r="G326" s="1" t="b">
        <f t="shared" si="22"/>
        <v>0</v>
      </c>
      <c r="H326" s="1" t="str">
        <f t="shared" si="23"/>
        <v>Friday</v>
      </c>
      <c r="I326" s="1">
        <v>1</v>
      </c>
      <c r="J326" s="1">
        <v>0.2</v>
      </c>
      <c r="K326" s="1">
        <v>0.2273</v>
      </c>
      <c r="L326" s="1">
        <v>0.64</v>
      </c>
      <c r="M326" s="1">
        <v>8.9599999999999999E-2</v>
      </c>
      <c r="N326" s="1">
        <v>2</v>
      </c>
      <c r="O326" s="1">
        <v>41</v>
      </c>
      <c r="P326" s="1">
        <v>43</v>
      </c>
    </row>
    <row r="327" spans="1:16" x14ac:dyDescent="0.2">
      <c r="A327" s="1">
        <v>936</v>
      </c>
      <c r="B327" s="2">
        <v>40585</v>
      </c>
      <c r="C327" s="1">
        <v>1</v>
      </c>
      <c r="D327" s="1">
        <f t="shared" si="20"/>
        <v>2011</v>
      </c>
      <c r="E327" s="1" t="str">
        <f t="shared" si="21"/>
        <v>February</v>
      </c>
      <c r="F327" s="1">
        <v>23</v>
      </c>
      <c r="G327" s="1" t="b">
        <f t="shared" si="22"/>
        <v>0</v>
      </c>
      <c r="H327" s="1" t="str">
        <f t="shared" si="23"/>
        <v>Friday</v>
      </c>
      <c r="I327" s="1">
        <v>1</v>
      </c>
      <c r="J327" s="1">
        <v>0.18</v>
      </c>
      <c r="K327" s="1">
        <v>0.2424</v>
      </c>
      <c r="L327" s="1">
        <v>0.69</v>
      </c>
      <c r="M327" s="1">
        <v>0</v>
      </c>
      <c r="N327" s="1">
        <v>5</v>
      </c>
      <c r="O327" s="1">
        <v>48</v>
      </c>
      <c r="P327" s="1">
        <v>53</v>
      </c>
    </row>
    <row r="328" spans="1:16" x14ac:dyDescent="0.2">
      <c r="A328" s="1">
        <v>937</v>
      </c>
      <c r="B328" s="2">
        <v>40586</v>
      </c>
      <c r="C328" s="1">
        <v>1</v>
      </c>
      <c r="D328" s="1">
        <f t="shared" si="20"/>
        <v>2011</v>
      </c>
      <c r="E328" s="1" t="str">
        <f t="shared" si="21"/>
        <v>February</v>
      </c>
      <c r="F328" s="1">
        <v>0</v>
      </c>
      <c r="G328" s="1" t="b">
        <f t="shared" si="22"/>
        <v>0</v>
      </c>
      <c r="H328" s="1" t="str">
        <f t="shared" si="23"/>
        <v>Saturday</v>
      </c>
      <c r="I328" s="1">
        <v>1</v>
      </c>
      <c r="J328" s="1">
        <v>0.16</v>
      </c>
      <c r="K328" s="1">
        <v>0.19700000000000001</v>
      </c>
      <c r="L328" s="1">
        <v>0.69</v>
      </c>
      <c r="M328" s="1">
        <v>8.9599999999999999E-2</v>
      </c>
      <c r="N328" s="1">
        <v>3</v>
      </c>
      <c r="O328" s="1">
        <v>27</v>
      </c>
      <c r="P328" s="1">
        <v>30</v>
      </c>
    </row>
    <row r="329" spans="1:16" x14ac:dyDescent="0.2">
      <c r="A329" s="1">
        <v>938</v>
      </c>
      <c r="B329" s="2">
        <v>40586</v>
      </c>
      <c r="C329" s="1">
        <v>1</v>
      </c>
      <c r="D329" s="1">
        <f t="shared" si="20"/>
        <v>2011</v>
      </c>
      <c r="E329" s="1" t="str">
        <f t="shared" si="21"/>
        <v>February</v>
      </c>
      <c r="F329" s="1">
        <v>1</v>
      </c>
      <c r="G329" s="1" t="b">
        <f t="shared" si="22"/>
        <v>0</v>
      </c>
      <c r="H329" s="1" t="str">
        <f t="shared" si="23"/>
        <v>Saturday</v>
      </c>
      <c r="I329" s="1">
        <v>1</v>
      </c>
      <c r="J329" s="1">
        <v>0.14000000000000001</v>
      </c>
      <c r="K329" s="1">
        <v>0.21210000000000001</v>
      </c>
      <c r="L329" s="1">
        <v>0.86</v>
      </c>
      <c r="M329" s="1">
        <v>0</v>
      </c>
      <c r="N329" s="1">
        <v>2</v>
      </c>
      <c r="O329" s="1">
        <v>22</v>
      </c>
      <c r="P329" s="1">
        <v>24</v>
      </c>
    </row>
    <row r="330" spans="1:16" x14ac:dyDescent="0.2">
      <c r="A330" s="1">
        <v>939</v>
      </c>
      <c r="B330" s="2">
        <v>40586</v>
      </c>
      <c r="C330" s="1">
        <v>1</v>
      </c>
      <c r="D330" s="1">
        <f t="shared" si="20"/>
        <v>2011</v>
      </c>
      <c r="E330" s="1" t="str">
        <f t="shared" si="21"/>
        <v>February</v>
      </c>
      <c r="F330" s="1">
        <v>2</v>
      </c>
      <c r="G330" s="1" t="b">
        <f t="shared" si="22"/>
        <v>0</v>
      </c>
      <c r="H330" s="1" t="str">
        <f t="shared" si="23"/>
        <v>Saturday</v>
      </c>
      <c r="I330" s="1">
        <v>1</v>
      </c>
      <c r="J330" s="1">
        <v>0.14000000000000001</v>
      </c>
      <c r="K330" s="1">
        <v>0.21210000000000001</v>
      </c>
      <c r="L330" s="1">
        <v>0.8</v>
      </c>
      <c r="M330" s="1">
        <v>0</v>
      </c>
      <c r="N330" s="1">
        <v>2</v>
      </c>
      <c r="O330" s="1">
        <v>13</v>
      </c>
      <c r="P330" s="1">
        <v>15</v>
      </c>
    </row>
    <row r="331" spans="1:16" x14ac:dyDescent="0.2">
      <c r="A331" s="1">
        <v>940</v>
      </c>
      <c r="B331" s="2">
        <v>40586</v>
      </c>
      <c r="C331" s="1">
        <v>1</v>
      </c>
      <c r="D331" s="1">
        <f t="shared" si="20"/>
        <v>2011</v>
      </c>
      <c r="E331" s="1" t="str">
        <f t="shared" si="21"/>
        <v>February</v>
      </c>
      <c r="F331" s="1">
        <v>3</v>
      </c>
      <c r="G331" s="1" t="b">
        <f t="shared" si="22"/>
        <v>0</v>
      </c>
      <c r="H331" s="1" t="str">
        <f t="shared" si="23"/>
        <v>Saturday</v>
      </c>
      <c r="I331" s="1">
        <v>1</v>
      </c>
      <c r="J331" s="1">
        <v>0.12</v>
      </c>
      <c r="K331" s="1">
        <v>0.19700000000000001</v>
      </c>
      <c r="L331" s="1">
        <v>0.8</v>
      </c>
      <c r="M331" s="1">
        <v>0</v>
      </c>
      <c r="N331" s="1">
        <v>3</v>
      </c>
      <c r="O331" s="1">
        <v>7</v>
      </c>
      <c r="P331" s="1">
        <v>10</v>
      </c>
    </row>
    <row r="332" spans="1:16" x14ac:dyDescent="0.2">
      <c r="A332" s="1">
        <v>941</v>
      </c>
      <c r="B332" s="2">
        <v>40586</v>
      </c>
      <c r="C332" s="1">
        <v>1</v>
      </c>
      <c r="D332" s="1">
        <f t="shared" si="20"/>
        <v>2011</v>
      </c>
      <c r="E332" s="1" t="str">
        <f t="shared" si="21"/>
        <v>February</v>
      </c>
      <c r="F332" s="1">
        <v>4</v>
      </c>
      <c r="G332" s="1" t="b">
        <f t="shared" si="22"/>
        <v>0</v>
      </c>
      <c r="H332" s="1" t="str">
        <f t="shared" si="23"/>
        <v>Saturday</v>
      </c>
      <c r="I332" s="1">
        <v>1</v>
      </c>
      <c r="J332" s="1">
        <v>0.12</v>
      </c>
      <c r="K332" s="1">
        <v>0.16669999999999999</v>
      </c>
      <c r="L332" s="1">
        <v>0.74</v>
      </c>
      <c r="M332" s="1">
        <v>8.9599999999999999E-2</v>
      </c>
      <c r="N332" s="1">
        <v>0</v>
      </c>
      <c r="O332" s="1">
        <v>4</v>
      </c>
      <c r="P332" s="1">
        <v>4</v>
      </c>
    </row>
    <row r="333" spans="1:16" x14ac:dyDescent="0.2">
      <c r="A333" s="1">
        <v>942</v>
      </c>
      <c r="B333" s="2">
        <v>40586</v>
      </c>
      <c r="C333" s="1">
        <v>1</v>
      </c>
      <c r="D333" s="1">
        <f t="shared" si="20"/>
        <v>2011</v>
      </c>
      <c r="E333" s="1" t="str">
        <f t="shared" si="21"/>
        <v>February</v>
      </c>
      <c r="F333" s="1">
        <v>5</v>
      </c>
      <c r="G333" s="1" t="b">
        <f t="shared" si="22"/>
        <v>0</v>
      </c>
      <c r="H333" s="1" t="str">
        <f t="shared" si="23"/>
        <v>Saturday</v>
      </c>
      <c r="I333" s="1">
        <v>1</v>
      </c>
      <c r="J333" s="1">
        <v>0.12</v>
      </c>
      <c r="K333" s="1">
        <v>0.16669999999999999</v>
      </c>
      <c r="L333" s="1">
        <v>0.74</v>
      </c>
      <c r="M333" s="1">
        <v>8.9599999999999999E-2</v>
      </c>
      <c r="N333" s="1">
        <v>0</v>
      </c>
      <c r="O333" s="1">
        <v>1</v>
      </c>
      <c r="P333" s="1">
        <v>1</v>
      </c>
    </row>
    <row r="334" spans="1:16" x14ac:dyDescent="0.2">
      <c r="A334" s="1">
        <v>943</v>
      </c>
      <c r="B334" s="2">
        <v>40586</v>
      </c>
      <c r="C334" s="1">
        <v>1</v>
      </c>
      <c r="D334" s="1">
        <f t="shared" si="20"/>
        <v>2011</v>
      </c>
      <c r="E334" s="1" t="str">
        <f t="shared" si="21"/>
        <v>February</v>
      </c>
      <c r="F334" s="1">
        <v>6</v>
      </c>
      <c r="G334" s="1" t="b">
        <f t="shared" si="22"/>
        <v>0</v>
      </c>
      <c r="H334" s="1" t="str">
        <f t="shared" si="23"/>
        <v>Saturday</v>
      </c>
      <c r="I334" s="1">
        <v>1</v>
      </c>
      <c r="J334" s="1">
        <v>0.12</v>
      </c>
      <c r="K334" s="1">
        <v>0.13639999999999999</v>
      </c>
      <c r="L334" s="1">
        <v>0.93</v>
      </c>
      <c r="M334" s="1">
        <v>0.19400000000000001</v>
      </c>
      <c r="N334" s="1">
        <v>1</v>
      </c>
      <c r="O334" s="1">
        <v>1</v>
      </c>
      <c r="P334" s="1">
        <v>2</v>
      </c>
    </row>
    <row r="335" spans="1:16" x14ac:dyDescent="0.2">
      <c r="A335" s="1">
        <v>944</v>
      </c>
      <c r="B335" s="2">
        <v>40586</v>
      </c>
      <c r="C335" s="1">
        <v>1</v>
      </c>
      <c r="D335" s="1">
        <f t="shared" si="20"/>
        <v>2011</v>
      </c>
      <c r="E335" s="1" t="str">
        <f t="shared" si="21"/>
        <v>February</v>
      </c>
      <c r="F335" s="1">
        <v>7</v>
      </c>
      <c r="G335" s="1" t="b">
        <f t="shared" si="22"/>
        <v>0</v>
      </c>
      <c r="H335" s="1" t="str">
        <f t="shared" si="23"/>
        <v>Saturday</v>
      </c>
      <c r="I335" s="1">
        <v>1</v>
      </c>
      <c r="J335" s="1">
        <v>0.12</v>
      </c>
      <c r="K335" s="1">
        <v>0.1515</v>
      </c>
      <c r="L335" s="1">
        <v>0.8</v>
      </c>
      <c r="M335" s="1">
        <v>0.1045</v>
      </c>
      <c r="N335" s="1">
        <v>2</v>
      </c>
      <c r="O335" s="1">
        <v>9</v>
      </c>
      <c r="P335" s="1">
        <v>11</v>
      </c>
    </row>
    <row r="336" spans="1:16" x14ac:dyDescent="0.2">
      <c r="A336" s="1">
        <v>945</v>
      </c>
      <c r="B336" s="2">
        <v>40586</v>
      </c>
      <c r="C336" s="1">
        <v>1</v>
      </c>
      <c r="D336" s="1">
        <f t="shared" si="20"/>
        <v>2011</v>
      </c>
      <c r="E336" s="1" t="str">
        <f t="shared" si="21"/>
        <v>February</v>
      </c>
      <c r="F336" s="1">
        <v>8</v>
      </c>
      <c r="G336" s="1" t="b">
        <f t="shared" si="22"/>
        <v>0</v>
      </c>
      <c r="H336" s="1" t="str">
        <f t="shared" si="23"/>
        <v>Saturday</v>
      </c>
      <c r="I336" s="1">
        <v>1</v>
      </c>
      <c r="J336" s="1">
        <v>0.14000000000000001</v>
      </c>
      <c r="K336" s="1">
        <v>0.1515</v>
      </c>
      <c r="L336" s="1">
        <v>0.86</v>
      </c>
      <c r="M336" s="1">
        <v>0.1343</v>
      </c>
      <c r="N336" s="1">
        <v>2</v>
      </c>
      <c r="O336" s="1">
        <v>28</v>
      </c>
      <c r="P336" s="1">
        <v>30</v>
      </c>
    </row>
    <row r="337" spans="1:16" x14ac:dyDescent="0.2">
      <c r="A337" s="1">
        <v>946</v>
      </c>
      <c r="B337" s="2">
        <v>40586</v>
      </c>
      <c r="C337" s="1">
        <v>1</v>
      </c>
      <c r="D337" s="1">
        <f t="shared" si="20"/>
        <v>2011</v>
      </c>
      <c r="E337" s="1" t="str">
        <f t="shared" si="21"/>
        <v>February</v>
      </c>
      <c r="F337" s="1">
        <v>9</v>
      </c>
      <c r="G337" s="1" t="b">
        <f t="shared" si="22"/>
        <v>0</v>
      </c>
      <c r="H337" s="1" t="str">
        <f t="shared" si="23"/>
        <v>Saturday</v>
      </c>
      <c r="I337" s="1">
        <v>1</v>
      </c>
      <c r="J337" s="1">
        <v>0.16</v>
      </c>
      <c r="K337" s="1">
        <v>0.18179999999999999</v>
      </c>
      <c r="L337" s="1">
        <v>0.64</v>
      </c>
      <c r="M337" s="1">
        <v>0.1343</v>
      </c>
      <c r="N337" s="1">
        <v>5</v>
      </c>
      <c r="O337" s="1">
        <v>38</v>
      </c>
      <c r="P337" s="1">
        <v>43</v>
      </c>
    </row>
    <row r="338" spans="1:16" x14ac:dyDescent="0.2">
      <c r="A338" s="1">
        <v>947</v>
      </c>
      <c r="B338" s="2">
        <v>40586</v>
      </c>
      <c r="C338" s="1">
        <v>1</v>
      </c>
      <c r="D338" s="1">
        <f t="shared" si="20"/>
        <v>2011</v>
      </c>
      <c r="E338" s="1" t="str">
        <f t="shared" si="21"/>
        <v>February</v>
      </c>
      <c r="F338" s="1">
        <v>10</v>
      </c>
      <c r="G338" s="1" t="b">
        <f t="shared" si="22"/>
        <v>0</v>
      </c>
      <c r="H338" s="1" t="str">
        <f t="shared" si="23"/>
        <v>Saturday</v>
      </c>
      <c r="I338" s="1">
        <v>1</v>
      </c>
      <c r="J338" s="1">
        <v>0.22</v>
      </c>
      <c r="K338" s="1">
        <v>0.21210000000000001</v>
      </c>
      <c r="L338" s="1">
        <v>0.41</v>
      </c>
      <c r="M338" s="1">
        <v>0.25369999999999998</v>
      </c>
      <c r="N338" s="1">
        <v>13</v>
      </c>
      <c r="O338" s="1">
        <v>71</v>
      </c>
      <c r="P338" s="1">
        <v>84</v>
      </c>
    </row>
    <row r="339" spans="1:16" x14ac:dyDescent="0.2">
      <c r="A339" s="1">
        <v>948</v>
      </c>
      <c r="B339" s="2">
        <v>40586</v>
      </c>
      <c r="C339" s="1">
        <v>1</v>
      </c>
      <c r="D339" s="1">
        <f t="shared" si="20"/>
        <v>2011</v>
      </c>
      <c r="E339" s="1" t="str">
        <f t="shared" si="21"/>
        <v>February</v>
      </c>
      <c r="F339" s="1">
        <v>11</v>
      </c>
      <c r="G339" s="1" t="b">
        <f t="shared" si="22"/>
        <v>0</v>
      </c>
      <c r="H339" s="1" t="str">
        <f t="shared" si="23"/>
        <v>Saturday</v>
      </c>
      <c r="I339" s="1">
        <v>1</v>
      </c>
      <c r="J339" s="1">
        <v>0.3</v>
      </c>
      <c r="K339" s="1">
        <v>0.2727</v>
      </c>
      <c r="L339" s="1">
        <v>0.28000000000000003</v>
      </c>
      <c r="M339" s="1">
        <v>0.32840000000000003</v>
      </c>
      <c r="N339" s="1">
        <v>30</v>
      </c>
      <c r="O339" s="1">
        <v>84</v>
      </c>
      <c r="P339" s="1">
        <v>114</v>
      </c>
    </row>
    <row r="340" spans="1:16" x14ac:dyDescent="0.2">
      <c r="A340" s="1">
        <v>949</v>
      </c>
      <c r="B340" s="2">
        <v>40586</v>
      </c>
      <c r="C340" s="1">
        <v>1</v>
      </c>
      <c r="D340" s="1">
        <f t="shared" si="20"/>
        <v>2011</v>
      </c>
      <c r="E340" s="1" t="str">
        <f t="shared" si="21"/>
        <v>February</v>
      </c>
      <c r="F340" s="1">
        <v>12</v>
      </c>
      <c r="G340" s="1" t="b">
        <f t="shared" si="22"/>
        <v>0</v>
      </c>
      <c r="H340" s="1" t="str">
        <f t="shared" si="23"/>
        <v>Saturday</v>
      </c>
      <c r="I340" s="1">
        <v>1</v>
      </c>
      <c r="J340" s="1">
        <v>0.3</v>
      </c>
      <c r="K340" s="1">
        <v>0.2727</v>
      </c>
      <c r="L340" s="1">
        <v>0.39</v>
      </c>
      <c r="M340" s="1">
        <v>0.4627</v>
      </c>
      <c r="N340" s="1">
        <v>27</v>
      </c>
      <c r="O340" s="1">
        <v>93</v>
      </c>
      <c r="P340" s="1">
        <v>120</v>
      </c>
    </row>
    <row r="341" spans="1:16" x14ac:dyDescent="0.2">
      <c r="A341" s="1">
        <v>950</v>
      </c>
      <c r="B341" s="2">
        <v>40586</v>
      </c>
      <c r="C341" s="1">
        <v>1</v>
      </c>
      <c r="D341" s="1">
        <f t="shared" si="20"/>
        <v>2011</v>
      </c>
      <c r="E341" s="1" t="str">
        <f t="shared" si="21"/>
        <v>February</v>
      </c>
      <c r="F341" s="1">
        <v>13</v>
      </c>
      <c r="G341" s="1" t="b">
        <f t="shared" si="22"/>
        <v>0</v>
      </c>
      <c r="H341" s="1" t="str">
        <f t="shared" si="23"/>
        <v>Saturday</v>
      </c>
      <c r="I341" s="1">
        <v>1</v>
      </c>
      <c r="J341" s="1">
        <v>0.3</v>
      </c>
      <c r="K341" s="1">
        <v>0.2727</v>
      </c>
      <c r="L341" s="1">
        <v>0.39</v>
      </c>
      <c r="M341" s="1">
        <v>0.41789999999999999</v>
      </c>
      <c r="N341" s="1">
        <v>32</v>
      </c>
      <c r="O341" s="1">
        <v>103</v>
      </c>
      <c r="P341" s="1">
        <v>135</v>
      </c>
    </row>
    <row r="342" spans="1:16" x14ac:dyDescent="0.2">
      <c r="A342" s="1">
        <v>951</v>
      </c>
      <c r="B342" s="2">
        <v>40586</v>
      </c>
      <c r="C342" s="1">
        <v>1</v>
      </c>
      <c r="D342" s="1">
        <f t="shared" si="20"/>
        <v>2011</v>
      </c>
      <c r="E342" s="1" t="str">
        <f t="shared" si="21"/>
        <v>February</v>
      </c>
      <c r="F342" s="1">
        <v>14</v>
      </c>
      <c r="G342" s="1" t="b">
        <f t="shared" si="22"/>
        <v>0</v>
      </c>
      <c r="H342" s="1" t="str">
        <f t="shared" si="23"/>
        <v>Saturday</v>
      </c>
      <c r="I342" s="1">
        <v>1</v>
      </c>
      <c r="J342" s="1">
        <v>0.34</v>
      </c>
      <c r="K342" s="1">
        <v>0.31819999999999998</v>
      </c>
      <c r="L342" s="1">
        <v>0.31</v>
      </c>
      <c r="M342" s="1">
        <v>0.28360000000000002</v>
      </c>
      <c r="N342" s="1">
        <v>30</v>
      </c>
      <c r="O342" s="1">
        <v>90</v>
      </c>
      <c r="P342" s="1">
        <v>120</v>
      </c>
    </row>
    <row r="343" spans="1:16" x14ac:dyDescent="0.2">
      <c r="A343" s="1">
        <v>952</v>
      </c>
      <c r="B343" s="2">
        <v>40586</v>
      </c>
      <c r="C343" s="1">
        <v>1</v>
      </c>
      <c r="D343" s="1">
        <f t="shared" si="20"/>
        <v>2011</v>
      </c>
      <c r="E343" s="1" t="str">
        <f t="shared" si="21"/>
        <v>February</v>
      </c>
      <c r="F343" s="1">
        <v>15</v>
      </c>
      <c r="G343" s="1" t="b">
        <f t="shared" si="22"/>
        <v>0</v>
      </c>
      <c r="H343" s="1" t="str">
        <f t="shared" si="23"/>
        <v>Saturday</v>
      </c>
      <c r="I343" s="1">
        <v>1</v>
      </c>
      <c r="J343" s="1">
        <v>0.34</v>
      </c>
      <c r="K343" s="1">
        <v>0.30299999999999999</v>
      </c>
      <c r="L343" s="1">
        <v>0.28999999999999998</v>
      </c>
      <c r="M343" s="1">
        <v>0.41789999999999999</v>
      </c>
      <c r="N343" s="1">
        <v>47</v>
      </c>
      <c r="O343" s="1">
        <v>127</v>
      </c>
      <c r="P343" s="1">
        <v>174</v>
      </c>
    </row>
    <row r="344" spans="1:16" x14ac:dyDescent="0.2">
      <c r="A344" s="1">
        <v>953</v>
      </c>
      <c r="B344" s="2">
        <v>40586</v>
      </c>
      <c r="C344" s="1">
        <v>1</v>
      </c>
      <c r="D344" s="1">
        <f t="shared" si="20"/>
        <v>2011</v>
      </c>
      <c r="E344" s="1" t="str">
        <f t="shared" si="21"/>
        <v>February</v>
      </c>
      <c r="F344" s="1">
        <v>16</v>
      </c>
      <c r="G344" s="1" t="b">
        <f t="shared" si="22"/>
        <v>0</v>
      </c>
      <c r="H344" s="1" t="str">
        <f t="shared" si="23"/>
        <v>Saturday</v>
      </c>
      <c r="I344" s="1">
        <v>1</v>
      </c>
      <c r="J344" s="1">
        <v>0.34</v>
      </c>
      <c r="K344" s="1">
        <v>0.30299999999999999</v>
      </c>
      <c r="L344" s="1">
        <v>0.28999999999999998</v>
      </c>
      <c r="M344" s="1">
        <v>0.41789999999999999</v>
      </c>
      <c r="N344" s="1">
        <v>42</v>
      </c>
      <c r="O344" s="1">
        <v>103</v>
      </c>
      <c r="P344" s="1">
        <v>145</v>
      </c>
    </row>
    <row r="345" spans="1:16" x14ac:dyDescent="0.2">
      <c r="A345" s="1">
        <v>954</v>
      </c>
      <c r="B345" s="2">
        <v>40586</v>
      </c>
      <c r="C345" s="1">
        <v>1</v>
      </c>
      <c r="D345" s="1">
        <f t="shared" si="20"/>
        <v>2011</v>
      </c>
      <c r="E345" s="1" t="str">
        <f t="shared" si="21"/>
        <v>February</v>
      </c>
      <c r="F345" s="1">
        <v>17</v>
      </c>
      <c r="G345" s="1" t="b">
        <f t="shared" si="22"/>
        <v>0</v>
      </c>
      <c r="H345" s="1" t="str">
        <f t="shared" si="23"/>
        <v>Saturday</v>
      </c>
      <c r="I345" s="1">
        <v>1</v>
      </c>
      <c r="J345" s="1">
        <v>0.32</v>
      </c>
      <c r="K345" s="1">
        <v>0.28789999999999999</v>
      </c>
      <c r="L345" s="1">
        <v>0.31</v>
      </c>
      <c r="M345" s="1">
        <v>0.52239999999999998</v>
      </c>
      <c r="N345" s="1">
        <v>24</v>
      </c>
      <c r="O345" s="1">
        <v>113</v>
      </c>
      <c r="P345" s="1">
        <v>137</v>
      </c>
    </row>
    <row r="346" spans="1:16" x14ac:dyDescent="0.2">
      <c r="A346" s="1">
        <v>955</v>
      </c>
      <c r="B346" s="2">
        <v>40586</v>
      </c>
      <c r="C346" s="1">
        <v>1</v>
      </c>
      <c r="D346" s="1">
        <f t="shared" si="20"/>
        <v>2011</v>
      </c>
      <c r="E346" s="1" t="str">
        <f t="shared" si="21"/>
        <v>February</v>
      </c>
      <c r="F346" s="1">
        <v>18</v>
      </c>
      <c r="G346" s="1" t="b">
        <f t="shared" si="22"/>
        <v>0</v>
      </c>
      <c r="H346" s="1" t="str">
        <f t="shared" si="23"/>
        <v>Saturday</v>
      </c>
      <c r="I346" s="1">
        <v>1</v>
      </c>
      <c r="J346" s="1">
        <v>0.28000000000000003</v>
      </c>
      <c r="K346" s="1">
        <v>0.2576</v>
      </c>
      <c r="L346" s="1">
        <v>0.38</v>
      </c>
      <c r="M346" s="1">
        <v>0.32840000000000003</v>
      </c>
      <c r="N346" s="1">
        <v>4</v>
      </c>
      <c r="O346" s="1">
        <v>60</v>
      </c>
      <c r="P346" s="1">
        <v>64</v>
      </c>
    </row>
    <row r="347" spans="1:16" x14ac:dyDescent="0.2">
      <c r="A347" s="1">
        <v>956</v>
      </c>
      <c r="B347" s="2">
        <v>40586</v>
      </c>
      <c r="C347" s="1">
        <v>1</v>
      </c>
      <c r="D347" s="1">
        <f t="shared" si="20"/>
        <v>2011</v>
      </c>
      <c r="E347" s="1" t="str">
        <f t="shared" si="21"/>
        <v>February</v>
      </c>
      <c r="F347" s="1">
        <v>19</v>
      </c>
      <c r="G347" s="1" t="b">
        <f t="shared" si="22"/>
        <v>0</v>
      </c>
      <c r="H347" s="1" t="str">
        <f t="shared" si="23"/>
        <v>Saturday</v>
      </c>
      <c r="I347" s="1">
        <v>1</v>
      </c>
      <c r="J347" s="1">
        <v>0.28000000000000003</v>
      </c>
      <c r="K347" s="1">
        <v>0.2727</v>
      </c>
      <c r="L347" s="1">
        <v>0.38</v>
      </c>
      <c r="M347" s="1">
        <v>0.16420000000000001</v>
      </c>
      <c r="N347" s="1">
        <v>2</v>
      </c>
      <c r="O347" s="1">
        <v>39</v>
      </c>
      <c r="P347" s="1">
        <v>41</v>
      </c>
    </row>
    <row r="348" spans="1:16" x14ac:dyDescent="0.2">
      <c r="A348" s="1">
        <v>957</v>
      </c>
      <c r="B348" s="2">
        <v>40586</v>
      </c>
      <c r="C348" s="1">
        <v>1</v>
      </c>
      <c r="D348" s="1">
        <f t="shared" si="20"/>
        <v>2011</v>
      </c>
      <c r="E348" s="1" t="str">
        <f t="shared" si="21"/>
        <v>February</v>
      </c>
      <c r="F348" s="1">
        <v>20</v>
      </c>
      <c r="G348" s="1" t="b">
        <f t="shared" si="22"/>
        <v>0</v>
      </c>
      <c r="H348" s="1" t="str">
        <f t="shared" si="23"/>
        <v>Saturday</v>
      </c>
      <c r="I348" s="1">
        <v>1</v>
      </c>
      <c r="J348" s="1">
        <v>0.26</v>
      </c>
      <c r="K348" s="1">
        <v>0.2576</v>
      </c>
      <c r="L348" s="1">
        <v>0.41</v>
      </c>
      <c r="M348" s="1">
        <v>0.22389999999999999</v>
      </c>
      <c r="N348" s="1">
        <v>1</v>
      </c>
      <c r="O348" s="1">
        <v>39</v>
      </c>
      <c r="P348" s="1">
        <v>40</v>
      </c>
    </row>
    <row r="349" spans="1:16" x14ac:dyDescent="0.2">
      <c r="A349" s="1">
        <v>958</v>
      </c>
      <c r="B349" s="2">
        <v>40586</v>
      </c>
      <c r="C349" s="1">
        <v>1</v>
      </c>
      <c r="D349" s="1">
        <f t="shared" si="20"/>
        <v>2011</v>
      </c>
      <c r="E349" s="1" t="str">
        <f t="shared" si="21"/>
        <v>February</v>
      </c>
      <c r="F349" s="1">
        <v>21</v>
      </c>
      <c r="G349" s="1" t="b">
        <f t="shared" si="22"/>
        <v>0</v>
      </c>
      <c r="H349" s="1" t="str">
        <f t="shared" si="23"/>
        <v>Saturday</v>
      </c>
      <c r="I349" s="1">
        <v>1</v>
      </c>
      <c r="J349" s="1">
        <v>0.26</v>
      </c>
      <c r="K349" s="1">
        <v>0.30299999999999999</v>
      </c>
      <c r="L349" s="1">
        <v>0.41</v>
      </c>
      <c r="M349" s="1">
        <v>0</v>
      </c>
      <c r="N349" s="1">
        <v>9</v>
      </c>
      <c r="O349" s="1">
        <v>42</v>
      </c>
      <c r="P349" s="1">
        <v>51</v>
      </c>
    </row>
    <row r="350" spans="1:16" x14ac:dyDescent="0.2">
      <c r="A350" s="1">
        <v>959</v>
      </c>
      <c r="B350" s="2">
        <v>40586</v>
      </c>
      <c r="C350" s="1">
        <v>1</v>
      </c>
      <c r="D350" s="1">
        <f t="shared" si="20"/>
        <v>2011</v>
      </c>
      <c r="E350" s="1" t="str">
        <f t="shared" si="21"/>
        <v>February</v>
      </c>
      <c r="F350" s="1">
        <v>22</v>
      </c>
      <c r="G350" s="1" t="b">
        <f t="shared" si="22"/>
        <v>0</v>
      </c>
      <c r="H350" s="1" t="str">
        <f t="shared" si="23"/>
        <v>Saturday</v>
      </c>
      <c r="I350" s="1">
        <v>1</v>
      </c>
      <c r="J350" s="1">
        <v>0.24</v>
      </c>
      <c r="K350" s="1">
        <v>0.2576</v>
      </c>
      <c r="L350" s="1">
        <v>0.44</v>
      </c>
      <c r="M350" s="1">
        <v>8.9599999999999999E-2</v>
      </c>
      <c r="N350" s="1">
        <v>6</v>
      </c>
      <c r="O350" s="1">
        <v>39</v>
      </c>
      <c r="P350" s="1">
        <v>45</v>
      </c>
    </row>
    <row r="351" spans="1:16" x14ac:dyDescent="0.2">
      <c r="A351" s="1">
        <v>960</v>
      </c>
      <c r="B351" s="2">
        <v>40586</v>
      </c>
      <c r="C351" s="1">
        <v>1</v>
      </c>
      <c r="D351" s="1">
        <f t="shared" si="20"/>
        <v>2011</v>
      </c>
      <c r="E351" s="1" t="str">
        <f t="shared" si="21"/>
        <v>February</v>
      </c>
      <c r="F351" s="1">
        <v>23</v>
      </c>
      <c r="G351" s="1" t="b">
        <f t="shared" si="22"/>
        <v>0</v>
      </c>
      <c r="H351" s="1" t="str">
        <f t="shared" si="23"/>
        <v>Saturday</v>
      </c>
      <c r="I351" s="1">
        <v>1</v>
      </c>
      <c r="J351" s="1">
        <v>0.22</v>
      </c>
      <c r="K351" s="1">
        <v>0.2273</v>
      </c>
      <c r="L351" s="1">
        <v>0.51</v>
      </c>
      <c r="M351" s="1">
        <v>0.1343</v>
      </c>
      <c r="N351" s="1">
        <v>1</v>
      </c>
      <c r="O351" s="1">
        <v>31</v>
      </c>
      <c r="P351" s="1">
        <v>32</v>
      </c>
    </row>
    <row r="352" spans="1:16" x14ac:dyDescent="0.2">
      <c r="A352" s="1">
        <v>961</v>
      </c>
      <c r="B352" s="2">
        <v>40587</v>
      </c>
      <c r="C352" s="1">
        <v>1</v>
      </c>
      <c r="D352" s="1">
        <f t="shared" si="20"/>
        <v>2011</v>
      </c>
      <c r="E352" s="1" t="str">
        <f t="shared" si="21"/>
        <v>February</v>
      </c>
      <c r="F352" s="1">
        <v>0</v>
      </c>
      <c r="G352" s="1" t="b">
        <f t="shared" si="22"/>
        <v>1</v>
      </c>
      <c r="H352" s="1" t="str">
        <f t="shared" si="23"/>
        <v>Sunday</v>
      </c>
      <c r="I352" s="1">
        <v>1</v>
      </c>
      <c r="J352" s="1">
        <v>0.2</v>
      </c>
      <c r="K352" s="1">
        <v>0.2273</v>
      </c>
      <c r="L352" s="1">
        <v>0.64</v>
      </c>
      <c r="M352" s="1">
        <v>0.1045</v>
      </c>
      <c r="N352" s="1">
        <v>5</v>
      </c>
      <c r="O352" s="1">
        <v>34</v>
      </c>
      <c r="P352" s="1">
        <v>39</v>
      </c>
    </row>
    <row r="353" spans="1:16" x14ac:dyDescent="0.2">
      <c r="A353" s="1">
        <v>962</v>
      </c>
      <c r="B353" s="2">
        <v>40587</v>
      </c>
      <c r="C353" s="1">
        <v>1</v>
      </c>
      <c r="D353" s="1">
        <f t="shared" si="20"/>
        <v>2011</v>
      </c>
      <c r="E353" s="1" t="str">
        <f t="shared" si="21"/>
        <v>February</v>
      </c>
      <c r="F353" s="1">
        <v>1</v>
      </c>
      <c r="G353" s="1" t="b">
        <f t="shared" si="22"/>
        <v>1</v>
      </c>
      <c r="H353" s="1" t="str">
        <f t="shared" si="23"/>
        <v>Sunday</v>
      </c>
      <c r="I353" s="1">
        <v>1</v>
      </c>
      <c r="J353" s="1">
        <v>0.2</v>
      </c>
      <c r="K353" s="1">
        <v>0.2273</v>
      </c>
      <c r="L353" s="1">
        <v>0.59</v>
      </c>
      <c r="M353" s="1">
        <v>8.9599999999999999E-2</v>
      </c>
      <c r="N353" s="1">
        <v>1</v>
      </c>
      <c r="O353" s="1">
        <v>23</v>
      </c>
      <c r="P353" s="1">
        <v>24</v>
      </c>
    </row>
    <row r="354" spans="1:16" x14ac:dyDescent="0.2">
      <c r="A354" s="1">
        <v>963</v>
      </c>
      <c r="B354" s="2">
        <v>40587</v>
      </c>
      <c r="C354" s="1">
        <v>1</v>
      </c>
      <c r="D354" s="1">
        <f t="shared" si="20"/>
        <v>2011</v>
      </c>
      <c r="E354" s="1" t="str">
        <f t="shared" si="21"/>
        <v>February</v>
      </c>
      <c r="F354" s="1">
        <v>2</v>
      </c>
      <c r="G354" s="1" t="b">
        <f t="shared" si="22"/>
        <v>1</v>
      </c>
      <c r="H354" s="1" t="str">
        <f t="shared" si="23"/>
        <v>Sunday</v>
      </c>
      <c r="I354" s="1">
        <v>2</v>
      </c>
      <c r="J354" s="1">
        <v>0.2</v>
      </c>
      <c r="K354" s="1">
        <v>0.2273</v>
      </c>
      <c r="L354" s="1">
        <v>0.75</v>
      </c>
      <c r="M354" s="1">
        <v>8.9599999999999999E-2</v>
      </c>
      <c r="N354" s="1">
        <v>1</v>
      </c>
      <c r="O354" s="1">
        <v>19</v>
      </c>
      <c r="P354" s="1">
        <v>20</v>
      </c>
    </row>
    <row r="355" spans="1:16" x14ac:dyDescent="0.2">
      <c r="A355" s="1">
        <v>964</v>
      </c>
      <c r="B355" s="2">
        <v>40587</v>
      </c>
      <c r="C355" s="1">
        <v>1</v>
      </c>
      <c r="D355" s="1">
        <f t="shared" si="20"/>
        <v>2011</v>
      </c>
      <c r="E355" s="1" t="str">
        <f t="shared" si="21"/>
        <v>February</v>
      </c>
      <c r="F355" s="1">
        <v>3</v>
      </c>
      <c r="G355" s="1" t="b">
        <f t="shared" si="22"/>
        <v>1</v>
      </c>
      <c r="H355" s="1" t="str">
        <f t="shared" si="23"/>
        <v>Sunday</v>
      </c>
      <c r="I355" s="1">
        <v>2</v>
      </c>
      <c r="J355" s="1">
        <v>0.2</v>
      </c>
      <c r="K355" s="1">
        <v>0.2273</v>
      </c>
      <c r="L355" s="1">
        <v>0.69</v>
      </c>
      <c r="M355" s="1">
        <v>0.1045</v>
      </c>
      <c r="N355" s="1">
        <v>4</v>
      </c>
      <c r="O355" s="1">
        <v>8</v>
      </c>
      <c r="P355" s="1">
        <v>12</v>
      </c>
    </row>
    <row r="356" spans="1:16" x14ac:dyDescent="0.2">
      <c r="A356" s="1">
        <v>965</v>
      </c>
      <c r="B356" s="2">
        <v>40587</v>
      </c>
      <c r="C356" s="1">
        <v>1</v>
      </c>
      <c r="D356" s="1">
        <f t="shared" si="20"/>
        <v>2011</v>
      </c>
      <c r="E356" s="1" t="str">
        <f t="shared" si="21"/>
        <v>February</v>
      </c>
      <c r="F356" s="1">
        <v>4</v>
      </c>
      <c r="G356" s="1" t="b">
        <f t="shared" si="22"/>
        <v>1</v>
      </c>
      <c r="H356" s="1" t="str">
        <f t="shared" si="23"/>
        <v>Sunday</v>
      </c>
      <c r="I356" s="1">
        <v>2</v>
      </c>
      <c r="J356" s="1">
        <v>0.2</v>
      </c>
      <c r="K356" s="1">
        <v>0.21210000000000001</v>
      </c>
      <c r="L356" s="1">
        <v>0.69</v>
      </c>
      <c r="M356" s="1">
        <v>0.16420000000000001</v>
      </c>
      <c r="N356" s="1">
        <v>0</v>
      </c>
      <c r="O356" s="1">
        <v>2</v>
      </c>
      <c r="P356" s="1">
        <v>2</v>
      </c>
    </row>
    <row r="357" spans="1:16" x14ac:dyDescent="0.2">
      <c r="A357" s="1">
        <v>966</v>
      </c>
      <c r="B357" s="2">
        <v>40587</v>
      </c>
      <c r="C357" s="1">
        <v>1</v>
      </c>
      <c r="D357" s="1">
        <f t="shared" si="20"/>
        <v>2011</v>
      </c>
      <c r="E357" s="1" t="str">
        <f t="shared" si="21"/>
        <v>February</v>
      </c>
      <c r="F357" s="1">
        <v>6</v>
      </c>
      <c r="G357" s="1" t="b">
        <f t="shared" si="22"/>
        <v>1</v>
      </c>
      <c r="H357" s="1" t="str">
        <f t="shared" si="23"/>
        <v>Sunday</v>
      </c>
      <c r="I357" s="1">
        <v>2</v>
      </c>
      <c r="J357" s="1">
        <v>0.2</v>
      </c>
      <c r="K357" s="1">
        <v>0.21210000000000001</v>
      </c>
      <c r="L357" s="1">
        <v>0.69</v>
      </c>
      <c r="M357" s="1">
        <v>0.1343</v>
      </c>
      <c r="N357" s="1">
        <v>2</v>
      </c>
      <c r="O357" s="1">
        <v>3</v>
      </c>
      <c r="P357" s="1">
        <v>5</v>
      </c>
    </row>
    <row r="358" spans="1:16" x14ac:dyDescent="0.2">
      <c r="A358" s="1">
        <v>967</v>
      </c>
      <c r="B358" s="2">
        <v>40587</v>
      </c>
      <c r="C358" s="1">
        <v>1</v>
      </c>
      <c r="D358" s="1">
        <f t="shared" si="20"/>
        <v>2011</v>
      </c>
      <c r="E358" s="1" t="str">
        <f t="shared" si="21"/>
        <v>February</v>
      </c>
      <c r="F358" s="1">
        <v>7</v>
      </c>
      <c r="G358" s="1" t="b">
        <f t="shared" si="22"/>
        <v>1</v>
      </c>
      <c r="H358" s="1" t="str">
        <f t="shared" si="23"/>
        <v>Sunday</v>
      </c>
      <c r="I358" s="1">
        <v>2</v>
      </c>
      <c r="J358" s="1">
        <v>0.22</v>
      </c>
      <c r="K358" s="1">
        <v>0.2727</v>
      </c>
      <c r="L358" s="1">
        <v>0.55000000000000004</v>
      </c>
      <c r="M358" s="1">
        <v>0</v>
      </c>
      <c r="N358" s="1">
        <v>0</v>
      </c>
      <c r="O358" s="1">
        <v>3</v>
      </c>
      <c r="P358" s="1">
        <v>3</v>
      </c>
    </row>
    <row r="359" spans="1:16" x14ac:dyDescent="0.2">
      <c r="A359" s="1">
        <v>968</v>
      </c>
      <c r="B359" s="2">
        <v>40587</v>
      </c>
      <c r="C359" s="1">
        <v>1</v>
      </c>
      <c r="D359" s="1">
        <f t="shared" si="20"/>
        <v>2011</v>
      </c>
      <c r="E359" s="1" t="str">
        <f t="shared" si="21"/>
        <v>February</v>
      </c>
      <c r="F359" s="1">
        <v>8</v>
      </c>
      <c r="G359" s="1" t="b">
        <f t="shared" si="22"/>
        <v>1</v>
      </c>
      <c r="H359" s="1" t="str">
        <f t="shared" si="23"/>
        <v>Sunday</v>
      </c>
      <c r="I359" s="1">
        <v>2</v>
      </c>
      <c r="J359" s="1">
        <v>0.22</v>
      </c>
      <c r="K359" s="1">
        <v>0.2273</v>
      </c>
      <c r="L359" s="1">
        <v>0.64</v>
      </c>
      <c r="M359" s="1">
        <v>0.19400000000000001</v>
      </c>
      <c r="N359" s="1">
        <v>1</v>
      </c>
      <c r="O359" s="1">
        <v>11</v>
      </c>
      <c r="P359" s="1">
        <v>12</v>
      </c>
    </row>
    <row r="360" spans="1:16" x14ac:dyDescent="0.2">
      <c r="A360" s="1">
        <v>969</v>
      </c>
      <c r="B360" s="2">
        <v>40587</v>
      </c>
      <c r="C360" s="1">
        <v>1</v>
      </c>
      <c r="D360" s="1">
        <f t="shared" si="20"/>
        <v>2011</v>
      </c>
      <c r="E360" s="1" t="str">
        <f t="shared" si="21"/>
        <v>February</v>
      </c>
      <c r="F360" s="1">
        <v>9</v>
      </c>
      <c r="G360" s="1" t="b">
        <f t="shared" si="22"/>
        <v>1</v>
      </c>
      <c r="H360" s="1" t="str">
        <f t="shared" si="23"/>
        <v>Sunday</v>
      </c>
      <c r="I360" s="1">
        <v>2</v>
      </c>
      <c r="J360" s="1">
        <v>0.24</v>
      </c>
      <c r="K360" s="1">
        <v>0.2273</v>
      </c>
      <c r="L360" s="1">
        <v>0.6</v>
      </c>
      <c r="M360" s="1">
        <v>0.22389999999999999</v>
      </c>
      <c r="N360" s="1">
        <v>12</v>
      </c>
      <c r="O360" s="1">
        <v>35</v>
      </c>
      <c r="P360" s="1">
        <v>47</v>
      </c>
    </row>
    <row r="361" spans="1:16" x14ac:dyDescent="0.2">
      <c r="A361" s="1">
        <v>970</v>
      </c>
      <c r="B361" s="2">
        <v>40587</v>
      </c>
      <c r="C361" s="1">
        <v>1</v>
      </c>
      <c r="D361" s="1">
        <f t="shared" si="20"/>
        <v>2011</v>
      </c>
      <c r="E361" s="1" t="str">
        <f t="shared" si="21"/>
        <v>February</v>
      </c>
      <c r="F361" s="1">
        <v>10</v>
      </c>
      <c r="G361" s="1" t="b">
        <f t="shared" si="22"/>
        <v>1</v>
      </c>
      <c r="H361" s="1" t="str">
        <f t="shared" si="23"/>
        <v>Sunday</v>
      </c>
      <c r="I361" s="1">
        <v>1</v>
      </c>
      <c r="J361" s="1">
        <v>0.3</v>
      </c>
      <c r="K361" s="1">
        <v>0.2727</v>
      </c>
      <c r="L361" s="1">
        <v>0.45</v>
      </c>
      <c r="M361" s="1">
        <v>0.32840000000000003</v>
      </c>
      <c r="N361" s="1">
        <v>19</v>
      </c>
      <c r="O361" s="1">
        <v>86</v>
      </c>
      <c r="P361" s="1">
        <v>105</v>
      </c>
    </row>
    <row r="362" spans="1:16" x14ac:dyDescent="0.2">
      <c r="A362" s="1">
        <v>971</v>
      </c>
      <c r="B362" s="2">
        <v>40587</v>
      </c>
      <c r="C362" s="1">
        <v>1</v>
      </c>
      <c r="D362" s="1">
        <f t="shared" si="20"/>
        <v>2011</v>
      </c>
      <c r="E362" s="1" t="str">
        <f t="shared" si="21"/>
        <v>February</v>
      </c>
      <c r="F362" s="1">
        <v>11</v>
      </c>
      <c r="G362" s="1" t="b">
        <f t="shared" si="22"/>
        <v>1</v>
      </c>
      <c r="H362" s="1" t="str">
        <f t="shared" si="23"/>
        <v>Sunday</v>
      </c>
      <c r="I362" s="1">
        <v>1</v>
      </c>
      <c r="J362" s="1">
        <v>0.32</v>
      </c>
      <c r="K362" s="1">
        <v>0.28789999999999999</v>
      </c>
      <c r="L362" s="1">
        <v>0.39</v>
      </c>
      <c r="M362" s="1">
        <v>0.44779999999999998</v>
      </c>
      <c r="N362" s="1">
        <v>26</v>
      </c>
      <c r="O362" s="1">
        <v>86</v>
      </c>
      <c r="P362" s="1">
        <v>112</v>
      </c>
    </row>
    <row r="363" spans="1:16" x14ac:dyDescent="0.2">
      <c r="A363" s="1">
        <v>972</v>
      </c>
      <c r="B363" s="2">
        <v>40587</v>
      </c>
      <c r="C363" s="1">
        <v>1</v>
      </c>
      <c r="D363" s="1">
        <f t="shared" si="20"/>
        <v>2011</v>
      </c>
      <c r="E363" s="1" t="str">
        <f t="shared" si="21"/>
        <v>February</v>
      </c>
      <c r="F363" s="1">
        <v>12</v>
      </c>
      <c r="G363" s="1" t="b">
        <f t="shared" si="22"/>
        <v>1</v>
      </c>
      <c r="H363" s="1" t="str">
        <f t="shared" si="23"/>
        <v>Sunday</v>
      </c>
      <c r="I363" s="1">
        <v>1</v>
      </c>
      <c r="J363" s="1">
        <v>0.36</v>
      </c>
      <c r="K363" s="1">
        <v>0.31819999999999998</v>
      </c>
      <c r="L363" s="1">
        <v>0.32</v>
      </c>
      <c r="M363" s="1">
        <v>0.4627</v>
      </c>
      <c r="N363" s="1">
        <v>58</v>
      </c>
      <c r="O363" s="1">
        <v>94</v>
      </c>
      <c r="P363" s="1">
        <v>152</v>
      </c>
    </row>
    <row r="364" spans="1:16" x14ac:dyDescent="0.2">
      <c r="A364" s="1">
        <v>973</v>
      </c>
      <c r="B364" s="2">
        <v>40587</v>
      </c>
      <c r="C364" s="1">
        <v>1</v>
      </c>
      <c r="D364" s="1">
        <f t="shared" si="20"/>
        <v>2011</v>
      </c>
      <c r="E364" s="1" t="str">
        <f t="shared" si="21"/>
        <v>February</v>
      </c>
      <c r="F364" s="1">
        <v>13</v>
      </c>
      <c r="G364" s="1" t="b">
        <f t="shared" si="22"/>
        <v>1</v>
      </c>
      <c r="H364" s="1" t="str">
        <f t="shared" si="23"/>
        <v>Sunday</v>
      </c>
      <c r="I364" s="1">
        <v>1</v>
      </c>
      <c r="J364" s="1">
        <v>0.38</v>
      </c>
      <c r="K364" s="1">
        <v>0.39389999999999997</v>
      </c>
      <c r="L364" s="1">
        <v>0.28999999999999998</v>
      </c>
      <c r="M364" s="1">
        <v>0.35820000000000002</v>
      </c>
      <c r="N364" s="1">
        <v>62</v>
      </c>
      <c r="O364" s="1">
        <v>92</v>
      </c>
      <c r="P364" s="1">
        <v>154</v>
      </c>
    </row>
    <row r="365" spans="1:16" x14ac:dyDescent="0.2">
      <c r="A365" s="1">
        <v>974</v>
      </c>
      <c r="B365" s="2">
        <v>40587</v>
      </c>
      <c r="C365" s="1">
        <v>1</v>
      </c>
      <c r="D365" s="1">
        <f t="shared" si="20"/>
        <v>2011</v>
      </c>
      <c r="E365" s="1" t="str">
        <f t="shared" si="21"/>
        <v>February</v>
      </c>
      <c r="F365" s="1">
        <v>14</v>
      </c>
      <c r="G365" s="1" t="b">
        <f t="shared" si="22"/>
        <v>1</v>
      </c>
      <c r="H365" s="1" t="str">
        <f t="shared" si="23"/>
        <v>Sunday</v>
      </c>
      <c r="I365" s="1">
        <v>2</v>
      </c>
      <c r="J365" s="1">
        <v>0.4</v>
      </c>
      <c r="K365" s="1">
        <v>0.40910000000000002</v>
      </c>
      <c r="L365" s="1">
        <v>0.3</v>
      </c>
      <c r="M365" s="1">
        <v>0.41789999999999999</v>
      </c>
      <c r="N365" s="1">
        <v>51</v>
      </c>
      <c r="O365" s="1">
        <v>110</v>
      </c>
      <c r="P365" s="1">
        <v>161</v>
      </c>
    </row>
    <row r="366" spans="1:16" x14ac:dyDescent="0.2">
      <c r="A366" s="1">
        <v>975</v>
      </c>
      <c r="B366" s="2">
        <v>40587</v>
      </c>
      <c r="C366" s="1">
        <v>1</v>
      </c>
      <c r="D366" s="1">
        <f t="shared" si="20"/>
        <v>2011</v>
      </c>
      <c r="E366" s="1" t="str">
        <f t="shared" si="21"/>
        <v>February</v>
      </c>
      <c r="F366" s="1">
        <v>15</v>
      </c>
      <c r="G366" s="1" t="b">
        <f t="shared" si="22"/>
        <v>1</v>
      </c>
      <c r="H366" s="1" t="str">
        <f t="shared" si="23"/>
        <v>Sunday</v>
      </c>
      <c r="I366" s="1">
        <v>2</v>
      </c>
      <c r="J366" s="1">
        <v>0.4</v>
      </c>
      <c r="K366" s="1">
        <v>0.40910000000000002</v>
      </c>
      <c r="L366" s="1">
        <v>0.3</v>
      </c>
      <c r="M366" s="1">
        <v>0.29849999999999999</v>
      </c>
      <c r="N366" s="1">
        <v>40</v>
      </c>
      <c r="O366" s="1">
        <v>122</v>
      </c>
      <c r="P366" s="1">
        <v>162</v>
      </c>
    </row>
    <row r="367" spans="1:16" x14ac:dyDescent="0.2">
      <c r="A367" s="1">
        <v>976</v>
      </c>
      <c r="B367" s="2">
        <v>40587</v>
      </c>
      <c r="C367" s="1">
        <v>1</v>
      </c>
      <c r="D367" s="1">
        <f t="shared" si="20"/>
        <v>2011</v>
      </c>
      <c r="E367" s="1" t="str">
        <f t="shared" si="21"/>
        <v>February</v>
      </c>
      <c r="F367" s="1">
        <v>16</v>
      </c>
      <c r="G367" s="1" t="b">
        <f t="shared" si="22"/>
        <v>1</v>
      </c>
      <c r="H367" s="1" t="str">
        <f t="shared" si="23"/>
        <v>Sunday</v>
      </c>
      <c r="I367" s="1">
        <v>2</v>
      </c>
      <c r="J367" s="1">
        <v>0.42</v>
      </c>
      <c r="K367" s="1">
        <v>0.42420000000000002</v>
      </c>
      <c r="L367" s="1">
        <v>0.28000000000000003</v>
      </c>
      <c r="M367" s="1">
        <v>0.32840000000000003</v>
      </c>
      <c r="N367" s="1">
        <v>28</v>
      </c>
      <c r="O367" s="1">
        <v>106</v>
      </c>
      <c r="P367" s="1">
        <v>134</v>
      </c>
    </row>
    <row r="368" spans="1:16" x14ac:dyDescent="0.2">
      <c r="A368" s="1">
        <v>977</v>
      </c>
      <c r="B368" s="2">
        <v>40587</v>
      </c>
      <c r="C368" s="1">
        <v>1</v>
      </c>
      <c r="D368" s="1">
        <f t="shared" si="20"/>
        <v>2011</v>
      </c>
      <c r="E368" s="1" t="str">
        <f t="shared" si="21"/>
        <v>February</v>
      </c>
      <c r="F368" s="1">
        <v>17</v>
      </c>
      <c r="G368" s="1" t="b">
        <f t="shared" si="22"/>
        <v>1</v>
      </c>
      <c r="H368" s="1" t="str">
        <f t="shared" si="23"/>
        <v>Sunday</v>
      </c>
      <c r="I368" s="1">
        <v>1</v>
      </c>
      <c r="J368" s="1">
        <v>0.42</v>
      </c>
      <c r="K368" s="1">
        <v>0.42420000000000002</v>
      </c>
      <c r="L368" s="1">
        <v>0.28000000000000003</v>
      </c>
      <c r="M368" s="1">
        <v>0.32840000000000003</v>
      </c>
      <c r="N368" s="1">
        <v>30</v>
      </c>
      <c r="O368" s="1">
        <v>95</v>
      </c>
      <c r="P368" s="1">
        <v>125</v>
      </c>
    </row>
    <row r="369" spans="1:16" x14ac:dyDescent="0.2">
      <c r="A369" s="1">
        <v>978</v>
      </c>
      <c r="B369" s="2">
        <v>40587</v>
      </c>
      <c r="C369" s="1">
        <v>1</v>
      </c>
      <c r="D369" s="1">
        <f t="shared" si="20"/>
        <v>2011</v>
      </c>
      <c r="E369" s="1" t="str">
        <f t="shared" si="21"/>
        <v>February</v>
      </c>
      <c r="F369" s="1">
        <v>18</v>
      </c>
      <c r="G369" s="1" t="b">
        <f t="shared" si="22"/>
        <v>1</v>
      </c>
      <c r="H369" s="1" t="str">
        <f t="shared" si="23"/>
        <v>Sunday</v>
      </c>
      <c r="I369" s="1">
        <v>1</v>
      </c>
      <c r="J369" s="1">
        <v>0.4</v>
      </c>
      <c r="K369" s="1">
        <v>0.40910000000000002</v>
      </c>
      <c r="L369" s="1">
        <v>0.32</v>
      </c>
      <c r="M369" s="1">
        <v>0.29849999999999999</v>
      </c>
      <c r="N369" s="1">
        <v>17</v>
      </c>
      <c r="O369" s="1">
        <v>78</v>
      </c>
      <c r="P369" s="1">
        <v>95</v>
      </c>
    </row>
    <row r="370" spans="1:16" x14ac:dyDescent="0.2">
      <c r="A370" s="1">
        <v>979</v>
      </c>
      <c r="B370" s="2">
        <v>40587</v>
      </c>
      <c r="C370" s="1">
        <v>1</v>
      </c>
      <c r="D370" s="1">
        <f t="shared" si="20"/>
        <v>2011</v>
      </c>
      <c r="E370" s="1" t="str">
        <f t="shared" si="21"/>
        <v>February</v>
      </c>
      <c r="F370" s="1">
        <v>19</v>
      </c>
      <c r="G370" s="1" t="b">
        <f t="shared" si="22"/>
        <v>1</v>
      </c>
      <c r="H370" s="1" t="str">
        <f t="shared" si="23"/>
        <v>Sunday</v>
      </c>
      <c r="I370" s="1">
        <v>1</v>
      </c>
      <c r="J370" s="1">
        <v>0.4</v>
      </c>
      <c r="K370" s="1">
        <v>0.40910000000000002</v>
      </c>
      <c r="L370" s="1">
        <v>0.35</v>
      </c>
      <c r="M370" s="1">
        <v>0.28360000000000002</v>
      </c>
      <c r="N370" s="1">
        <v>11</v>
      </c>
      <c r="O370" s="1">
        <v>50</v>
      </c>
      <c r="P370" s="1">
        <v>61</v>
      </c>
    </row>
    <row r="371" spans="1:16" x14ac:dyDescent="0.2">
      <c r="A371" s="1">
        <v>980</v>
      </c>
      <c r="B371" s="2">
        <v>40587</v>
      </c>
      <c r="C371" s="1">
        <v>1</v>
      </c>
      <c r="D371" s="1">
        <f t="shared" si="20"/>
        <v>2011</v>
      </c>
      <c r="E371" s="1" t="str">
        <f t="shared" si="21"/>
        <v>February</v>
      </c>
      <c r="F371" s="1">
        <v>20</v>
      </c>
      <c r="G371" s="1" t="b">
        <f t="shared" si="22"/>
        <v>1</v>
      </c>
      <c r="H371" s="1" t="str">
        <f t="shared" si="23"/>
        <v>Sunday</v>
      </c>
      <c r="I371" s="1">
        <v>1</v>
      </c>
      <c r="J371" s="1">
        <v>0.4</v>
      </c>
      <c r="K371" s="1">
        <v>0.40910000000000002</v>
      </c>
      <c r="L371" s="1">
        <v>0.35</v>
      </c>
      <c r="M371" s="1">
        <v>0.32840000000000003</v>
      </c>
      <c r="N371" s="1">
        <v>15</v>
      </c>
      <c r="O371" s="1">
        <v>32</v>
      </c>
      <c r="P371" s="1">
        <v>47</v>
      </c>
    </row>
    <row r="372" spans="1:16" x14ac:dyDescent="0.2">
      <c r="A372" s="1">
        <v>981</v>
      </c>
      <c r="B372" s="2">
        <v>40587</v>
      </c>
      <c r="C372" s="1">
        <v>1</v>
      </c>
      <c r="D372" s="1">
        <f t="shared" si="20"/>
        <v>2011</v>
      </c>
      <c r="E372" s="1" t="str">
        <f t="shared" si="21"/>
        <v>February</v>
      </c>
      <c r="F372" s="1">
        <v>21</v>
      </c>
      <c r="G372" s="1" t="b">
        <f t="shared" si="22"/>
        <v>1</v>
      </c>
      <c r="H372" s="1" t="str">
        <f t="shared" si="23"/>
        <v>Sunday</v>
      </c>
      <c r="I372" s="1">
        <v>1</v>
      </c>
      <c r="J372" s="1">
        <v>0.4</v>
      </c>
      <c r="K372" s="1">
        <v>0.40910000000000002</v>
      </c>
      <c r="L372" s="1">
        <v>0.35</v>
      </c>
      <c r="M372" s="1">
        <v>0.35820000000000002</v>
      </c>
      <c r="N372" s="1">
        <v>6</v>
      </c>
      <c r="O372" s="1">
        <v>45</v>
      </c>
      <c r="P372" s="1">
        <v>51</v>
      </c>
    </row>
    <row r="373" spans="1:16" x14ac:dyDescent="0.2">
      <c r="A373" s="1">
        <v>982</v>
      </c>
      <c r="B373" s="2">
        <v>40587</v>
      </c>
      <c r="C373" s="1">
        <v>1</v>
      </c>
      <c r="D373" s="1">
        <f t="shared" si="20"/>
        <v>2011</v>
      </c>
      <c r="E373" s="1" t="str">
        <f t="shared" si="21"/>
        <v>February</v>
      </c>
      <c r="F373" s="1">
        <v>22</v>
      </c>
      <c r="G373" s="1" t="b">
        <f t="shared" si="22"/>
        <v>1</v>
      </c>
      <c r="H373" s="1" t="str">
        <f t="shared" si="23"/>
        <v>Sunday</v>
      </c>
      <c r="I373" s="1">
        <v>1</v>
      </c>
      <c r="J373" s="1">
        <v>0.4</v>
      </c>
      <c r="K373" s="1">
        <v>0.40910000000000002</v>
      </c>
      <c r="L373" s="1">
        <v>0.35</v>
      </c>
      <c r="M373" s="1">
        <v>0.29849999999999999</v>
      </c>
      <c r="N373" s="1">
        <v>5</v>
      </c>
      <c r="O373" s="1">
        <v>31</v>
      </c>
      <c r="P373" s="1">
        <v>36</v>
      </c>
    </row>
    <row r="374" spans="1:16" x14ac:dyDescent="0.2">
      <c r="A374" s="1">
        <v>983</v>
      </c>
      <c r="B374" s="2">
        <v>40587</v>
      </c>
      <c r="C374" s="1">
        <v>1</v>
      </c>
      <c r="D374" s="1">
        <f t="shared" si="20"/>
        <v>2011</v>
      </c>
      <c r="E374" s="1" t="str">
        <f t="shared" si="21"/>
        <v>February</v>
      </c>
      <c r="F374" s="1">
        <v>23</v>
      </c>
      <c r="G374" s="1" t="b">
        <f t="shared" si="22"/>
        <v>1</v>
      </c>
      <c r="H374" s="1" t="str">
        <f t="shared" si="23"/>
        <v>Sunday</v>
      </c>
      <c r="I374" s="1">
        <v>1</v>
      </c>
      <c r="J374" s="1">
        <v>0.4</v>
      </c>
      <c r="K374" s="1">
        <v>0.40910000000000002</v>
      </c>
      <c r="L374" s="1">
        <v>0.35</v>
      </c>
      <c r="M374" s="1">
        <v>0.35820000000000002</v>
      </c>
      <c r="N374" s="1">
        <v>3</v>
      </c>
      <c r="O374" s="1">
        <v>27</v>
      </c>
      <c r="P374" s="1">
        <v>30</v>
      </c>
    </row>
    <row r="375" spans="1:16" x14ac:dyDescent="0.2">
      <c r="A375" s="1">
        <v>984</v>
      </c>
      <c r="B375" s="2">
        <v>40588</v>
      </c>
      <c r="C375" s="1">
        <v>1</v>
      </c>
      <c r="D375" s="1">
        <f t="shared" si="20"/>
        <v>2011</v>
      </c>
      <c r="E375" s="1" t="str">
        <f t="shared" si="21"/>
        <v>February</v>
      </c>
      <c r="F375" s="1">
        <v>0</v>
      </c>
      <c r="G375" s="1" t="b">
        <f t="shared" si="22"/>
        <v>0</v>
      </c>
      <c r="H375" s="1" t="str">
        <f t="shared" si="23"/>
        <v>Monday</v>
      </c>
      <c r="I375" s="1">
        <v>1</v>
      </c>
      <c r="J375" s="1">
        <v>0.38</v>
      </c>
      <c r="K375" s="1">
        <v>0.39389999999999997</v>
      </c>
      <c r="L375" s="1">
        <v>0.37</v>
      </c>
      <c r="M375" s="1">
        <v>0.35820000000000002</v>
      </c>
      <c r="N375" s="1">
        <v>3</v>
      </c>
      <c r="O375" s="1">
        <v>8</v>
      </c>
      <c r="P375" s="1">
        <v>11</v>
      </c>
    </row>
    <row r="376" spans="1:16" x14ac:dyDescent="0.2">
      <c r="A376" s="1">
        <v>985</v>
      </c>
      <c r="B376" s="2">
        <v>40588</v>
      </c>
      <c r="C376" s="1">
        <v>1</v>
      </c>
      <c r="D376" s="1">
        <f t="shared" si="20"/>
        <v>2011</v>
      </c>
      <c r="E376" s="1" t="str">
        <f t="shared" si="21"/>
        <v>February</v>
      </c>
      <c r="F376" s="1">
        <v>1</v>
      </c>
      <c r="G376" s="1" t="b">
        <f t="shared" si="22"/>
        <v>0</v>
      </c>
      <c r="H376" s="1" t="str">
        <f t="shared" si="23"/>
        <v>Monday</v>
      </c>
      <c r="I376" s="1">
        <v>1</v>
      </c>
      <c r="J376" s="1">
        <v>0.38</v>
      </c>
      <c r="K376" s="1">
        <v>0.39389999999999997</v>
      </c>
      <c r="L376" s="1">
        <v>0.37</v>
      </c>
      <c r="M376" s="1">
        <v>0.35820000000000002</v>
      </c>
      <c r="N376" s="1">
        <v>1</v>
      </c>
      <c r="O376" s="1">
        <v>6</v>
      </c>
      <c r="P376" s="1">
        <v>7</v>
      </c>
    </row>
    <row r="377" spans="1:16" x14ac:dyDescent="0.2">
      <c r="A377" s="1">
        <v>986</v>
      </c>
      <c r="B377" s="2">
        <v>40588</v>
      </c>
      <c r="C377" s="1">
        <v>1</v>
      </c>
      <c r="D377" s="1">
        <f t="shared" si="20"/>
        <v>2011</v>
      </c>
      <c r="E377" s="1" t="str">
        <f t="shared" si="21"/>
        <v>February</v>
      </c>
      <c r="F377" s="1">
        <v>2</v>
      </c>
      <c r="G377" s="1" t="b">
        <f t="shared" si="22"/>
        <v>0</v>
      </c>
      <c r="H377" s="1" t="str">
        <f t="shared" si="23"/>
        <v>Monday</v>
      </c>
      <c r="I377" s="1">
        <v>1</v>
      </c>
      <c r="J377" s="1">
        <v>0.36</v>
      </c>
      <c r="K377" s="1">
        <v>0.33329999999999999</v>
      </c>
      <c r="L377" s="1">
        <v>0.4</v>
      </c>
      <c r="M377" s="1">
        <v>0.29849999999999999</v>
      </c>
      <c r="N377" s="1">
        <v>0</v>
      </c>
      <c r="O377" s="1">
        <v>2</v>
      </c>
      <c r="P377" s="1">
        <v>2</v>
      </c>
    </row>
    <row r="378" spans="1:16" x14ac:dyDescent="0.2">
      <c r="A378" s="1">
        <v>987</v>
      </c>
      <c r="B378" s="2">
        <v>40588</v>
      </c>
      <c r="C378" s="1">
        <v>1</v>
      </c>
      <c r="D378" s="1">
        <f t="shared" si="20"/>
        <v>2011</v>
      </c>
      <c r="E378" s="1" t="str">
        <f t="shared" si="21"/>
        <v>February</v>
      </c>
      <c r="F378" s="1">
        <v>3</v>
      </c>
      <c r="G378" s="1" t="b">
        <f t="shared" si="22"/>
        <v>0</v>
      </c>
      <c r="H378" s="1" t="str">
        <f t="shared" si="23"/>
        <v>Monday</v>
      </c>
      <c r="I378" s="1">
        <v>1</v>
      </c>
      <c r="J378" s="1">
        <v>0.34</v>
      </c>
      <c r="K378" s="1">
        <v>0.31819999999999998</v>
      </c>
      <c r="L378" s="1">
        <v>0.46</v>
      </c>
      <c r="M378" s="1">
        <v>0.22389999999999999</v>
      </c>
      <c r="N378" s="1">
        <v>1</v>
      </c>
      <c r="O378" s="1">
        <v>1</v>
      </c>
      <c r="P378" s="1">
        <v>2</v>
      </c>
    </row>
    <row r="379" spans="1:16" x14ac:dyDescent="0.2">
      <c r="A379" s="1">
        <v>988</v>
      </c>
      <c r="B379" s="2">
        <v>40588</v>
      </c>
      <c r="C379" s="1">
        <v>1</v>
      </c>
      <c r="D379" s="1">
        <f t="shared" si="20"/>
        <v>2011</v>
      </c>
      <c r="E379" s="1" t="str">
        <f t="shared" si="21"/>
        <v>February</v>
      </c>
      <c r="F379" s="1">
        <v>4</v>
      </c>
      <c r="G379" s="1" t="b">
        <f t="shared" si="22"/>
        <v>0</v>
      </c>
      <c r="H379" s="1" t="str">
        <f t="shared" si="23"/>
        <v>Monday</v>
      </c>
      <c r="I379" s="1">
        <v>1</v>
      </c>
      <c r="J379" s="1">
        <v>0.32</v>
      </c>
      <c r="K379" s="1">
        <v>0.30299999999999999</v>
      </c>
      <c r="L379" s="1">
        <v>0.53</v>
      </c>
      <c r="M379" s="1">
        <v>0.28360000000000002</v>
      </c>
      <c r="N379" s="1">
        <v>0</v>
      </c>
      <c r="O379" s="1">
        <v>2</v>
      </c>
      <c r="P379" s="1">
        <v>2</v>
      </c>
    </row>
    <row r="380" spans="1:16" x14ac:dyDescent="0.2">
      <c r="A380" s="1">
        <v>989</v>
      </c>
      <c r="B380" s="2">
        <v>40588</v>
      </c>
      <c r="C380" s="1">
        <v>1</v>
      </c>
      <c r="D380" s="1">
        <f t="shared" si="20"/>
        <v>2011</v>
      </c>
      <c r="E380" s="1" t="str">
        <f t="shared" si="21"/>
        <v>February</v>
      </c>
      <c r="F380" s="1">
        <v>5</v>
      </c>
      <c r="G380" s="1" t="b">
        <f t="shared" si="22"/>
        <v>0</v>
      </c>
      <c r="H380" s="1" t="str">
        <f t="shared" si="23"/>
        <v>Monday</v>
      </c>
      <c r="I380" s="1">
        <v>1</v>
      </c>
      <c r="J380" s="1">
        <v>0.32</v>
      </c>
      <c r="K380" s="1">
        <v>0.30299999999999999</v>
      </c>
      <c r="L380" s="1">
        <v>0.53</v>
      </c>
      <c r="M380" s="1">
        <v>0.28360000000000002</v>
      </c>
      <c r="N380" s="1">
        <v>0</v>
      </c>
      <c r="O380" s="1">
        <v>3</v>
      </c>
      <c r="P380" s="1">
        <v>3</v>
      </c>
    </row>
    <row r="381" spans="1:16" x14ac:dyDescent="0.2">
      <c r="A381" s="1">
        <v>990</v>
      </c>
      <c r="B381" s="2">
        <v>40588</v>
      </c>
      <c r="C381" s="1">
        <v>1</v>
      </c>
      <c r="D381" s="1">
        <f t="shared" si="20"/>
        <v>2011</v>
      </c>
      <c r="E381" s="1" t="str">
        <f t="shared" si="21"/>
        <v>February</v>
      </c>
      <c r="F381" s="1">
        <v>6</v>
      </c>
      <c r="G381" s="1" t="b">
        <f t="shared" si="22"/>
        <v>0</v>
      </c>
      <c r="H381" s="1" t="str">
        <f t="shared" si="23"/>
        <v>Monday</v>
      </c>
      <c r="I381" s="1">
        <v>1</v>
      </c>
      <c r="J381" s="1">
        <v>0.34</v>
      </c>
      <c r="K381" s="1">
        <v>0.30299999999999999</v>
      </c>
      <c r="L381" s="1">
        <v>0.46</v>
      </c>
      <c r="M381" s="1">
        <v>0.29849999999999999</v>
      </c>
      <c r="N381" s="1">
        <v>1</v>
      </c>
      <c r="O381" s="1">
        <v>25</v>
      </c>
      <c r="P381" s="1">
        <v>26</v>
      </c>
    </row>
    <row r="382" spans="1:16" x14ac:dyDescent="0.2">
      <c r="A382" s="1">
        <v>991</v>
      </c>
      <c r="B382" s="2">
        <v>40588</v>
      </c>
      <c r="C382" s="1">
        <v>1</v>
      </c>
      <c r="D382" s="1">
        <f t="shared" si="20"/>
        <v>2011</v>
      </c>
      <c r="E382" s="1" t="str">
        <f t="shared" si="21"/>
        <v>February</v>
      </c>
      <c r="F382" s="1">
        <v>7</v>
      </c>
      <c r="G382" s="1" t="b">
        <f t="shared" si="22"/>
        <v>0</v>
      </c>
      <c r="H382" s="1" t="str">
        <f t="shared" si="23"/>
        <v>Monday</v>
      </c>
      <c r="I382" s="1">
        <v>1</v>
      </c>
      <c r="J382" s="1">
        <v>0.34</v>
      </c>
      <c r="K382" s="1">
        <v>0.30299999999999999</v>
      </c>
      <c r="L382" s="1">
        <v>0.46</v>
      </c>
      <c r="M382" s="1">
        <v>0.29849999999999999</v>
      </c>
      <c r="N382" s="1">
        <v>2</v>
      </c>
      <c r="O382" s="1">
        <v>96</v>
      </c>
      <c r="P382" s="1">
        <v>98</v>
      </c>
    </row>
    <row r="383" spans="1:16" x14ac:dyDescent="0.2">
      <c r="A383" s="1">
        <v>992</v>
      </c>
      <c r="B383" s="2">
        <v>40571</v>
      </c>
      <c r="C383" s="1">
        <v>1</v>
      </c>
      <c r="D383" s="1">
        <f t="shared" si="20"/>
        <v>2011</v>
      </c>
      <c r="E383" s="1" t="str">
        <f t="shared" si="21"/>
        <v>January</v>
      </c>
      <c r="F383" s="1">
        <v>16</v>
      </c>
      <c r="G383" s="1" t="b">
        <f t="shared" si="22"/>
        <v>0</v>
      </c>
      <c r="H383" s="1" t="str">
        <f t="shared" si="23"/>
        <v>Friday</v>
      </c>
      <c r="I383" s="1">
        <v>1</v>
      </c>
      <c r="J383" s="1">
        <v>0.22</v>
      </c>
      <c r="K383" s="1">
        <v>0.2727</v>
      </c>
      <c r="L383" s="1">
        <v>0.8</v>
      </c>
      <c r="M383" s="1">
        <v>0</v>
      </c>
      <c r="N383" s="1">
        <v>10</v>
      </c>
      <c r="O383" s="1">
        <v>70</v>
      </c>
      <c r="P383" s="1">
        <v>80</v>
      </c>
    </row>
    <row r="384" spans="1:16" x14ac:dyDescent="0.2">
      <c r="A384" s="1">
        <v>993</v>
      </c>
      <c r="B384" s="2">
        <v>40571</v>
      </c>
      <c r="C384" s="1">
        <v>1</v>
      </c>
      <c r="D384" s="1">
        <f t="shared" si="20"/>
        <v>2011</v>
      </c>
      <c r="E384" s="1" t="str">
        <f t="shared" si="21"/>
        <v>January</v>
      </c>
      <c r="F384" s="1">
        <v>17</v>
      </c>
      <c r="G384" s="1" t="b">
        <f t="shared" si="22"/>
        <v>0</v>
      </c>
      <c r="H384" s="1" t="str">
        <f t="shared" si="23"/>
        <v>Friday</v>
      </c>
      <c r="I384" s="1">
        <v>1</v>
      </c>
      <c r="J384" s="1">
        <v>0.24</v>
      </c>
      <c r="K384" s="1">
        <v>0.2424</v>
      </c>
      <c r="L384" s="1">
        <v>0.75</v>
      </c>
      <c r="M384" s="1">
        <v>0.1343</v>
      </c>
      <c r="N384" s="1">
        <v>2</v>
      </c>
      <c r="O384" s="1">
        <v>147</v>
      </c>
      <c r="P384" s="1">
        <v>149</v>
      </c>
    </row>
    <row r="385" spans="1:16" x14ac:dyDescent="0.2">
      <c r="A385" s="1">
        <v>994</v>
      </c>
      <c r="B385" s="2">
        <v>40571</v>
      </c>
      <c r="C385" s="1">
        <v>1</v>
      </c>
      <c r="D385" s="1">
        <f t="shared" si="20"/>
        <v>2011</v>
      </c>
      <c r="E385" s="1" t="str">
        <f t="shared" si="21"/>
        <v>January</v>
      </c>
      <c r="F385" s="1">
        <v>18</v>
      </c>
      <c r="G385" s="1" t="b">
        <f t="shared" si="22"/>
        <v>0</v>
      </c>
      <c r="H385" s="1" t="str">
        <f t="shared" si="23"/>
        <v>Friday</v>
      </c>
      <c r="I385" s="1">
        <v>1</v>
      </c>
      <c r="J385" s="1">
        <v>0.24</v>
      </c>
      <c r="K385" s="1">
        <v>0.2273</v>
      </c>
      <c r="L385" s="1">
        <v>0.75</v>
      </c>
      <c r="M385" s="1">
        <v>0.19400000000000001</v>
      </c>
      <c r="N385" s="1">
        <v>2</v>
      </c>
      <c r="O385" s="1">
        <v>107</v>
      </c>
      <c r="P385" s="1">
        <v>109</v>
      </c>
    </row>
    <row r="386" spans="1:16" x14ac:dyDescent="0.2">
      <c r="A386" s="1">
        <v>995</v>
      </c>
      <c r="B386" s="2">
        <v>40571</v>
      </c>
      <c r="C386" s="1">
        <v>1</v>
      </c>
      <c r="D386" s="1">
        <f t="shared" si="20"/>
        <v>2011</v>
      </c>
      <c r="E386" s="1" t="str">
        <f t="shared" si="21"/>
        <v>January</v>
      </c>
      <c r="F386" s="1">
        <v>19</v>
      </c>
      <c r="G386" s="1" t="b">
        <f t="shared" si="22"/>
        <v>0</v>
      </c>
      <c r="H386" s="1" t="str">
        <f t="shared" si="23"/>
        <v>Friday</v>
      </c>
      <c r="I386" s="1">
        <v>2</v>
      </c>
      <c r="J386" s="1">
        <v>0.24</v>
      </c>
      <c r="K386" s="1">
        <v>0.2424</v>
      </c>
      <c r="L386" s="1">
        <v>0.75</v>
      </c>
      <c r="M386" s="1">
        <v>0.1343</v>
      </c>
      <c r="N386" s="1">
        <v>5</v>
      </c>
      <c r="O386" s="1">
        <v>84</v>
      </c>
      <c r="P386" s="1">
        <v>89</v>
      </c>
    </row>
    <row r="387" spans="1:16" x14ac:dyDescent="0.2">
      <c r="A387" s="1">
        <v>996</v>
      </c>
      <c r="B387" s="2">
        <v>40571</v>
      </c>
      <c r="C387" s="1">
        <v>1</v>
      </c>
      <c r="D387" s="1">
        <f t="shared" ref="D387:D391" si="24">YEAR(B387)</f>
        <v>2011</v>
      </c>
      <c r="E387" s="1" t="str">
        <f t="shared" ref="E387:E391" si="25">TEXT(B387,"mmmm")</f>
        <v>January</v>
      </c>
      <c r="F387" s="1">
        <v>20</v>
      </c>
      <c r="G387" s="1" t="b">
        <f t="shared" ref="G387:G391" si="26">IF(H387="Sunday",TRUE,FALSE)</f>
        <v>0</v>
      </c>
      <c r="H387" s="1" t="str">
        <f t="shared" ref="H387:H391" si="27">TEXT(B387,"dddd")</f>
        <v>Friday</v>
      </c>
      <c r="I387" s="1">
        <v>2</v>
      </c>
      <c r="J387" s="1">
        <v>0.24</v>
      </c>
      <c r="K387" s="1">
        <v>0.2273</v>
      </c>
      <c r="L387" s="1">
        <v>0.7</v>
      </c>
      <c r="M387" s="1">
        <v>0.19400000000000001</v>
      </c>
      <c r="N387" s="1">
        <v>1</v>
      </c>
      <c r="O387" s="1">
        <v>61</v>
      </c>
      <c r="P387" s="1">
        <v>62</v>
      </c>
    </row>
    <row r="388" spans="1:16" x14ac:dyDescent="0.2">
      <c r="A388" s="1">
        <v>997</v>
      </c>
      <c r="B388" s="2">
        <v>40571</v>
      </c>
      <c r="C388" s="1">
        <v>1</v>
      </c>
      <c r="D388" s="1">
        <f t="shared" si="24"/>
        <v>2011</v>
      </c>
      <c r="E388" s="1" t="str">
        <f t="shared" si="25"/>
        <v>January</v>
      </c>
      <c r="F388" s="1">
        <v>21</v>
      </c>
      <c r="G388" s="1" t="b">
        <f t="shared" si="26"/>
        <v>0</v>
      </c>
      <c r="H388" s="1" t="str">
        <f t="shared" si="27"/>
        <v>Friday</v>
      </c>
      <c r="I388" s="1">
        <v>2</v>
      </c>
      <c r="J388" s="1">
        <v>0.22</v>
      </c>
      <c r="K388" s="1">
        <v>0.2273</v>
      </c>
      <c r="L388" s="1">
        <v>0.75</v>
      </c>
      <c r="M388" s="1">
        <v>0.1343</v>
      </c>
      <c r="N388" s="1">
        <v>1</v>
      </c>
      <c r="O388" s="1">
        <v>57</v>
      </c>
      <c r="P388" s="1">
        <v>58</v>
      </c>
    </row>
    <row r="389" spans="1:16" x14ac:dyDescent="0.2">
      <c r="A389" s="1">
        <v>998</v>
      </c>
      <c r="B389" s="2">
        <v>40571</v>
      </c>
      <c r="C389" s="1">
        <v>1</v>
      </c>
      <c r="D389" s="1">
        <f t="shared" si="24"/>
        <v>2011</v>
      </c>
      <c r="E389" s="1" t="str">
        <f t="shared" si="25"/>
        <v>January</v>
      </c>
      <c r="F389" s="1">
        <v>22</v>
      </c>
      <c r="G389" s="1" t="b">
        <f t="shared" si="26"/>
        <v>0</v>
      </c>
      <c r="H389" s="1" t="str">
        <f t="shared" si="27"/>
        <v>Friday</v>
      </c>
      <c r="I389" s="1">
        <v>1</v>
      </c>
      <c r="J389" s="1">
        <v>0.24</v>
      </c>
      <c r="K389" s="1">
        <v>0.21210000000000001</v>
      </c>
      <c r="L389" s="1">
        <v>0.65</v>
      </c>
      <c r="M389" s="1">
        <v>0.35820000000000002</v>
      </c>
      <c r="N389" s="1">
        <v>0</v>
      </c>
      <c r="O389" s="1">
        <v>26</v>
      </c>
      <c r="P389" s="1">
        <v>26</v>
      </c>
    </row>
    <row r="390" spans="1:16" x14ac:dyDescent="0.2">
      <c r="A390" s="1">
        <v>999</v>
      </c>
      <c r="B390" s="2">
        <v>40571</v>
      </c>
      <c r="C390" s="1">
        <v>1</v>
      </c>
      <c r="D390" s="1">
        <f t="shared" si="24"/>
        <v>2011</v>
      </c>
      <c r="E390" s="1" t="str">
        <f t="shared" si="25"/>
        <v>January</v>
      </c>
      <c r="F390" s="1">
        <v>23</v>
      </c>
      <c r="G390" s="1" t="b">
        <f t="shared" si="26"/>
        <v>0</v>
      </c>
      <c r="H390" s="1" t="str">
        <f t="shared" si="27"/>
        <v>Friday</v>
      </c>
      <c r="I390" s="1">
        <v>1</v>
      </c>
      <c r="J390" s="1">
        <v>0.24</v>
      </c>
      <c r="K390" s="1">
        <v>0.2273</v>
      </c>
      <c r="L390" s="1">
        <v>0.6</v>
      </c>
      <c r="M390" s="1">
        <v>0.22389999999999999</v>
      </c>
      <c r="N390" s="1">
        <v>1</v>
      </c>
      <c r="O390" s="1">
        <v>22</v>
      </c>
      <c r="P390" s="1">
        <v>23</v>
      </c>
    </row>
    <row r="391" spans="1:16" x14ac:dyDescent="0.2">
      <c r="A391" s="1">
        <v>1000</v>
      </c>
      <c r="B391" s="2">
        <v>40572</v>
      </c>
      <c r="C391" s="1">
        <v>1</v>
      </c>
      <c r="D391" s="1">
        <f t="shared" si="24"/>
        <v>2011</v>
      </c>
      <c r="E391" s="1" t="str">
        <f t="shared" si="25"/>
        <v>January</v>
      </c>
      <c r="F391" s="1">
        <v>0</v>
      </c>
      <c r="G391" s="1" t="b">
        <f t="shared" si="26"/>
        <v>0</v>
      </c>
      <c r="H391" s="1" t="str">
        <f t="shared" si="27"/>
        <v>Saturday</v>
      </c>
      <c r="I391" s="1">
        <v>1</v>
      </c>
      <c r="J391" s="1">
        <v>0.22</v>
      </c>
      <c r="K391" s="1">
        <v>0.19700000000000001</v>
      </c>
      <c r="L391" s="1">
        <v>0.64</v>
      </c>
      <c r="M391" s="1">
        <v>0.35820000000000002</v>
      </c>
      <c r="N391" s="1">
        <v>2</v>
      </c>
      <c r="O391" s="1">
        <v>26</v>
      </c>
      <c r="P391" s="1">
        <v>28</v>
      </c>
    </row>
  </sheetData>
  <autoFilter ref="A1:P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53C4D9-9347-4189-AEA8-B83C091F12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Extract Data_sheet</vt:lpstr>
      <vt:lpstr>Pivot</vt:lpstr>
      <vt:lpstr>Forecast sheet</vt:lpstr>
      <vt:lpstr>Dataset_A</vt:lpstr>
      <vt:lpstr>Merge_1&amp;2</vt:lpstr>
      <vt:lpstr>dataset_2 Table</vt:lpstr>
      <vt:lpstr>dataset_1 Table</vt:lpstr>
      <vt:lpstr>Raw_dataset_1</vt:lpstr>
      <vt:lpstr>Raw_dataset_2</vt:lpstr>
      <vt:lpstr>Raw_dataset_3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ishwar prajapati</cp:lastModifiedBy>
  <dcterms:modified xsi:type="dcterms:W3CDTF">2026-10-17T08:20:00Z</dcterms:modified>
</cp:coreProperties>
</file>